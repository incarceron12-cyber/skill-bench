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\Downloads\task_id=373_MO13_Finals_-_Sec_2_-_Dashboard\solution_files\"/>
    </mc:Choice>
  </mc:AlternateContent>
  <xr:revisionPtr revIDLastSave="0" documentId="13_ncr:1_{CF36038A-F7B1-4BD1-82C9-5E3F24C71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s" sheetId="22" r:id="rId1"/>
    <sheet name="Ass" sheetId="9" r:id="rId2"/>
    <sheet name="Solution--&gt;" sheetId="14" state="hidden" r:id="rId3"/>
    <sheet name="Ops" sheetId="15" r:id="rId4"/>
    <sheet name="CapexDA" sheetId="16" r:id="rId5"/>
    <sheet name="Debt" sheetId="17" r:id="rId6"/>
    <sheet name="Accounts" sheetId="18" r:id="rId7"/>
    <sheet name="Returns" sheetId="19" r:id="rId8"/>
    <sheet name="Logo" sheetId="23" r:id="rId9"/>
    <sheet name="Dashboard" sheetId="24" r:id="rId10"/>
  </sheets>
  <definedNames>
    <definedName name="CPI">Ops!$L$15:$CN$15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4" l="1" a="1"/>
  <c r="P9" i="24"/>
  <c r="O9" i="24" a="1"/>
  <c r="O9" i="24"/>
  <c r="N9" i="24" a="1"/>
  <c r="N9" i="24"/>
  <c r="M9" i="24" a="1"/>
  <c r="M9" i="24"/>
  <c r="L9" i="24" a="1"/>
  <c r="L9" i="24"/>
  <c r="P8" i="24" a="1"/>
  <c r="P8" i="24"/>
  <c r="O8" i="24" a="1"/>
  <c r="O8" i="24"/>
  <c r="N8" i="24" a="1"/>
  <c r="N8" i="24"/>
  <c r="M8" i="24" a="1"/>
  <c r="M8" i="24"/>
  <c r="L8" i="24" a="1"/>
  <c r="L8" i="24"/>
  <c r="P7" i="24" a="1"/>
  <c r="P7" i="24"/>
  <c r="O7" i="24" a="1"/>
  <c r="O7" i="24"/>
  <c r="N7" i="24" a="1"/>
  <c r="N7" i="24"/>
  <c r="M7" i="24" a="1"/>
  <c r="M7" i="24"/>
  <c r="L7" i="24" a="1"/>
  <c r="L7" i="24"/>
  <c r="P6" i="24" a="1"/>
  <c r="P6" i="24"/>
  <c r="O6" i="24" a="1"/>
  <c r="O6" i="24"/>
  <c r="N6" i="24" a="1"/>
  <c r="N6" i="24"/>
  <c r="M6" i="24" a="1"/>
  <c r="M6" i="24"/>
  <c r="L6" i="24" a="1"/>
  <c r="L6" i="24"/>
  <c r="L5" i="24" a="1"/>
  <c r="L5" i="24"/>
  <c r="L1" i="24" a="1"/>
  <c r="L1" i="24"/>
  <c r="M45" i="16"/>
  <c r="M52" i="16"/>
  <c r="M59" i="16"/>
  <c r="M66" i="16"/>
  <c r="M73" i="16"/>
  <c r="M131" i="16"/>
  <c r="M25" i="18"/>
  <c r="M27" i="18"/>
  <c r="M31" i="18"/>
  <c r="M33" i="18"/>
  <c r="M35" i="18"/>
  <c r="M86" i="18"/>
  <c r="M87" i="18"/>
  <c r="M91" i="18"/>
  <c r="M92" i="18"/>
  <c r="N90" i="18"/>
  <c r="N71" i="18"/>
  <c r="M97" i="18"/>
  <c r="M98" i="18"/>
  <c r="M82" i="16"/>
  <c r="M89" i="16"/>
  <c r="M96" i="16"/>
  <c r="M103" i="16"/>
  <c r="M110" i="16"/>
  <c r="M137" i="16"/>
  <c r="M100" i="18"/>
  <c r="M101" i="18"/>
  <c r="M103" i="18"/>
  <c r="M56" i="18"/>
  <c r="N76" i="18"/>
  <c r="N77" i="18"/>
  <c r="N81" i="18"/>
  <c r="N24" i="17"/>
  <c r="N25" i="17"/>
  <c r="N15" i="17"/>
  <c r="N83" i="18"/>
  <c r="N84" i="18"/>
  <c r="N45" i="16"/>
  <c r="N52" i="16"/>
  <c r="N59" i="16"/>
  <c r="N66" i="16"/>
  <c r="N73" i="16"/>
  <c r="N131" i="16"/>
  <c r="N25" i="18"/>
  <c r="N27" i="18"/>
  <c r="N31" i="18"/>
  <c r="N33" i="18"/>
  <c r="N35" i="18"/>
  <c r="N86" i="18"/>
  <c r="N87" i="18"/>
  <c r="N91" i="18"/>
  <c r="N92" i="18"/>
  <c r="O90" i="18"/>
  <c r="O71" i="18"/>
  <c r="N97" i="18"/>
  <c r="N98" i="18"/>
  <c r="M83" i="16"/>
  <c r="N80" i="16"/>
  <c r="N82" i="16"/>
  <c r="M90" i="16"/>
  <c r="N87" i="16"/>
  <c r="N89" i="16"/>
  <c r="M97" i="16"/>
  <c r="N94" i="16"/>
  <c r="N96" i="16"/>
  <c r="M104" i="16"/>
  <c r="N101" i="16"/>
  <c r="N103" i="16"/>
  <c r="M111" i="16"/>
  <c r="N108" i="16"/>
  <c r="N110" i="16"/>
  <c r="N137" i="16"/>
  <c r="N100" i="18"/>
  <c r="N101" i="18"/>
  <c r="N103" i="18"/>
  <c r="N56" i="18"/>
  <c r="O76" i="18"/>
  <c r="O77" i="18"/>
  <c r="N16" i="17"/>
  <c r="O12" i="17"/>
  <c r="O21" i="17"/>
  <c r="O79" i="18"/>
  <c r="O14" i="17"/>
  <c r="O80" i="18"/>
  <c r="O81" i="18"/>
  <c r="O23" i="17"/>
  <c r="O24" i="17"/>
  <c r="O25" i="17"/>
  <c r="O15" i="17"/>
  <c r="O83" i="18"/>
  <c r="O84" i="18"/>
  <c r="O45" i="16"/>
  <c r="O52" i="16"/>
  <c r="O59" i="16"/>
  <c r="O66" i="16"/>
  <c r="O73" i="16"/>
  <c r="O131" i="16"/>
  <c r="O25" i="18"/>
  <c r="O27" i="18"/>
  <c r="O29" i="18"/>
  <c r="O31" i="18"/>
  <c r="O33" i="18"/>
  <c r="O35" i="18"/>
  <c r="O86" i="18"/>
  <c r="O87" i="18"/>
  <c r="O91" i="18"/>
  <c r="O92" i="18"/>
  <c r="P90" i="18"/>
  <c r="P71" i="18"/>
  <c r="O97" i="18"/>
  <c r="O98" i="18"/>
  <c r="N83" i="16"/>
  <c r="O80" i="16"/>
  <c r="O82" i="16"/>
  <c r="N90" i="16"/>
  <c r="O87" i="16"/>
  <c r="O89" i="16"/>
  <c r="N97" i="16"/>
  <c r="O94" i="16"/>
  <c r="O96" i="16"/>
  <c r="N104" i="16"/>
  <c r="O101" i="16"/>
  <c r="O103" i="16"/>
  <c r="N111" i="16"/>
  <c r="O108" i="16"/>
  <c r="O110" i="16"/>
  <c r="O137" i="16"/>
  <c r="O100" i="18"/>
  <c r="O101" i="18"/>
  <c r="O103" i="18"/>
  <c r="O56" i="18"/>
  <c r="P76" i="18"/>
  <c r="P77" i="18"/>
  <c r="O16" i="17"/>
  <c r="P12" i="17"/>
  <c r="P21" i="17"/>
  <c r="P79" i="18"/>
  <c r="P14" i="17"/>
  <c r="P80" i="18"/>
  <c r="P81" i="18"/>
  <c r="P23" i="17"/>
  <c r="P24" i="17"/>
  <c r="P25" i="17"/>
  <c r="P15" i="17"/>
  <c r="P83" i="18"/>
  <c r="P84" i="18"/>
  <c r="P45" i="16"/>
  <c r="P52" i="16"/>
  <c r="P59" i="16"/>
  <c r="P66" i="16"/>
  <c r="P73" i="16"/>
  <c r="P131" i="16"/>
  <c r="P25" i="18"/>
  <c r="P27" i="18"/>
  <c r="P29" i="18"/>
  <c r="P31" i="18"/>
  <c r="P33" i="18"/>
  <c r="P35" i="18"/>
  <c r="P86" i="18"/>
  <c r="P87" i="18"/>
  <c r="P91" i="18"/>
  <c r="P92" i="18"/>
  <c r="Q90" i="18"/>
  <c r="Q71" i="18"/>
  <c r="P97" i="18"/>
  <c r="P98" i="18"/>
  <c r="O83" i="16"/>
  <c r="P80" i="16"/>
  <c r="P82" i="16"/>
  <c r="O90" i="16"/>
  <c r="P87" i="16"/>
  <c r="P89" i="16"/>
  <c r="O97" i="16"/>
  <c r="P94" i="16"/>
  <c r="P96" i="16"/>
  <c r="O104" i="16"/>
  <c r="P101" i="16"/>
  <c r="P103" i="16"/>
  <c r="O111" i="16"/>
  <c r="P108" i="16"/>
  <c r="P110" i="16"/>
  <c r="P137" i="16"/>
  <c r="P100" i="18"/>
  <c r="P101" i="18"/>
  <c r="P103" i="18"/>
  <c r="P56" i="18"/>
  <c r="Q76" i="18"/>
  <c r="Q77" i="18"/>
  <c r="P16" i="17"/>
  <c r="Q12" i="17"/>
  <c r="Q21" i="17"/>
  <c r="Q79" i="18"/>
  <c r="Q14" i="17"/>
  <c r="Q80" i="18"/>
  <c r="Q81" i="18"/>
  <c r="Q23" i="17"/>
  <c r="Q24" i="17"/>
  <c r="Q25" i="17"/>
  <c r="Q15" i="17"/>
  <c r="Q83" i="18"/>
  <c r="Q84" i="18"/>
  <c r="Q45" i="16"/>
  <c r="Q52" i="16"/>
  <c r="Q59" i="16"/>
  <c r="Q66" i="16"/>
  <c r="Q73" i="16"/>
  <c r="Q131" i="16"/>
  <c r="Q25" i="18"/>
  <c r="Q27" i="18"/>
  <c r="Q29" i="18"/>
  <c r="Q31" i="18"/>
  <c r="Q33" i="18"/>
  <c r="Q35" i="18"/>
  <c r="Q86" i="18"/>
  <c r="Q87" i="18"/>
  <c r="Q91" i="18"/>
  <c r="Q92" i="18"/>
  <c r="R90" i="18"/>
  <c r="R71" i="18"/>
  <c r="Q97" i="18"/>
  <c r="Q98" i="18"/>
  <c r="P83" i="16"/>
  <c r="Q80" i="16"/>
  <c r="Q82" i="16"/>
  <c r="P90" i="16"/>
  <c r="Q87" i="16"/>
  <c r="Q89" i="16"/>
  <c r="P97" i="16"/>
  <c r="Q94" i="16"/>
  <c r="Q96" i="16"/>
  <c r="P104" i="16"/>
  <c r="Q101" i="16"/>
  <c r="Q103" i="16"/>
  <c r="P111" i="16"/>
  <c r="Q108" i="16"/>
  <c r="Q110" i="16"/>
  <c r="Q137" i="16"/>
  <c r="Q100" i="18"/>
  <c r="Q101" i="18"/>
  <c r="Q103" i="18"/>
  <c r="Q56" i="18"/>
  <c r="R76" i="18"/>
  <c r="R77" i="18"/>
  <c r="Q16" i="17"/>
  <c r="R12" i="17"/>
  <c r="R21" i="17"/>
  <c r="R79" i="18"/>
  <c r="R14" i="17"/>
  <c r="R80" i="18"/>
  <c r="R81" i="18"/>
  <c r="R23" i="17"/>
  <c r="R24" i="17"/>
  <c r="R25" i="17"/>
  <c r="R15" i="17"/>
  <c r="R83" i="18"/>
  <c r="R84" i="18"/>
  <c r="R45" i="16"/>
  <c r="R52" i="16"/>
  <c r="R59" i="16"/>
  <c r="R66" i="16"/>
  <c r="R73" i="16"/>
  <c r="R131" i="16"/>
  <c r="R25" i="18"/>
  <c r="R27" i="18"/>
  <c r="R29" i="18"/>
  <c r="R31" i="18"/>
  <c r="R33" i="18"/>
  <c r="R35" i="18"/>
  <c r="R86" i="18"/>
  <c r="R87" i="18"/>
  <c r="R91" i="18"/>
  <c r="R92" i="18"/>
  <c r="S90" i="18"/>
  <c r="S71" i="18"/>
  <c r="R97" i="18"/>
  <c r="R98" i="18"/>
  <c r="Q83" i="16"/>
  <c r="R80" i="16"/>
  <c r="R82" i="16"/>
  <c r="Q90" i="16"/>
  <c r="R87" i="16"/>
  <c r="R89" i="16"/>
  <c r="Q97" i="16"/>
  <c r="R94" i="16"/>
  <c r="R96" i="16"/>
  <c r="Q104" i="16"/>
  <c r="R101" i="16"/>
  <c r="R103" i="16"/>
  <c r="Q111" i="16"/>
  <c r="R108" i="16"/>
  <c r="R110" i="16"/>
  <c r="R137" i="16"/>
  <c r="R100" i="18"/>
  <c r="R101" i="18"/>
  <c r="R103" i="18"/>
  <c r="R56" i="18"/>
  <c r="S76" i="18"/>
  <c r="S77" i="18"/>
  <c r="R16" i="17"/>
  <c r="S12" i="17"/>
  <c r="S21" i="17"/>
  <c r="S79" i="18"/>
  <c r="S14" i="17"/>
  <c r="S80" i="18"/>
  <c r="S81" i="18"/>
  <c r="S23" i="17"/>
  <c r="S24" i="17"/>
  <c r="S25" i="17"/>
  <c r="S15" i="17"/>
  <c r="S83" i="18"/>
  <c r="S84" i="18"/>
  <c r="S45" i="16"/>
  <c r="S52" i="16"/>
  <c r="S59" i="16"/>
  <c r="S66" i="16"/>
  <c r="S73" i="16"/>
  <c r="S131" i="16"/>
  <c r="S25" i="18"/>
  <c r="S27" i="18"/>
  <c r="S29" i="18"/>
  <c r="S31" i="18"/>
  <c r="S33" i="18"/>
  <c r="S35" i="18"/>
  <c r="S86" i="18"/>
  <c r="S87" i="18"/>
  <c r="S91" i="18"/>
  <c r="S92" i="18"/>
  <c r="T90" i="18"/>
  <c r="T71" i="18"/>
  <c r="S97" i="18"/>
  <c r="S98" i="18"/>
  <c r="R83" i="16"/>
  <c r="S80" i="16"/>
  <c r="S82" i="16"/>
  <c r="R90" i="16"/>
  <c r="S87" i="16"/>
  <c r="S89" i="16"/>
  <c r="R97" i="16"/>
  <c r="S94" i="16"/>
  <c r="S96" i="16"/>
  <c r="R104" i="16"/>
  <c r="S101" i="16"/>
  <c r="S103" i="16"/>
  <c r="R111" i="16"/>
  <c r="S108" i="16"/>
  <c r="S110" i="16"/>
  <c r="S137" i="16"/>
  <c r="S100" i="18"/>
  <c r="S101" i="18"/>
  <c r="S103" i="18"/>
  <c r="S56" i="18"/>
  <c r="T76" i="18"/>
  <c r="T77" i="18"/>
  <c r="S16" i="17"/>
  <c r="T12" i="17"/>
  <c r="T21" i="17"/>
  <c r="T79" i="18"/>
  <c r="T14" i="17"/>
  <c r="T80" i="18"/>
  <c r="T81" i="18"/>
  <c r="T23" i="17"/>
  <c r="T24" i="17"/>
  <c r="T25" i="17"/>
  <c r="T15" i="17"/>
  <c r="T83" i="18"/>
  <c r="T84" i="18"/>
  <c r="T45" i="16"/>
  <c r="T52" i="16"/>
  <c r="T59" i="16"/>
  <c r="T66" i="16"/>
  <c r="T73" i="16"/>
  <c r="T131" i="16"/>
  <c r="T25" i="18"/>
  <c r="T27" i="18"/>
  <c r="T29" i="18"/>
  <c r="T31" i="18"/>
  <c r="T33" i="18"/>
  <c r="T35" i="18"/>
  <c r="T86" i="18"/>
  <c r="T87" i="18"/>
  <c r="T91" i="18"/>
  <c r="T92" i="18"/>
  <c r="U90" i="18"/>
  <c r="U71" i="18"/>
  <c r="T97" i="18"/>
  <c r="T98" i="18"/>
  <c r="S83" i="16"/>
  <c r="T80" i="16"/>
  <c r="T82" i="16"/>
  <c r="S90" i="16"/>
  <c r="T87" i="16"/>
  <c r="T89" i="16"/>
  <c r="S97" i="16"/>
  <c r="T94" i="16"/>
  <c r="T96" i="16"/>
  <c r="S104" i="16"/>
  <c r="T101" i="16"/>
  <c r="T103" i="16"/>
  <c r="S111" i="16"/>
  <c r="T108" i="16"/>
  <c r="T110" i="16"/>
  <c r="T137" i="16"/>
  <c r="T100" i="18"/>
  <c r="T101" i="18"/>
  <c r="T103" i="18"/>
  <c r="T56" i="18"/>
  <c r="U76" i="18"/>
  <c r="U77" i="18"/>
  <c r="T16" i="17"/>
  <c r="U12" i="17"/>
  <c r="U21" i="17"/>
  <c r="U79" i="18"/>
  <c r="U14" i="17"/>
  <c r="U80" i="18"/>
  <c r="U81" i="18"/>
  <c r="U23" i="17"/>
  <c r="U24" i="17"/>
  <c r="U25" i="17"/>
  <c r="U15" i="17"/>
  <c r="U83" i="18"/>
  <c r="U84" i="18"/>
  <c r="U45" i="16"/>
  <c r="U52" i="16"/>
  <c r="U59" i="16"/>
  <c r="U66" i="16"/>
  <c r="U73" i="16"/>
  <c r="U131" i="16"/>
  <c r="U25" i="18"/>
  <c r="U27" i="18"/>
  <c r="U29" i="18"/>
  <c r="U31" i="18"/>
  <c r="U33" i="18"/>
  <c r="U35" i="18"/>
  <c r="U86" i="18"/>
  <c r="U87" i="18"/>
  <c r="U91" i="18"/>
  <c r="U92" i="18"/>
  <c r="V90" i="18"/>
  <c r="V71" i="18"/>
  <c r="U97" i="18"/>
  <c r="U98" i="18"/>
  <c r="T83" i="16"/>
  <c r="U80" i="16"/>
  <c r="U82" i="16"/>
  <c r="T90" i="16"/>
  <c r="U87" i="16"/>
  <c r="U89" i="16"/>
  <c r="T97" i="16"/>
  <c r="U94" i="16"/>
  <c r="U96" i="16"/>
  <c r="T104" i="16"/>
  <c r="U101" i="16"/>
  <c r="U103" i="16"/>
  <c r="T111" i="16"/>
  <c r="U108" i="16"/>
  <c r="U110" i="16"/>
  <c r="U137" i="16"/>
  <c r="U100" i="18"/>
  <c r="U101" i="18"/>
  <c r="U103" i="18"/>
  <c r="U56" i="18"/>
  <c r="V76" i="18"/>
  <c r="V77" i="18"/>
  <c r="U16" i="17"/>
  <c r="V12" i="17"/>
  <c r="V21" i="17"/>
  <c r="V79" i="18"/>
  <c r="V14" i="17"/>
  <c r="V80" i="18"/>
  <c r="V81" i="18"/>
  <c r="V23" i="17"/>
  <c r="V24" i="17"/>
  <c r="V25" i="17"/>
  <c r="V15" i="17"/>
  <c r="V83" i="18"/>
  <c r="V84" i="18"/>
  <c r="V45" i="16"/>
  <c r="V52" i="16"/>
  <c r="V59" i="16"/>
  <c r="V66" i="16"/>
  <c r="V73" i="16"/>
  <c r="V131" i="16"/>
  <c r="V25" i="18"/>
  <c r="V27" i="18"/>
  <c r="V29" i="18"/>
  <c r="V31" i="18"/>
  <c r="V33" i="18"/>
  <c r="V35" i="18"/>
  <c r="V86" i="18"/>
  <c r="V87" i="18"/>
  <c r="V91" i="18"/>
  <c r="V92" i="18"/>
  <c r="W90" i="18"/>
  <c r="W71" i="18"/>
  <c r="V97" i="18"/>
  <c r="V98" i="18"/>
  <c r="U83" i="16"/>
  <c r="V80" i="16"/>
  <c r="V82" i="16"/>
  <c r="U90" i="16"/>
  <c r="V87" i="16"/>
  <c r="V89" i="16"/>
  <c r="U97" i="16"/>
  <c r="V94" i="16"/>
  <c r="V96" i="16"/>
  <c r="U104" i="16"/>
  <c r="V101" i="16"/>
  <c r="V103" i="16"/>
  <c r="U111" i="16"/>
  <c r="V108" i="16"/>
  <c r="V110" i="16"/>
  <c r="V137" i="16"/>
  <c r="V100" i="18"/>
  <c r="V101" i="18"/>
  <c r="V103" i="18"/>
  <c r="V56" i="18"/>
  <c r="W76" i="18"/>
  <c r="W77" i="18"/>
  <c r="V16" i="17"/>
  <c r="W12" i="17"/>
  <c r="W21" i="17"/>
  <c r="W79" i="18"/>
  <c r="W14" i="17"/>
  <c r="W80" i="18"/>
  <c r="W81" i="18"/>
  <c r="W23" i="17"/>
  <c r="W24" i="17"/>
  <c r="W25" i="17"/>
  <c r="W15" i="17"/>
  <c r="W83" i="18"/>
  <c r="W84" i="18"/>
  <c r="W45" i="16"/>
  <c r="W52" i="16"/>
  <c r="W59" i="16"/>
  <c r="W66" i="16"/>
  <c r="W73" i="16"/>
  <c r="W131" i="16"/>
  <c r="W25" i="18"/>
  <c r="W27" i="18"/>
  <c r="W29" i="18"/>
  <c r="W31" i="18"/>
  <c r="W33" i="18"/>
  <c r="W35" i="18"/>
  <c r="W86" i="18"/>
  <c r="W87" i="18"/>
  <c r="W91" i="18"/>
  <c r="W92" i="18"/>
  <c r="X90" i="18"/>
  <c r="X71" i="18"/>
  <c r="W97" i="18"/>
  <c r="W98" i="18"/>
  <c r="V83" i="16"/>
  <c r="W80" i="16"/>
  <c r="W82" i="16"/>
  <c r="V90" i="16"/>
  <c r="W87" i="16"/>
  <c r="W89" i="16"/>
  <c r="V97" i="16"/>
  <c r="W94" i="16"/>
  <c r="W96" i="16"/>
  <c r="V104" i="16"/>
  <c r="W101" i="16"/>
  <c r="W103" i="16"/>
  <c r="V111" i="16"/>
  <c r="W108" i="16"/>
  <c r="W110" i="16"/>
  <c r="W137" i="16"/>
  <c r="W100" i="18"/>
  <c r="W101" i="18"/>
  <c r="W103" i="18"/>
  <c r="W56" i="18"/>
  <c r="X76" i="18"/>
  <c r="X77" i="18"/>
  <c r="W16" i="17"/>
  <c r="X12" i="17"/>
  <c r="X21" i="17"/>
  <c r="X79" i="18"/>
  <c r="X14" i="17"/>
  <c r="X80" i="18"/>
  <c r="X81" i="18"/>
  <c r="X23" i="17"/>
  <c r="X25" i="17"/>
  <c r="X15" i="17"/>
  <c r="X83" i="18"/>
  <c r="X84" i="18"/>
  <c r="X45" i="16"/>
  <c r="X52" i="16"/>
  <c r="X59" i="16"/>
  <c r="X66" i="16"/>
  <c r="X73" i="16"/>
  <c r="X131" i="16"/>
  <c r="X25" i="18"/>
  <c r="X27" i="18"/>
  <c r="X29" i="18"/>
  <c r="X31" i="18"/>
  <c r="X33" i="18"/>
  <c r="X35" i="18"/>
  <c r="X86" i="18"/>
  <c r="X87" i="18"/>
  <c r="X91" i="18"/>
  <c r="X92" i="18"/>
  <c r="Y90" i="18"/>
  <c r="Y71" i="18"/>
  <c r="X97" i="18"/>
  <c r="X98" i="18"/>
  <c r="W83" i="16"/>
  <c r="X80" i="16"/>
  <c r="X82" i="16"/>
  <c r="W90" i="16"/>
  <c r="X87" i="16"/>
  <c r="X89" i="16"/>
  <c r="W97" i="16"/>
  <c r="X94" i="16"/>
  <c r="X96" i="16"/>
  <c r="W104" i="16"/>
  <c r="X101" i="16"/>
  <c r="X103" i="16"/>
  <c r="W111" i="16"/>
  <c r="X108" i="16"/>
  <c r="X110" i="16"/>
  <c r="X137" i="16"/>
  <c r="X100" i="18"/>
  <c r="X101" i="18"/>
  <c r="X103" i="18"/>
  <c r="X56" i="18"/>
  <c r="Y76" i="18"/>
  <c r="Y77" i="18"/>
  <c r="X16" i="17"/>
  <c r="Y12" i="17"/>
  <c r="Y21" i="17"/>
  <c r="Y79" i="18"/>
  <c r="Y14" i="17"/>
  <c r="Y80" i="18"/>
  <c r="Y81" i="18"/>
  <c r="Y23" i="17"/>
  <c r="Y25" i="17"/>
  <c r="Y15" i="17"/>
  <c r="Y83" i="18"/>
  <c r="Y84" i="18"/>
  <c r="Y45" i="16"/>
  <c r="Y52" i="16"/>
  <c r="Y59" i="16"/>
  <c r="Y66" i="16"/>
  <c r="Y73" i="16"/>
  <c r="Y131" i="16"/>
  <c r="Y25" i="18"/>
  <c r="Y27" i="18"/>
  <c r="Y29" i="18"/>
  <c r="Y31" i="18"/>
  <c r="Y33" i="18"/>
  <c r="Y35" i="18"/>
  <c r="Y86" i="18"/>
  <c r="Y87" i="18"/>
  <c r="Y91" i="18"/>
  <c r="Y92" i="18"/>
  <c r="Z90" i="18"/>
  <c r="Z71" i="18"/>
  <c r="Y97" i="18"/>
  <c r="Y98" i="18"/>
  <c r="X83" i="16"/>
  <c r="Y80" i="16"/>
  <c r="Y82" i="16"/>
  <c r="X90" i="16"/>
  <c r="Y87" i="16"/>
  <c r="Y89" i="16"/>
  <c r="X97" i="16"/>
  <c r="Y94" i="16"/>
  <c r="Y96" i="16"/>
  <c r="X104" i="16"/>
  <c r="Y101" i="16"/>
  <c r="Y103" i="16"/>
  <c r="X111" i="16"/>
  <c r="Y108" i="16"/>
  <c r="Y110" i="16"/>
  <c r="Y137" i="16"/>
  <c r="Y100" i="18"/>
  <c r="Y101" i="18"/>
  <c r="Y103" i="18"/>
  <c r="Y56" i="18"/>
  <c r="Z76" i="18"/>
  <c r="Z77" i="18"/>
  <c r="Y16" i="17"/>
  <c r="Z12" i="17"/>
  <c r="Z21" i="17"/>
  <c r="Z79" i="18"/>
  <c r="Z14" i="17"/>
  <c r="Z80" i="18"/>
  <c r="Z81" i="18"/>
  <c r="Z23" i="17"/>
  <c r="Z25" i="17"/>
  <c r="Z15" i="17"/>
  <c r="Z83" i="18"/>
  <c r="Z84" i="18"/>
  <c r="Z45" i="16"/>
  <c r="Z52" i="16"/>
  <c r="Z59" i="16"/>
  <c r="Z66" i="16"/>
  <c r="Z73" i="16"/>
  <c r="Z131" i="16"/>
  <c r="Z25" i="18"/>
  <c r="Z27" i="18"/>
  <c r="Z29" i="18"/>
  <c r="Z31" i="18"/>
  <c r="Z33" i="18"/>
  <c r="Z35" i="18"/>
  <c r="Z86" i="18"/>
  <c r="Z87" i="18"/>
  <c r="Z91" i="18"/>
  <c r="Z92" i="18"/>
  <c r="AA90" i="18"/>
  <c r="AA71" i="18"/>
  <c r="Z97" i="18"/>
  <c r="Z98" i="18"/>
  <c r="Y83" i="16"/>
  <c r="Z80" i="16"/>
  <c r="Z82" i="16"/>
  <c r="Y90" i="16"/>
  <c r="Z87" i="16"/>
  <c r="Z89" i="16"/>
  <c r="Y97" i="16"/>
  <c r="Z94" i="16"/>
  <c r="Z96" i="16"/>
  <c r="Y104" i="16"/>
  <c r="Z101" i="16"/>
  <c r="Z103" i="16"/>
  <c r="Y111" i="16"/>
  <c r="Z108" i="16"/>
  <c r="Z110" i="16"/>
  <c r="Z137" i="16"/>
  <c r="Z100" i="18"/>
  <c r="Z101" i="18"/>
  <c r="Z103" i="18"/>
  <c r="Z56" i="18"/>
  <c r="AA76" i="18"/>
  <c r="AA77" i="18"/>
  <c r="Z16" i="17"/>
  <c r="AA12" i="17"/>
  <c r="AA21" i="17"/>
  <c r="AA79" i="18"/>
  <c r="AA14" i="17"/>
  <c r="AA80" i="18"/>
  <c r="AA81" i="18"/>
  <c r="AA23" i="17"/>
  <c r="AA25" i="17"/>
  <c r="AA15" i="17"/>
  <c r="AA83" i="18"/>
  <c r="AA84" i="18"/>
  <c r="AA45" i="16"/>
  <c r="AA52" i="16"/>
  <c r="AA59" i="16"/>
  <c r="AA66" i="16"/>
  <c r="AA73" i="16"/>
  <c r="AA131" i="16"/>
  <c r="AA25" i="18"/>
  <c r="AA27" i="18"/>
  <c r="AA29" i="18"/>
  <c r="AA31" i="18"/>
  <c r="AA33" i="18"/>
  <c r="AA35" i="18"/>
  <c r="AA86" i="18"/>
  <c r="AA87" i="18"/>
  <c r="AA91" i="18"/>
  <c r="AA92" i="18"/>
  <c r="AB90" i="18"/>
  <c r="AB71" i="18"/>
  <c r="AA97" i="18"/>
  <c r="AA98" i="18"/>
  <c r="Z83" i="16"/>
  <c r="AA80" i="16"/>
  <c r="AA82" i="16"/>
  <c r="Z90" i="16"/>
  <c r="AA87" i="16"/>
  <c r="AA89" i="16"/>
  <c r="Z97" i="16"/>
  <c r="AA94" i="16"/>
  <c r="AA96" i="16"/>
  <c r="Z104" i="16"/>
  <c r="AA101" i="16"/>
  <c r="AA103" i="16"/>
  <c r="Z111" i="16"/>
  <c r="AA108" i="16"/>
  <c r="AA110" i="16"/>
  <c r="AA137" i="16"/>
  <c r="AA100" i="18"/>
  <c r="AA101" i="18"/>
  <c r="AA103" i="18"/>
  <c r="AA56" i="18"/>
  <c r="AB76" i="18"/>
  <c r="AB77" i="18"/>
  <c r="AA16" i="17"/>
  <c r="AB12" i="17"/>
  <c r="AB21" i="17"/>
  <c r="AB79" i="18"/>
  <c r="AB14" i="17"/>
  <c r="AB80" i="18"/>
  <c r="AB81" i="18"/>
  <c r="AB23" i="17"/>
  <c r="AB25" i="17"/>
  <c r="AB15" i="17"/>
  <c r="AB83" i="18"/>
  <c r="AB84" i="18"/>
  <c r="AB45" i="16"/>
  <c r="AB52" i="16"/>
  <c r="AB59" i="16"/>
  <c r="AB66" i="16"/>
  <c r="AB73" i="16"/>
  <c r="AB131" i="16"/>
  <c r="AB25" i="18"/>
  <c r="AB27" i="18"/>
  <c r="AB29" i="18"/>
  <c r="AB31" i="18"/>
  <c r="AB33" i="18"/>
  <c r="AB35" i="18"/>
  <c r="AB86" i="18"/>
  <c r="AB87" i="18"/>
  <c r="AB91" i="18"/>
  <c r="AB92" i="18"/>
  <c r="AC90" i="18"/>
  <c r="AC71" i="18"/>
  <c r="AB97" i="18"/>
  <c r="AB98" i="18"/>
  <c r="AA83" i="16"/>
  <c r="AB80" i="16"/>
  <c r="AB82" i="16"/>
  <c r="AA90" i="16"/>
  <c r="AB87" i="16"/>
  <c r="AB89" i="16"/>
  <c r="AA97" i="16"/>
  <c r="AB94" i="16"/>
  <c r="AB96" i="16"/>
  <c r="AA104" i="16"/>
  <c r="AB101" i="16"/>
  <c r="AB103" i="16"/>
  <c r="AA111" i="16"/>
  <c r="AB108" i="16"/>
  <c r="AB110" i="16"/>
  <c r="AB137" i="16"/>
  <c r="AB100" i="18"/>
  <c r="AB101" i="18"/>
  <c r="AB103" i="18"/>
  <c r="AB56" i="18"/>
  <c r="AC76" i="18"/>
  <c r="AC77" i="18"/>
  <c r="AB16" i="17"/>
  <c r="AC12" i="17"/>
  <c r="AC21" i="17"/>
  <c r="AC79" i="18"/>
  <c r="AC14" i="17"/>
  <c r="AC80" i="18"/>
  <c r="AC81" i="18"/>
  <c r="AC23" i="17"/>
  <c r="AC25" i="17"/>
  <c r="AC15" i="17"/>
  <c r="AC83" i="18"/>
  <c r="AC84" i="18"/>
  <c r="AC45" i="16"/>
  <c r="AC52" i="16"/>
  <c r="AC59" i="16"/>
  <c r="AC66" i="16"/>
  <c r="AC73" i="16"/>
  <c r="AC131" i="16"/>
  <c r="AC25" i="18"/>
  <c r="AC27" i="18"/>
  <c r="AC29" i="18"/>
  <c r="AC31" i="18"/>
  <c r="AC33" i="18"/>
  <c r="AC35" i="18"/>
  <c r="AC86" i="18"/>
  <c r="AC87" i="18"/>
  <c r="AC91" i="18"/>
  <c r="AC92" i="18"/>
  <c r="AD90" i="18"/>
  <c r="AD71" i="18"/>
  <c r="AC97" i="18"/>
  <c r="AC98" i="18"/>
  <c r="AB83" i="16"/>
  <c r="AC80" i="16"/>
  <c r="AC82" i="16"/>
  <c r="AB90" i="16"/>
  <c r="AC87" i="16"/>
  <c r="AC89" i="16"/>
  <c r="AB97" i="16"/>
  <c r="AC94" i="16"/>
  <c r="AC96" i="16"/>
  <c r="AB104" i="16"/>
  <c r="AC101" i="16"/>
  <c r="AC103" i="16"/>
  <c r="AB111" i="16"/>
  <c r="AC108" i="16"/>
  <c r="AC110" i="16"/>
  <c r="AC137" i="16"/>
  <c r="AC100" i="18"/>
  <c r="AC101" i="18"/>
  <c r="AC103" i="18"/>
  <c r="AC56" i="18"/>
  <c r="AD76" i="18"/>
  <c r="AD77" i="18"/>
  <c r="AC16" i="17"/>
  <c r="AD12" i="17"/>
  <c r="AD21" i="17"/>
  <c r="AD79" i="18"/>
  <c r="AD14" i="17"/>
  <c r="AD80" i="18"/>
  <c r="AD81" i="18"/>
  <c r="AD23" i="17"/>
  <c r="AD25" i="17"/>
  <c r="AD15" i="17"/>
  <c r="AD83" i="18"/>
  <c r="AD84" i="18"/>
  <c r="AD45" i="16"/>
  <c r="AD52" i="16"/>
  <c r="AD59" i="16"/>
  <c r="AD66" i="16"/>
  <c r="AD73" i="16"/>
  <c r="AD131" i="16"/>
  <c r="AD25" i="18"/>
  <c r="AD27" i="18"/>
  <c r="AD29" i="18"/>
  <c r="AD31" i="18"/>
  <c r="AD33" i="18"/>
  <c r="AD35" i="18"/>
  <c r="AD86" i="18"/>
  <c r="AD87" i="18"/>
  <c r="AD91" i="18"/>
  <c r="AD92" i="18"/>
  <c r="AE90" i="18"/>
  <c r="AE71" i="18"/>
  <c r="AD97" i="18"/>
  <c r="AD98" i="18"/>
  <c r="AC83" i="16"/>
  <c r="AD80" i="16"/>
  <c r="AD82" i="16"/>
  <c r="AC90" i="16"/>
  <c r="AD87" i="16"/>
  <c r="AD89" i="16"/>
  <c r="AC97" i="16"/>
  <c r="AD94" i="16"/>
  <c r="AD96" i="16"/>
  <c r="AC104" i="16"/>
  <c r="AD101" i="16"/>
  <c r="AD103" i="16"/>
  <c r="AC111" i="16"/>
  <c r="AD108" i="16"/>
  <c r="AD110" i="16"/>
  <c r="AD137" i="16"/>
  <c r="AD100" i="18"/>
  <c r="AD101" i="18"/>
  <c r="AD103" i="18"/>
  <c r="AD56" i="18"/>
  <c r="AE76" i="18"/>
  <c r="AE77" i="18"/>
  <c r="AD16" i="17"/>
  <c r="AE12" i="17"/>
  <c r="AE21" i="17"/>
  <c r="AE79" i="18"/>
  <c r="AE14" i="17"/>
  <c r="AE80" i="18"/>
  <c r="AE81" i="18"/>
  <c r="AE23" i="17"/>
  <c r="AE25" i="17"/>
  <c r="AE15" i="17"/>
  <c r="AE83" i="18"/>
  <c r="AE84" i="18"/>
  <c r="AE45" i="16"/>
  <c r="AE52" i="16"/>
  <c r="AE59" i="16"/>
  <c r="AE66" i="16"/>
  <c r="AE73" i="16"/>
  <c r="AE131" i="16"/>
  <c r="AE25" i="18"/>
  <c r="AE27" i="18"/>
  <c r="AE29" i="18"/>
  <c r="AE31" i="18"/>
  <c r="AE33" i="18"/>
  <c r="AE35" i="18"/>
  <c r="AE86" i="18"/>
  <c r="AE87" i="18"/>
  <c r="AE91" i="18"/>
  <c r="AE92" i="18"/>
  <c r="AF90" i="18"/>
  <c r="AF71" i="18"/>
  <c r="AE97" i="18"/>
  <c r="AE98" i="18"/>
  <c r="AD83" i="16"/>
  <c r="AE80" i="16"/>
  <c r="AE82" i="16"/>
  <c r="AD90" i="16"/>
  <c r="AE87" i="16"/>
  <c r="AE89" i="16"/>
  <c r="AD97" i="16"/>
  <c r="AE94" i="16"/>
  <c r="AE96" i="16"/>
  <c r="AD104" i="16"/>
  <c r="AE101" i="16"/>
  <c r="AE103" i="16"/>
  <c r="AD111" i="16"/>
  <c r="AE108" i="16"/>
  <c r="AE110" i="16"/>
  <c r="AE137" i="16"/>
  <c r="AE100" i="18"/>
  <c r="AE101" i="18"/>
  <c r="AE103" i="18"/>
  <c r="AE56" i="18"/>
  <c r="AF76" i="18"/>
  <c r="AF77" i="18"/>
  <c r="AE16" i="17"/>
  <c r="AF12" i="17"/>
  <c r="AF21" i="17"/>
  <c r="AF79" i="18"/>
  <c r="AF14" i="17"/>
  <c r="AF80" i="18"/>
  <c r="AF81" i="18"/>
  <c r="AF23" i="17"/>
  <c r="AF25" i="17"/>
  <c r="AF15" i="17"/>
  <c r="AF83" i="18"/>
  <c r="AF84" i="18"/>
  <c r="AF45" i="16"/>
  <c r="AF52" i="16"/>
  <c r="AF59" i="16"/>
  <c r="AF66" i="16"/>
  <c r="AF73" i="16"/>
  <c r="AF131" i="16"/>
  <c r="AF25" i="18"/>
  <c r="AF27" i="18"/>
  <c r="AF29" i="18"/>
  <c r="AF31" i="18"/>
  <c r="AF33" i="18"/>
  <c r="AF35" i="18"/>
  <c r="AF86" i="18"/>
  <c r="AF87" i="18"/>
  <c r="AF91" i="18"/>
  <c r="AF92" i="18"/>
  <c r="G20" i="24" a="1"/>
  <c r="G20" i="24"/>
  <c r="F20" i="24" a="1"/>
  <c r="F20" i="24"/>
  <c r="E20" i="24" a="1"/>
  <c r="E20" i="24"/>
  <c r="D20" i="24" a="1"/>
  <c r="D20" i="24"/>
  <c r="C20" i="24" a="1"/>
  <c r="C20" i="24"/>
  <c r="M37" i="18"/>
  <c r="M38" i="18"/>
  <c r="M64" i="18"/>
  <c r="N37" i="18"/>
  <c r="N38" i="18"/>
  <c r="N64" i="18"/>
  <c r="O37" i="18"/>
  <c r="O38" i="18"/>
  <c r="O64" i="18"/>
  <c r="P37" i="18"/>
  <c r="P38" i="18"/>
  <c r="P64" i="18"/>
  <c r="P65" i="18"/>
  <c r="C18" i="24" a="1"/>
  <c r="C18" i="24"/>
  <c r="Q37" i="18"/>
  <c r="Q38" i="18"/>
  <c r="Q64" i="18"/>
  <c r="R37" i="18"/>
  <c r="R38" i="18"/>
  <c r="R64" i="18"/>
  <c r="S37" i="18"/>
  <c r="S38" i="18"/>
  <c r="S64" i="18"/>
  <c r="T37" i="18"/>
  <c r="T38" i="18"/>
  <c r="T64" i="18"/>
  <c r="U37" i="18"/>
  <c r="U38" i="18"/>
  <c r="U64" i="18"/>
  <c r="V37" i="18"/>
  <c r="V38" i="18"/>
  <c r="V64" i="18"/>
  <c r="W37" i="18"/>
  <c r="W38" i="18"/>
  <c r="W64" i="18"/>
  <c r="X37" i="18"/>
  <c r="X38" i="18"/>
  <c r="X64" i="18"/>
  <c r="Y37" i="18"/>
  <c r="Y38" i="18"/>
  <c r="Y64" i="18"/>
  <c r="Z37" i="18"/>
  <c r="Z38" i="18"/>
  <c r="Z64" i="18"/>
  <c r="AA37" i="18"/>
  <c r="AA38" i="18"/>
  <c r="AA64" i="18"/>
  <c r="AB37" i="18"/>
  <c r="AB38" i="18"/>
  <c r="AB64" i="18"/>
  <c r="AC37" i="18"/>
  <c r="AC38" i="18"/>
  <c r="AC64" i="18"/>
  <c r="AD37" i="18"/>
  <c r="AD38" i="18"/>
  <c r="AD64" i="18"/>
  <c r="AE37" i="18"/>
  <c r="AE38" i="18"/>
  <c r="AE64" i="18"/>
  <c r="AF37" i="18"/>
  <c r="AF38" i="18"/>
  <c r="AF64" i="18"/>
  <c r="AF65" i="18"/>
  <c r="G18" i="24" a="1"/>
  <c r="G18" i="24"/>
  <c r="AB65" i="18"/>
  <c r="F18" i="24" a="1"/>
  <c r="F18" i="24"/>
  <c r="X65" i="18"/>
  <c r="E18" i="24" a="1"/>
  <c r="E18" i="24"/>
  <c r="T65" i="18"/>
  <c r="D18" i="24" a="1"/>
  <c r="D18" i="24"/>
  <c r="M107" i="18"/>
  <c r="M108" i="18"/>
  <c r="N106" i="18"/>
  <c r="N107" i="18"/>
  <c r="N108" i="18"/>
  <c r="O106" i="18"/>
  <c r="O107" i="18"/>
  <c r="O108" i="18"/>
  <c r="P106" i="18"/>
  <c r="P107" i="18"/>
  <c r="P108" i="18"/>
  <c r="P111" i="18"/>
  <c r="P57" i="18"/>
  <c r="P58" i="18"/>
  <c r="P59" i="18"/>
  <c r="AF97" i="18"/>
  <c r="AF98" i="18"/>
  <c r="AE83" i="16"/>
  <c r="AF80" i="16"/>
  <c r="AF82" i="16"/>
  <c r="AE90" i="16"/>
  <c r="AF87" i="16"/>
  <c r="AF89" i="16"/>
  <c r="AE97" i="16"/>
  <c r="AF94" i="16"/>
  <c r="AF96" i="16"/>
  <c r="AE104" i="16"/>
  <c r="AF101" i="16"/>
  <c r="AF103" i="16"/>
  <c r="AE111" i="16"/>
  <c r="AF108" i="16"/>
  <c r="AF110" i="16"/>
  <c r="AF137" i="16"/>
  <c r="AF100" i="18"/>
  <c r="AF101" i="18"/>
  <c r="AF103" i="18"/>
  <c r="AF56" i="18"/>
  <c r="Q106" i="18"/>
  <c r="Q107" i="18"/>
  <c r="Q108" i="18"/>
  <c r="R106" i="18"/>
  <c r="R107" i="18"/>
  <c r="R108" i="18"/>
  <c r="S106" i="18"/>
  <c r="S107" i="18"/>
  <c r="S108" i="18"/>
  <c r="T106" i="18"/>
  <c r="T107" i="18"/>
  <c r="T108" i="18"/>
  <c r="U106" i="18"/>
  <c r="U107" i="18"/>
  <c r="U108" i="18"/>
  <c r="V106" i="18"/>
  <c r="V107" i="18"/>
  <c r="V108" i="18"/>
  <c r="W106" i="18"/>
  <c r="W107" i="18"/>
  <c r="W108" i="18"/>
  <c r="X106" i="18"/>
  <c r="X107" i="18"/>
  <c r="X108" i="18"/>
  <c r="Y106" i="18"/>
  <c r="Y107" i="18"/>
  <c r="Y108" i="18"/>
  <c r="Z106" i="18"/>
  <c r="Z107" i="18"/>
  <c r="Z108" i="18"/>
  <c r="AA106" i="18"/>
  <c r="AA107" i="18"/>
  <c r="AA108" i="18"/>
  <c r="AB106" i="18"/>
  <c r="AB107" i="18"/>
  <c r="AB108" i="18"/>
  <c r="AC106" i="18"/>
  <c r="AC107" i="18"/>
  <c r="AC108" i="18"/>
  <c r="AD106" i="18"/>
  <c r="AD107" i="18"/>
  <c r="AD108" i="18"/>
  <c r="AE106" i="18"/>
  <c r="AE107" i="18"/>
  <c r="AE108" i="18"/>
  <c r="AF106" i="18"/>
  <c r="AF107" i="18"/>
  <c r="AF108" i="18"/>
  <c r="AF111" i="18"/>
  <c r="AF57" i="18"/>
  <c r="AF16" i="17"/>
  <c r="AF58" i="18"/>
  <c r="AF59" i="18"/>
  <c r="G17" i="24" a="1"/>
  <c r="G17" i="24"/>
  <c r="AB111" i="18"/>
  <c r="AB57" i="18"/>
  <c r="AB58" i="18"/>
  <c r="AB59" i="18"/>
  <c r="F17" i="24" a="1"/>
  <c r="F17" i="24"/>
  <c r="X111" i="18"/>
  <c r="X57" i="18"/>
  <c r="X58" i="18"/>
  <c r="X59" i="18"/>
  <c r="E17" i="24" a="1"/>
  <c r="E17" i="24"/>
  <c r="T111" i="18"/>
  <c r="T57" i="18"/>
  <c r="T58" i="18"/>
  <c r="T59" i="18"/>
  <c r="D17" i="24" a="1"/>
  <c r="D17" i="24"/>
  <c r="C17" i="24" a="1"/>
  <c r="C17" i="24"/>
  <c r="P43" i="18"/>
  <c r="P110" i="18"/>
  <c r="P45" i="18"/>
  <c r="P46" i="18"/>
  <c r="M132" i="16"/>
  <c r="N129" i="16"/>
  <c r="N132" i="16"/>
  <c r="O129" i="16"/>
  <c r="O132" i="16"/>
  <c r="P129" i="16"/>
  <c r="P132" i="16"/>
  <c r="P49" i="18"/>
  <c r="P50" i="18"/>
  <c r="P52" i="18"/>
  <c r="C16" i="24" a="1"/>
  <c r="C16" i="24"/>
  <c r="AF43" i="18"/>
  <c r="AF110" i="18"/>
  <c r="AF45" i="18"/>
  <c r="AF46" i="18"/>
  <c r="Q129" i="16"/>
  <c r="Q132" i="16"/>
  <c r="R129" i="16"/>
  <c r="R132" i="16"/>
  <c r="S129" i="16"/>
  <c r="S132" i="16"/>
  <c r="T129" i="16"/>
  <c r="T132" i="16"/>
  <c r="U129" i="16"/>
  <c r="U132" i="16"/>
  <c r="V129" i="16"/>
  <c r="V132" i="16"/>
  <c r="W129" i="16"/>
  <c r="W132" i="16"/>
  <c r="X129" i="16"/>
  <c r="X132" i="16"/>
  <c r="Y129" i="16"/>
  <c r="Y132" i="16"/>
  <c r="Z129" i="16"/>
  <c r="Z132" i="16"/>
  <c r="AA129" i="16"/>
  <c r="AA132" i="16"/>
  <c r="AB129" i="16"/>
  <c r="AB132" i="16"/>
  <c r="AC129" i="16"/>
  <c r="AC132" i="16"/>
  <c r="AD129" i="16"/>
  <c r="AD132" i="16"/>
  <c r="AE129" i="16"/>
  <c r="AE132" i="16"/>
  <c r="AF129" i="16"/>
  <c r="AF132" i="16"/>
  <c r="AF49" i="18"/>
  <c r="AF50" i="18"/>
  <c r="AF52" i="18"/>
  <c r="G16" i="24" a="1"/>
  <c r="G16" i="24"/>
  <c r="AB43" i="18"/>
  <c r="AB110" i="18"/>
  <c r="AB45" i="18"/>
  <c r="AB46" i="18"/>
  <c r="AB49" i="18"/>
  <c r="AB50" i="18"/>
  <c r="AB52" i="18"/>
  <c r="F16" i="24" a="1"/>
  <c r="F16" i="24"/>
  <c r="X43" i="18"/>
  <c r="X110" i="18"/>
  <c r="X45" i="18"/>
  <c r="X46" i="18"/>
  <c r="X49" i="18"/>
  <c r="X50" i="18"/>
  <c r="X52" i="18"/>
  <c r="E16" i="24" a="1"/>
  <c r="E16" i="24"/>
  <c r="T43" i="18"/>
  <c r="T110" i="18"/>
  <c r="T45" i="18"/>
  <c r="T46" i="18"/>
  <c r="T49" i="18"/>
  <c r="T50" i="18"/>
  <c r="T52" i="18"/>
  <c r="D16" i="24" a="1"/>
  <c r="D16" i="24"/>
  <c r="C15" i="24" a="1"/>
  <c r="C15" i="24"/>
  <c r="G15" i="24" a="1"/>
  <c r="G15" i="24"/>
  <c r="F15" i="24" a="1"/>
  <c r="F15" i="24"/>
  <c r="E15" i="24" a="1"/>
  <c r="E15" i="24"/>
  <c r="D15" i="24" a="1"/>
  <c r="D15" i="24"/>
  <c r="C14" i="24" a="1"/>
  <c r="C14" i="24"/>
  <c r="D14" i="24" a="1"/>
  <c r="D14" i="24"/>
  <c r="E14" i="24" a="1"/>
  <c r="E14" i="24"/>
  <c r="F14" i="24" a="1"/>
  <c r="F14" i="24"/>
  <c r="G14" i="24" a="1"/>
  <c r="G14" i="24"/>
  <c r="M43" i="18"/>
  <c r="M110" i="18"/>
  <c r="M45" i="18"/>
  <c r="M46" i="18"/>
  <c r="M49" i="18"/>
  <c r="M50" i="18"/>
  <c r="M52" i="18"/>
  <c r="N43" i="18"/>
  <c r="N110" i="18"/>
  <c r="N45" i="18"/>
  <c r="N46" i="18"/>
  <c r="N49" i="18"/>
  <c r="N50" i="18"/>
  <c r="N52" i="18"/>
  <c r="O43" i="18"/>
  <c r="O110" i="18"/>
  <c r="O45" i="18"/>
  <c r="O46" i="18"/>
  <c r="O49" i="18"/>
  <c r="O50" i="18"/>
  <c r="O52" i="18"/>
  <c r="Q43" i="18"/>
  <c r="Q110" i="18"/>
  <c r="Q45" i="18"/>
  <c r="Q46" i="18"/>
  <c r="Q49" i="18"/>
  <c r="Q50" i="18"/>
  <c r="Q52" i="18"/>
  <c r="R43" i="18"/>
  <c r="R110" i="18"/>
  <c r="R45" i="18"/>
  <c r="R46" i="18"/>
  <c r="R49" i="18"/>
  <c r="R50" i="18"/>
  <c r="R52" i="18"/>
  <c r="S43" i="18"/>
  <c r="S110" i="18"/>
  <c r="S45" i="18"/>
  <c r="S46" i="18"/>
  <c r="S49" i="18"/>
  <c r="S50" i="18"/>
  <c r="S52" i="18"/>
  <c r="U43" i="18"/>
  <c r="U110" i="18"/>
  <c r="U45" i="18"/>
  <c r="U46" i="18"/>
  <c r="U49" i="18"/>
  <c r="U50" i="18"/>
  <c r="U52" i="18"/>
  <c r="V43" i="18"/>
  <c r="V110" i="18"/>
  <c r="V45" i="18"/>
  <c r="V46" i="18"/>
  <c r="V49" i="18"/>
  <c r="V50" i="18"/>
  <c r="V52" i="18"/>
  <c r="W43" i="18"/>
  <c r="W110" i="18"/>
  <c r="W45" i="18"/>
  <c r="W46" i="18"/>
  <c r="W49" i="18"/>
  <c r="W50" i="18"/>
  <c r="W52" i="18"/>
  <c r="Y43" i="18"/>
  <c r="Y110" i="18"/>
  <c r="Y45" i="18"/>
  <c r="Y46" i="18"/>
  <c r="Y49" i="18"/>
  <c r="Y50" i="18"/>
  <c r="Y52" i="18"/>
  <c r="Z43" i="18"/>
  <c r="Z110" i="18"/>
  <c r="Z45" i="18"/>
  <c r="Z46" i="18"/>
  <c r="Z49" i="18"/>
  <c r="Z50" i="18"/>
  <c r="Z52" i="18"/>
  <c r="AA43" i="18"/>
  <c r="AA110" i="18"/>
  <c r="AA45" i="18"/>
  <c r="AA46" i="18"/>
  <c r="AA49" i="18"/>
  <c r="AA50" i="18"/>
  <c r="AA52" i="18"/>
  <c r="AC43" i="18"/>
  <c r="AC110" i="18"/>
  <c r="AC45" i="18"/>
  <c r="AC46" i="18"/>
  <c r="AC49" i="18"/>
  <c r="AC50" i="18"/>
  <c r="AC52" i="18"/>
  <c r="AD43" i="18"/>
  <c r="AD110" i="18"/>
  <c r="AD45" i="18"/>
  <c r="AD46" i="18"/>
  <c r="AD49" i="18"/>
  <c r="AD50" i="18"/>
  <c r="AD52" i="18"/>
  <c r="AE43" i="18"/>
  <c r="AE110" i="18"/>
  <c r="AE45" i="18"/>
  <c r="AE46" i="18"/>
  <c r="AE49" i="18"/>
  <c r="AE50" i="18"/>
  <c r="AE52" i="18"/>
  <c r="AG90" i="18"/>
  <c r="AG71" i="18"/>
  <c r="AG76" i="18"/>
  <c r="AG77" i="18"/>
  <c r="AG12" i="17"/>
  <c r="AG21" i="17"/>
  <c r="AG79" i="18"/>
  <c r="AG14" i="17"/>
  <c r="AG80" i="18"/>
  <c r="AG81" i="18"/>
  <c r="AG23" i="17"/>
  <c r="AG25" i="17"/>
  <c r="AG15" i="17"/>
  <c r="AG83" i="18"/>
  <c r="AG84" i="18"/>
  <c r="AG45" i="16"/>
  <c r="AG52" i="16"/>
  <c r="AG59" i="16"/>
  <c r="AG66" i="16"/>
  <c r="AG73" i="16"/>
  <c r="AG131" i="16"/>
  <c r="AG25" i="18"/>
  <c r="AG27" i="18"/>
  <c r="AG29" i="18"/>
  <c r="AG31" i="18"/>
  <c r="AG33" i="18"/>
  <c r="AG35" i="18"/>
  <c r="AG86" i="18"/>
  <c r="AG87" i="18"/>
  <c r="AG91" i="18"/>
  <c r="AG92" i="18"/>
  <c r="AG43" i="18"/>
  <c r="AG106" i="18"/>
  <c r="AG98" i="18"/>
  <c r="AF83" i="16"/>
  <c r="AG80" i="16"/>
  <c r="AG82" i="16"/>
  <c r="AF90" i="16"/>
  <c r="AG87" i="16"/>
  <c r="AG89" i="16"/>
  <c r="AF97" i="16"/>
  <c r="AG94" i="16"/>
  <c r="AG96" i="16"/>
  <c r="AF104" i="16"/>
  <c r="AG101" i="16"/>
  <c r="AG103" i="16"/>
  <c r="AF111" i="16"/>
  <c r="AG108" i="16"/>
  <c r="AG110" i="16"/>
  <c r="AG137" i="16"/>
  <c r="AG100" i="18"/>
  <c r="AG107" i="18"/>
  <c r="AG108" i="18"/>
  <c r="AG110" i="18"/>
  <c r="AG45" i="18"/>
  <c r="AG46" i="18"/>
  <c r="AG129" i="16"/>
  <c r="AG132" i="16"/>
  <c r="AG49" i="18"/>
  <c r="AG50" i="18"/>
  <c r="AG52" i="18"/>
  <c r="AH90" i="18"/>
  <c r="AH71" i="18"/>
  <c r="AG97" i="18"/>
  <c r="AG101" i="18"/>
  <c r="AG103" i="18"/>
  <c r="AG56" i="18"/>
  <c r="AH76" i="18"/>
  <c r="AH77" i="18"/>
  <c r="AG16" i="17"/>
  <c r="AH12" i="17"/>
  <c r="AH21" i="17"/>
  <c r="AH79" i="18"/>
  <c r="AH14" i="17"/>
  <c r="AH80" i="18"/>
  <c r="AH81" i="18"/>
  <c r="AH23" i="17"/>
  <c r="AH25" i="17"/>
  <c r="AH15" i="17"/>
  <c r="AH83" i="18"/>
  <c r="AH84" i="18"/>
  <c r="AH45" i="16"/>
  <c r="AH52" i="16"/>
  <c r="AH59" i="16"/>
  <c r="AH66" i="16"/>
  <c r="AH73" i="16"/>
  <c r="AH131" i="16"/>
  <c r="AH25" i="18"/>
  <c r="AH27" i="18"/>
  <c r="AH29" i="18"/>
  <c r="AH31" i="18"/>
  <c r="AH33" i="18"/>
  <c r="AH35" i="18"/>
  <c r="AH86" i="18"/>
  <c r="AH87" i="18"/>
  <c r="AH91" i="18"/>
  <c r="AH92" i="18"/>
  <c r="AH43" i="18"/>
  <c r="AH106" i="18"/>
  <c r="AH98" i="18"/>
  <c r="AG83" i="16"/>
  <c r="AH80" i="16"/>
  <c r="AH82" i="16"/>
  <c r="AG90" i="16"/>
  <c r="AH87" i="16"/>
  <c r="AH89" i="16"/>
  <c r="AG97" i="16"/>
  <c r="AH94" i="16"/>
  <c r="AH96" i="16"/>
  <c r="AG104" i="16"/>
  <c r="AH101" i="16"/>
  <c r="AH103" i="16"/>
  <c r="AG111" i="16"/>
  <c r="AH108" i="16"/>
  <c r="AH110" i="16"/>
  <c r="AH137" i="16"/>
  <c r="AH100" i="18"/>
  <c r="AH107" i="18"/>
  <c r="AH108" i="18"/>
  <c r="AH110" i="18"/>
  <c r="AH45" i="18"/>
  <c r="AH46" i="18"/>
  <c r="AH129" i="16"/>
  <c r="AH132" i="16"/>
  <c r="AH49" i="18"/>
  <c r="AH50" i="18"/>
  <c r="AH52" i="18"/>
  <c r="AI90" i="18"/>
  <c r="AI71" i="18"/>
  <c r="AH97" i="18"/>
  <c r="AH101" i="18"/>
  <c r="AH103" i="18"/>
  <c r="AH56" i="18"/>
  <c r="AI76" i="18"/>
  <c r="AI77" i="18"/>
  <c r="AH16" i="17"/>
  <c r="AI12" i="17"/>
  <c r="AI21" i="17"/>
  <c r="AI79" i="18"/>
  <c r="AI14" i="17"/>
  <c r="AI80" i="18"/>
  <c r="AI81" i="18"/>
  <c r="AI23" i="17"/>
  <c r="AI25" i="17"/>
  <c r="AI15" i="17"/>
  <c r="AI83" i="18"/>
  <c r="AI84" i="18"/>
  <c r="AI45" i="16"/>
  <c r="AI52" i="16"/>
  <c r="AI59" i="16"/>
  <c r="AI66" i="16"/>
  <c r="AI73" i="16"/>
  <c r="AI131" i="16"/>
  <c r="AI25" i="18"/>
  <c r="AI27" i="18"/>
  <c r="AI29" i="18"/>
  <c r="AI31" i="18"/>
  <c r="AI33" i="18"/>
  <c r="AI35" i="18"/>
  <c r="AI86" i="18"/>
  <c r="AI87" i="18"/>
  <c r="AI91" i="18"/>
  <c r="AI92" i="18"/>
  <c r="AI43" i="18"/>
  <c r="AI106" i="18"/>
  <c r="AI98" i="18"/>
  <c r="AH83" i="16"/>
  <c r="AI80" i="16"/>
  <c r="AI82" i="16"/>
  <c r="AH90" i="16"/>
  <c r="AI87" i="16"/>
  <c r="AI89" i="16"/>
  <c r="AH97" i="16"/>
  <c r="AI94" i="16"/>
  <c r="AI96" i="16"/>
  <c r="AH104" i="16"/>
  <c r="AI101" i="16"/>
  <c r="AI103" i="16"/>
  <c r="AH111" i="16"/>
  <c r="AI108" i="16"/>
  <c r="AI110" i="16"/>
  <c r="AI137" i="16"/>
  <c r="AI100" i="18"/>
  <c r="AI107" i="18"/>
  <c r="AI108" i="18"/>
  <c r="AI110" i="18"/>
  <c r="AI45" i="18"/>
  <c r="AI46" i="18"/>
  <c r="AI129" i="16"/>
  <c r="AI132" i="16"/>
  <c r="AI49" i="18"/>
  <c r="AI50" i="18"/>
  <c r="AI52" i="18"/>
  <c r="AJ90" i="18"/>
  <c r="AJ71" i="18"/>
  <c r="AI97" i="18"/>
  <c r="AI101" i="18"/>
  <c r="AI103" i="18"/>
  <c r="AI56" i="18"/>
  <c r="AJ76" i="18"/>
  <c r="AJ77" i="18"/>
  <c r="AI16" i="17"/>
  <c r="AJ12" i="17"/>
  <c r="AJ21" i="17"/>
  <c r="AJ79" i="18"/>
  <c r="AJ14" i="17"/>
  <c r="AJ80" i="18"/>
  <c r="AJ81" i="18"/>
  <c r="AJ23" i="17"/>
  <c r="AJ25" i="17"/>
  <c r="AJ15" i="17"/>
  <c r="AJ83" i="18"/>
  <c r="AJ84" i="18"/>
  <c r="AJ45" i="16"/>
  <c r="AJ52" i="16"/>
  <c r="AJ59" i="16"/>
  <c r="AJ66" i="16"/>
  <c r="AJ73" i="16"/>
  <c r="AJ131" i="16"/>
  <c r="AJ25" i="18"/>
  <c r="AJ27" i="18"/>
  <c r="AJ29" i="18"/>
  <c r="AJ31" i="18"/>
  <c r="AJ33" i="18"/>
  <c r="AJ35" i="18"/>
  <c r="AJ86" i="18"/>
  <c r="AJ87" i="18"/>
  <c r="AJ91" i="18"/>
  <c r="AJ92" i="18"/>
  <c r="AJ43" i="18"/>
  <c r="AJ106" i="18"/>
  <c r="AJ98" i="18"/>
  <c r="AI83" i="16"/>
  <c r="AJ80" i="16"/>
  <c r="AJ82" i="16"/>
  <c r="AI90" i="16"/>
  <c r="AJ87" i="16"/>
  <c r="AJ89" i="16"/>
  <c r="AI97" i="16"/>
  <c r="AJ94" i="16"/>
  <c r="AJ96" i="16"/>
  <c r="AI104" i="16"/>
  <c r="AJ101" i="16"/>
  <c r="AJ103" i="16"/>
  <c r="AI111" i="16"/>
  <c r="AJ108" i="16"/>
  <c r="AJ110" i="16"/>
  <c r="AJ137" i="16"/>
  <c r="AJ100" i="18"/>
  <c r="AJ107" i="18"/>
  <c r="AJ108" i="18"/>
  <c r="AJ110" i="18"/>
  <c r="AJ45" i="18"/>
  <c r="AJ46" i="18"/>
  <c r="AJ129" i="16"/>
  <c r="AJ132" i="16"/>
  <c r="AJ49" i="18"/>
  <c r="AJ50" i="18"/>
  <c r="AJ52" i="18"/>
  <c r="AK90" i="18"/>
  <c r="AK71" i="18"/>
  <c r="AJ97" i="18"/>
  <c r="AJ101" i="18"/>
  <c r="AJ103" i="18"/>
  <c r="AJ56" i="18"/>
  <c r="AK76" i="18"/>
  <c r="AK77" i="18"/>
  <c r="AJ16" i="17"/>
  <c r="AK12" i="17"/>
  <c r="AK21" i="17"/>
  <c r="AK79" i="18"/>
  <c r="AK14" i="17"/>
  <c r="AK80" i="18"/>
  <c r="AK81" i="18"/>
  <c r="AK23" i="17"/>
  <c r="AK25" i="17"/>
  <c r="AK15" i="17"/>
  <c r="AK83" i="18"/>
  <c r="AK84" i="18"/>
  <c r="AK45" i="16"/>
  <c r="AK52" i="16"/>
  <c r="AK59" i="16"/>
  <c r="AK66" i="16"/>
  <c r="AK73" i="16"/>
  <c r="AK131" i="16"/>
  <c r="AK25" i="18"/>
  <c r="AK27" i="18"/>
  <c r="AK29" i="18"/>
  <c r="AK31" i="18"/>
  <c r="AK33" i="18"/>
  <c r="AK35" i="18"/>
  <c r="AK86" i="18"/>
  <c r="AK87" i="18"/>
  <c r="AK91" i="18"/>
  <c r="AK92" i="18"/>
  <c r="AK43" i="18"/>
  <c r="AK106" i="18"/>
  <c r="AK98" i="18"/>
  <c r="AJ83" i="16"/>
  <c r="AK80" i="16"/>
  <c r="AK82" i="16"/>
  <c r="AJ90" i="16"/>
  <c r="AK87" i="16"/>
  <c r="AK89" i="16"/>
  <c r="AJ97" i="16"/>
  <c r="AK94" i="16"/>
  <c r="AK96" i="16"/>
  <c r="AJ104" i="16"/>
  <c r="AK101" i="16"/>
  <c r="AK103" i="16"/>
  <c r="AJ111" i="16"/>
  <c r="AK108" i="16"/>
  <c r="AK110" i="16"/>
  <c r="AK137" i="16"/>
  <c r="AK100" i="18"/>
  <c r="AK107" i="18"/>
  <c r="AK108" i="18"/>
  <c r="AK110" i="18"/>
  <c r="AK45" i="18"/>
  <c r="AK46" i="18"/>
  <c r="AK129" i="16"/>
  <c r="AK132" i="16"/>
  <c r="AK49" i="18"/>
  <c r="AK50" i="18"/>
  <c r="AK52" i="18"/>
  <c r="AL90" i="18"/>
  <c r="AL71" i="18"/>
  <c r="AK97" i="18"/>
  <c r="AK101" i="18"/>
  <c r="AK103" i="18"/>
  <c r="AK56" i="18"/>
  <c r="AL76" i="18"/>
  <c r="AL77" i="18"/>
  <c r="AK16" i="17"/>
  <c r="AL12" i="17"/>
  <c r="AL21" i="17"/>
  <c r="AL79" i="18"/>
  <c r="AL14" i="17"/>
  <c r="AL80" i="18"/>
  <c r="AL81" i="18"/>
  <c r="AL23" i="17"/>
  <c r="AL25" i="17"/>
  <c r="AL15" i="17"/>
  <c r="AL83" i="18"/>
  <c r="AL84" i="18"/>
  <c r="AL45" i="16"/>
  <c r="AL52" i="16"/>
  <c r="AL59" i="16"/>
  <c r="AL66" i="16"/>
  <c r="AL73" i="16"/>
  <c r="AL131" i="16"/>
  <c r="AL25" i="18"/>
  <c r="AL27" i="18"/>
  <c r="AL29" i="18"/>
  <c r="AL31" i="18"/>
  <c r="AL33" i="18"/>
  <c r="AL35" i="18"/>
  <c r="AL86" i="18"/>
  <c r="AL87" i="18"/>
  <c r="AL91" i="18"/>
  <c r="AL92" i="18"/>
  <c r="AL43" i="18"/>
  <c r="AL106" i="18"/>
  <c r="AL98" i="18"/>
  <c r="AK83" i="16"/>
  <c r="AL80" i="16"/>
  <c r="AL82" i="16"/>
  <c r="AK90" i="16"/>
  <c r="AL87" i="16"/>
  <c r="AL89" i="16"/>
  <c r="AK97" i="16"/>
  <c r="AL94" i="16"/>
  <c r="AL96" i="16"/>
  <c r="AK104" i="16"/>
  <c r="AL101" i="16"/>
  <c r="AL103" i="16"/>
  <c r="AK111" i="16"/>
  <c r="AL108" i="16"/>
  <c r="AL110" i="16"/>
  <c r="AL137" i="16"/>
  <c r="AL100" i="18"/>
  <c r="AL107" i="18"/>
  <c r="AL108" i="18"/>
  <c r="AL110" i="18"/>
  <c r="AL45" i="18"/>
  <c r="AL46" i="18"/>
  <c r="AL129" i="16"/>
  <c r="AL132" i="16"/>
  <c r="AL49" i="18"/>
  <c r="AL50" i="18"/>
  <c r="AL52" i="18"/>
  <c r="AM90" i="18"/>
  <c r="AM71" i="18"/>
  <c r="AL97" i="18"/>
  <c r="AL101" i="18"/>
  <c r="AL103" i="18"/>
  <c r="AL56" i="18"/>
  <c r="AM76" i="18"/>
  <c r="AM77" i="18"/>
  <c r="AL16" i="17"/>
  <c r="AM12" i="17"/>
  <c r="AM21" i="17"/>
  <c r="AM79" i="18"/>
  <c r="AM14" i="17"/>
  <c r="AM80" i="18"/>
  <c r="AM81" i="18"/>
  <c r="AM23" i="17"/>
  <c r="AM25" i="17"/>
  <c r="AM15" i="17"/>
  <c r="AM83" i="18"/>
  <c r="AM84" i="18"/>
  <c r="AM45" i="16"/>
  <c r="AM52" i="16"/>
  <c r="AM59" i="16"/>
  <c r="AM66" i="16"/>
  <c r="AM73" i="16"/>
  <c r="AM131" i="16"/>
  <c r="AM25" i="18"/>
  <c r="AM27" i="18"/>
  <c r="AM29" i="18"/>
  <c r="AM31" i="18"/>
  <c r="AM33" i="18"/>
  <c r="AM35" i="18"/>
  <c r="AM86" i="18"/>
  <c r="AM87" i="18"/>
  <c r="AM91" i="18"/>
  <c r="AM92" i="18"/>
  <c r="AM43" i="18"/>
  <c r="AM106" i="18"/>
  <c r="AM98" i="18"/>
  <c r="AL83" i="16"/>
  <c r="AM80" i="16"/>
  <c r="AM82" i="16"/>
  <c r="AL90" i="16"/>
  <c r="AM87" i="16"/>
  <c r="AM89" i="16"/>
  <c r="AL97" i="16"/>
  <c r="AM94" i="16"/>
  <c r="AM96" i="16"/>
  <c r="AL104" i="16"/>
  <c r="AM101" i="16"/>
  <c r="AM103" i="16"/>
  <c r="AL111" i="16"/>
  <c r="AM108" i="16"/>
  <c r="AM110" i="16"/>
  <c r="AM137" i="16"/>
  <c r="AM100" i="18"/>
  <c r="AM107" i="18"/>
  <c r="AM108" i="18"/>
  <c r="AM110" i="18"/>
  <c r="AM45" i="18"/>
  <c r="AM46" i="18"/>
  <c r="AM129" i="16"/>
  <c r="AM132" i="16"/>
  <c r="AM49" i="18"/>
  <c r="AM50" i="18"/>
  <c r="AM52" i="18"/>
  <c r="AN90" i="18"/>
  <c r="AN71" i="18"/>
  <c r="AM97" i="18"/>
  <c r="AM101" i="18"/>
  <c r="AM103" i="18"/>
  <c r="AM56" i="18"/>
  <c r="AN76" i="18"/>
  <c r="AN77" i="18"/>
  <c r="AM16" i="17"/>
  <c r="AN12" i="17"/>
  <c r="AN21" i="17"/>
  <c r="AN79" i="18"/>
  <c r="AN14" i="17"/>
  <c r="AN80" i="18"/>
  <c r="AN81" i="18"/>
  <c r="AN23" i="17"/>
  <c r="AN25" i="17"/>
  <c r="AN15" i="17"/>
  <c r="AN83" i="18"/>
  <c r="AN84" i="18"/>
  <c r="AN45" i="16"/>
  <c r="AN52" i="16"/>
  <c r="AN59" i="16"/>
  <c r="AN66" i="16"/>
  <c r="AN73" i="16"/>
  <c r="AN131" i="16"/>
  <c r="AN25" i="18"/>
  <c r="AN27" i="18"/>
  <c r="AN29" i="18"/>
  <c r="AN31" i="18"/>
  <c r="AN33" i="18"/>
  <c r="AN35" i="18"/>
  <c r="AN86" i="18"/>
  <c r="AN87" i="18"/>
  <c r="AN91" i="18"/>
  <c r="AN92" i="18"/>
  <c r="AN43" i="18"/>
  <c r="AN106" i="18"/>
  <c r="AN98" i="18"/>
  <c r="AM83" i="16"/>
  <c r="AN80" i="16"/>
  <c r="AN82" i="16"/>
  <c r="AM90" i="16"/>
  <c r="AN87" i="16"/>
  <c r="AN89" i="16"/>
  <c r="AM97" i="16"/>
  <c r="AN94" i="16"/>
  <c r="AN96" i="16"/>
  <c r="AM104" i="16"/>
  <c r="AN101" i="16"/>
  <c r="AN103" i="16"/>
  <c r="AM111" i="16"/>
  <c r="AN108" i="16"/>
  <c r="AN110" i="16"/>
  <c r="AN137" i="16"/>
  <c r="AN100" i="18"/>
  <c r="AN107" i="18"/>
  <c r="AN108" i="18"/>
  <c r="AN110" i="18"/>
  <c r="AN45" i="18"/>
  <c r="AN46" i="18"/>
  <c r="AN129" i="16"/>
  <c r="AN132" i="16"/>
  <c r="AN49" i="18"/>
  <c r="AN50" i="18"/>
  <c r="AN52" i="18"/>
  <c r="AO90" i="18"/>
  <c r="AO71" i="18"/>
  <c r="AN97" i="18"/>
  <c r="AN101" i="18"/>
  <c r="AN103" i="18"/>
  <c r="AN56" i="18"/>
  <c r="AO76" i="18"/>
  <c r="AO77" i="18"/>
  <c r="AN16" i="17"/>
  <c r="AO12" i="17"/>
  <c r="AO21" i="17"/>
  <c r="AO79" i="18"/>
  <c r="AO14" i="17"/>
  <c r="AO80" i="18"/>
  <c r="AO81" i="18"/>
  <c r="AO23" i="17"/>
  <c r="AO25" i="17"/>
  <c r="AO15" i="17"/>
  <c r="AO83" i="18"/>
  <c r="AO84" i="18"/>
  <c r="AO45" i="16"/>
  <c r="AO52" i="16"/>
  <c r="AO59" i="16"/>
  <c r="AO66" i="16"/>
  <c r="AO73" i="16"/>
  <c r="AO131" i="16"/>
  <c r="AO25" i="18"/>
  <c r="AO27" i="18"/>
  <c r="AO29" i="18"/>
  <c r="AO31" i="18"/>
  <c r="AO33" i="18"/>
  <c r="AO35" i="18"/>
  <c r="AO86" i="18"/>
  <c r="AO87" i="18"/>
  <c r="AO91" i="18"/>
  <c r="AO92" i="18"/>
  <c r="AO43" i="18"/>
  <c r="AO106" i="18"/>
  <c r="AO98" i="18"/>
  <c r="AN83" i="16"/>
  <c r="AO80" i="16"/>
  <c r="AO82" i="16"/>
  <c r="AN90" i="16"/>
  <c r="AO87" i="16"/>
  <c r="AO89" i="16"/>
  <c r="AN97" i="16"/>
  <c r="AO94" i="16"/>
  <c r="AO96" i="16"/>
  <c r="AN104" i="16"/>
  <c r="AO101" i="16"/>
  <c r="AO103" i="16"/>
  <c r="AN111" i="16"/>
  <c r="AO108" i="16"/>
  <c r="AO110" i="16"/>
  <c r="AO137" i="16"/>
  <c r="AO100" i="18"/>
  <c r="AO107" i="18"/>
  <c r="AO108" i="18"/>
  <c r="AO110" i="18"/>
  <c r="AO45" i="18"/>
  <c r="AO46" i="18"/>
  <c r="AO129" i="16"/>
  <c r="AO132" i="16"/>
  <c r="AO49" i="18"/>
  <c r="AO50" i="18"/>
  <c r="AO52" i="18"/>
  <c r="AP90" i="18"/>
  <c r="AP71" i="18"/>
  <c r="AO97" i="18"/>
  <c r="AO101" i="18"/>
  <c r="AO103" i="18"/>
  <c r="AO56" i="18"/>
  <c r="AP76" i="18"/>
  <c r="AP77" i="18"/>
  <c r="AO16" i="17"/>
  <c r="AP12" i="17"/>
  <c r="AP21" i="17"/>
  <c r="AP79" i="18"/>
  <c r="AP14" i="17"/>
  <c r="AP80" i="18"/>
  <c r="AP81" i="18"/>
  <c r="AP23" i="17"/>
  <c r="AP25" i="17"/>
  <c r="AP15" i="17"/>
  <c r="AP83" i="18"/>
  <c r="AP84" i="18"/>
  <c r="AP45" i="16"/>
  <c r="AP52" i="16"/>
  <c r="AP59" i="16"/>
  <c r="AP66" i="16"/>
  <c r="AP73" i="16"/>
  <c r="AP131" i="16"/>
  <c r="AP25" i="18"/>
  <c r="AP27" i="18"/>
  <c r="AP29" i="18"/>
  <c r="AP31" i="18"/>
  <c r="AP33" i="18"/>
  <c r="AP35" i="18"/>
  <c r="AP86" i="18"/>
  <c r="AP87" i="18"/>
  <c r="AP91" i="18"/>
  <c r="AP92" i="18"/>
  <c r="AP43" i="18"/>
  <c r="AP106" i="18"/>
  <c r="AP98" i="18"/>
  <c r="AO83" i="16"/>
  <c r="AP80" i="16"/>
  <c r="AP82" i="16"/>
  <c r="AO90" i="16"/>
  <c r="AP87" i="16"/>
  <c r="AP89" i="16"/>
  <c r="AO97" i="16"/>
  <c r="AP94" i="16"/>
  <c r="AP96" i="16"/>
  <c r="AO104" i="16"/>
  <c r="AP101" i="16"/>
  <c r="AP103" i="16"/>
  <c r="AO111" i="16"/>
  <c r="AP108" i="16"/>
  <c r="AP110" i="16"/>
  <c r="AP137" i="16"/>
  <c r="AP100" i="18"/>
  <c r="AP107" i="18"/>
  <c r="AP108" i="18"/>
  <c r="AP110" i="18"/>
  <c r="AP45" i="18"/>
  <c r="AP46" i="18"/>
  <c r="AP129" i="16"/>
  <c r="AP132" i="16"/>
  <c r="AP49" i="18"/>
  <c r="AP50" i="18"/>
  <c r="AP52" i="18"/>
  <c r="AQ90" i="18"/>
  <c r="AQ71" i="18"/>
  <c r="AP97" i="18"/>
  <c r="AP101" i="18"/>
  <c r="AP103" i="18"/>
  <c r="AP56" i="18"/>
  <c r="AQ76" i="18"/>
  <c r="AQ77" i="18"/>
  <c r="AP16" i="17"/>
  <c r="AQ12" i="17"/>
  <c r="AQ21" i="17"/>
  <c r="AQ79" i="18"/>
  <c r="AQ14" i="17"/>
  <c r="AQ80" i="18"/>
  <c r="AQ81" i="18"/>
  <c r="AQ23" i="17"/>
  <c r="AQ25" i="17"/>
  <c r="AQ15" i="17"/>
  <c r="AQ83" i="18"/>
  <c r="AQ84" i="18"/>
  <c r="AQ45" i="16"/>
  <c r="AQ52" i="16"/>
  <c r="AQ59" i="16"/>
  <c r="AQ66" i="16"/>
  <c r="AQ73" i="16"/>
  <c r="AQ131" i="16"/>
  <c r="AQ25" i="18"/>
  <c r="AQ27" i="18"/>
  <c r="AQ29" i="18"/>
  <c r="AQ31" i="18"/>
  <c r="AQ33" i="18"/>
  <c r="AQ35" i="18"/>
  <c r="AQ86" i="18"/>
  <c r="AQ87" i="18"/>
  <c r="AQ91" i="18"/>
  <c r="AQ92" i="18"/>
  <c r="AQ43" i="18"/>
  <c r="AQ106" i="18"/>
  <c r="AQ98" i="18"/>
  <c r="AP83" i="16"/>
  <c r="AQ80" i="16"/>
  <c r="AQ82" i="16"/>
  <c r="AP90" i="16"/>
  <c r="AQ87" i="16"/>
  <c r="AQ89" i="16"/>
  <c r="AP97" i="16"/>
  <c r="AQ94" i="16"/>
  <c r="AQ96" i="16"/>
  <c r="AP104" i="16"/>
  <c r="AQ101" i="16"/>
  <c r="AQ103" i="16"/>
  <c r="AP111" i="16"/>
  <c r="AQ108" i="16"/>
  <c r="AQ110" i="16"/>
  <c r="AQ137" i="16"/>
  <c r="AQ100" i="18"/>
  <c r="AQ107" i="18"/>
  <c r="AQ108" i="18"/>
  <c r="AQ110" i="18"/>
  <c r="AQ45" i="18"/>
  <c r="AQ46" i="18"/>
  <c r="AQ129" i="16"/>
  <c r="AQ132" i="16"/>
  <c r="AQ49" i="18"/>
  <c r="AQ50" i="18"/>
  <c r="AQ52" i="18"/>
  <c r="AR90" i="18"/>
  <c r="AR71" i="18"/>
  <c r="AQ97" i="18"/>
  <c r="AQ101" i="18"/>
  <c r="AQ103" i="18"/>
  <c r="AQ56" i="18"/>
  <c r="AR76" i="18"/>
  <c r="AR77" i="18"/>
  <c r="AQ16" i="17"/>
  <c r="AR12" i="17"/>
  <c r="AR21" i="17"/>
  <c r="AR79" i="18"/>
  <c r="AR14" i="17"/>
  <c r="AR80" i="18"/>
  <c r="AR81" i="18"/>
  <c r="AR23" i="17"/>
  <c r="AR25" i="17"/>
  <c r="AR15" i="17"/>
  <c r="AR83" i="18"/>
  <c r="AR84" i="18"/>
  <c r="AR45" i="16"/>
  <c r="AR52" i="16"/>
  <c r="AR59" i="16"/>
  <c r="AR66" i="16"/>
  <c r="AR73" i="16"/>
  <c r="AR131" i="16"/>
  <c r="AR25" i="18"/>
  <c r="AR27" i="18"/>
  <c r="AR29" i="18"/>
  <c r="AR31" i="18"/>
  <c r="AR33" i="18"/>
  <c r="AR35" i="18"/>
  <c r="AR86" i="18"/>
  <c r="AR87" i="18"/>
  <c r="AR91" i="18"/>
  <c r="AR92" i="18"/>
  <c r="AR43" i="18"/>
  <c r="AR106" i="18"/>
  <c r="AR98" i="18"/>
  <c r="AQ83" i="16"/>
  <c r="AR80" i="16"/>
  <c r="AR82" i="16"/>
  <c r="AQ90" i="16"/>
  <c r="AR87" i="16"/>
  <c r="AR89" i="16"/>
  <c r="AQ97" i="16"/>
  <c r="AR94" i="16"/>
  <c r="AR96" i="16"/>
  <c r="AQ104" i="16"/>
  <c r="AR101" i="16"/>
  <c r="AR103" i="16"/>
  <c r="AQ111" i="16"/>
  <c r="AR108" i="16"/>
  <c r="AR110" i="16"/>
  <c r="AR137" i="16"/>
  <c r="AR100" i="18"/>
  <c r="AR107" i="18"/>
  <c r="AR108" i="18"/>
  <c r="AR110" i="18"/>
  <c r="AR45" i="18"/>
  <c r="AR46" i="18"/>
  <c r="AR129" i="16"/>
  <c r="AR132" i="16"/>
  <c r="AR49" i="18"/>
  <c r="AR50" i="18"/>
  <c r="AR52" i="18"/>
  <c r="AS90" i="18"/>
  <c r="AS71" i="18"/>
  <c r="AR97" i="18"/>
  <c r="AR101" i="18"/>
  <c r="AR103" i="18"/>
  <c r="AR56" i="18"/>
  <c r="AS76" i="18"/>
  <c r="AS77" i="18"/>
  <c r="AR16" i="17"/>
  <c r="AS12" i="17"/>
  <c r="AS21" i="17"/>
  <c r="AS79" i="18"/>
  <c r="AS14" i="17"/>
  <c r="AS80" i="18"/>
  <c r="AS81" i="18"/>
  <c r="AS23" i="17"/>
  <c r="AS25" i="17"/>
  <c r="AS15" i="17"/>
  <c r="AS83" i="18"/>
  <c r="AS84" i="18"/>
  <c r="AS45" i="16"/>
  <c r="AS52" i="16"/>
  <c r="AS59" i="16"/>
  <c r="AS66" i="16"/>
  <c r="AS73" i="16"/>
  <c r="AS131" i="16"/>
  <c r="AS25" i="18"/>
  <c r="AS27" i="18"/>
  <c r="AS29" i="18"/>
  <c r="AS31" i="18"/>
  <c r="AS33" i="18"/>
  <c r="AS35" i="18"/>
  <c r="AS86" i="18"/>
  <c r="AS87" i="18"/>
  <c r="AS91" i="18"/>
  <c r="AS92" i="18"/>
  <c r="AS43" i="18"/>
  <c r="AS106" i="18"/>
  <c r="AS98" i="18"/>
  <c r="AR83" i="16"/>
  <c r="AS80" i="16"/>
  <c r="AS82" i="16"/>
  <c r="AR90" i="16"/>
  <c r="AS87" i="16"/>
  <c r="AS89" i="16"/>
  <c r="AR97" i="16"/>
  <c r="AS94" i="16"/>
  <c r="AS96" i="16"/>
  <c r="AR104" i="16"/>
  <c r="AS101" i="16"/>
  <c r="AS103" i="16"/>
  <c r="AR111" i="16"/>
  <c r="AS108" i="16"/>
  <c r="AS110" i="16"/>
  <c r="AS137" i="16"/>
  <c r="AS100" i="18"/>
  <c r="AS107" i="18"/>
  <c r="AS108" i="18"/>
  <c r="AS110" i="18"/>
  <c r="AS45" i="18"/>
  <c r="AS46" i="18"/>
  <c r="AS129" i="16"/>
  <c r="AS132" i="16"/>
  <c r="AS49" i="18"/>
  <c r="AS50" i="18"/>
  <c r="AS52" i="18"/>
  <c r="AT90" i="18"/>
  <c r="AT71" i="18"/>
  <c r="AS97" i="18"/>
  <c r="AS101" i="18"/>
  <c r="AS103" i="18"/>
  <c r="AS56" i="18"/>
  <c r="AT76" i="18"/>
  <c r="AT77" i="18"/>
  <c r="AS16" i="17"/>
  <c r="AT12" i="17"/>
  <c r="AT21" i="17"/>
  <c r="AT79" i="18"/>
  <c r="AT14" i="17"/>
  <c r="AT80" i="18"/>
  <c r="AT81" i="18"/>
  <c r="AT23" i="17"/>
  <c r="AT25" i="17"/>
  <c r="AT15" i="17"/>
  <c r="AT83" i="18"/>
  <c r="AT84" i="18"/>
  <c r="AT45" i="16"/>
  <c r="AT52" i="16"/>
  <c r="AT59" i="16"/>
  <c r="AT66" i="16"/>
  <c r="AT73" i="16"/>
  <c r="AT131" i="16"/>
  <c r="AT25" i="18"/>
  <c r="AT27" i="18"/>
  <c r="AT29" i="18"/>
  <c r="AT31" i="18"/>
  <c r="AT33" i="18"/>
  <c r="AT35" i="18"/>
  <c r="AT86" i="18"/>
  <c r="AT87" i="18"/>
  <c r="AT91" i="18"/>
  <c r="AT92" i="18"/>
  <c r="AT43" i="18"/>
  <c r="AT106" i="18"/>
  <c r="AT98" i="18"/>
  <c r="AS83" i="16"/>
  <c r="AT80" i="16"/>
  <c r="AT82" i="16"/>
  <c r="AS90" i="16"/>
  <c r="AT87" i="16"/>
  <c r="AT89" i="16"/>
  <c r="AS97" i="16"/>
  <c r="AT94" i="16"/>
  <c r="AT96" i="16"/>
  <c r="AS104" i="16"/>
  <c r="AT101" i="16"/>
  <c r="AT103" i="16"/>
  <c r="AS111" i="16"/>
  <c r="AT108" i="16"/>
  <c r="AT110" i="16"/>
  <c r="AT137" i="16"/>
  <c r="AT100" i="18"/>
  <c r="AT107" i="18"/>
  <c r="AT108" i="18"/>
  <c r="AT110" i="18"/>
  <c r="AT45" i="18"/>
  <c r="AT46" i="18"/>
  <c r="AT129" i="16"/>
  <c r="AT132" i="16"/>
  <c r="AT49" i="18"/>
  <c r="AT50" i="18"/>
  <c r="AT52" i="18"/>
  <c r="AU90" i="18"/>
  <c r="AU71" i="18"/>
  <c r="AT97" i="18"/>
  <c r="AT101" i="18"/>
  <c r="AT103" i="18"/>
  <c r="AT56" i="18"/>
  <c r="AU76" i="18"/>
  <c r="AU77" i="18"/>
  <c r="AT16" i="17"/>
  <c r="AU12" i="17"/>
  <c r="AU21" i="17"/>
  <c r="AU79" i="18"/>
  <c r="AU14" i="17"/>
  <c r="AU80" i="18"/>
  <c r="AU81" i="18"/>
  <c r="AU23" i="17"/>
  <c r="AU25" i="17"/>
  <c r="AU15" i="17"/>
  <c r="AU83" i="18"/>
  <c r="AU84" i="18"/>
  <c r="AU45" i="16"/>
  <c r="AU52" i="16"/>
  <c r="AU59" i="16"/>
  <c r="AU66" i="16"/>
  <c r="AU73" i="16"/>
  <c r="AU131" i="16"/>
  <c r="AU25" i="18"/>
  <c r="AU27" i="18"/>
  <c r="AU29" i="18"/>
  <c r="AU31" i="18"/>
  <c r="AU33" i="18"/>
  <c r="AU35" i="18"/>
  <c r="AU86" i="18"/>
  <c r="AU87" i="18"/>
  <c r="AU91" i="18"/>
  <c r="AU92" i="18"/>
  <c r="AU43" i="18"/>
  <c r="AU106" i="18"/>
  <c r="AU98" i="18"/>
  <c r="AT83" i="16"/>
  <c r="AU80" i="16"/>
  <c r="AU82" i="16"/>
  <c r="AT90" i="16"/>
  <c r="AU87" i="16"/>
  <c r="AU89" i="16"/>
  <c r="AT97" i="16"/>
  <c r="AU94" i="16"/>
  <c r="AU96" i="16"/>
  <c r="AT104" i="16"/>
  <c r="AU101" i="16"/>
  <c r="AU103" i="16"/>
  <c r="AT111" i="16"/>
  <c r="AU108" i="16"/>
  <c r="AU110" i="16"/>
  <c r="AU137" i="16"/>
  <c r="AU100" i="18"/>
  <c r="AU107" i="18"/>
  <c r="AU108" i="18"/>
  <c r="AU110" i="18"/>
  <c r="AU45" i="18"/>
  <c r="AU46" i="18"/>
  <c r="AU129" i="16"/>
  <c r="AU132" i="16"/>
  <c r="AU49" i="18"/>
  <c r="AU50" i="18"/>
  <c r="AU52" i="18"/>
  <c r="AV90" i="18"/>
  <c r="AV71" i="18"/>
  <c r="AU97" i="18"/>
  <c r="AU101" i="18"/>
  <c r="AU103" i="18"/>
  <c r="AU56" i="18"/>
  <c r="AV76" i="18"/>
  <c r="AV77" i="18"/>
  <c r="AU16" i="17"/>
  <c r="AV12" i="17"/>
  <c r="AV21" i="17"/>
  <c r="AV79" i="18"/>
  <c r="AV14" i="17"/>
  <c r="AV80" i="18"/>
  <c r="AV81" i="18"/>
  <c r="AV23" i="17"/>
  <c r="AV25" i="17"/>
  <c r="AV15" i="17"/>
  <c r="AV83" i="18"/>
  <c r="AV84" i="18"/>
  <c r="AV45" i="16"/>
  <c r="AV52" i="16"/>
  <c r="AV59" i="16"/>
  <c r="AV66" i="16"/>
  <c r="AV73" i="16"/>
  <c r="AV131" i="16"/>
  <c r="AV25" i="18"/>
  <c r="AV27" i="18"/>
  <c r="AV29" i="18"/>
  <c r="AV31" i="18"/>
  <c r="AV33" i="18"/>
  <c r="AV35" i="18"/>
  <c r="AV86" i="18"/>
  <c r="AV87" i="18"/>
  <c r="AV91" i="18"/>
  <c r="AV92" i="18"/>
  <c r="AV43" i="18"/>
  <c r="AV106" i="18"/>
  <c r="AV98" i="18"/>
  <c r="AU83" i="16"/>
  <c r="AV80" i="16"/>
  <c r="AV82" i="16"/>
  <c r="AU90" i="16"/>
  <c r="AV87" i="16"/>
  <c r="AV89" i="16"/>
  <c r="AU97" i="16"/>
  <c r="AV94" i="16"/>
  <c r="AV96" i="16"/>
  <c r="AU104" i="16"/>
  <c r="AV101" i="16"/>
  <c r="AV103" i="16"/>
  <c r="AU111" i="16"/>
  <c r="AV108" i="16"/>
  <c r="AV110" i="16"/>
  <c r="AV137" i="16"/>
  <c r="AV100" i="18"/>
  <c r="AV107" i="18"/>
  <c r="AV108" i="18"/>
  <c r="AV110" i="18"/>
  <c r="AV45" i="18"/>
  <c r="AV46" i="18"/>
  <c r="AV129" i="16"/>
  <c r="AV132" i="16"/>
  <c r="AV49" i="18"/>
  <c r="AV50" i="18"/>
  <c r="AV52" i="18"/>
  <c r="AW90" i="18"/>
  <c r="AW71" i="18"/>
  <c r="AV97" i="18"/>
  <c r="AV101" i="18"/>
  <c r="AV103" i="18"/>
  <c r="AV56" i="18"/>
  <c r="AW76" i="18"/>
  <c r="AW77" i="18"/>
  <c r="AV16" i="17"/>
  <c r="AW12" i="17"/>
  <c r="AW21" i="17"/>
  <c r="AW79" i="18"/>
  <c r="AW14" i="17"/>
  <c r="AW80" i="18"/>
  <c r="AW81" i="18"/>
  <c r="AW23" i="17"/>
  <c r="AW25" i="17"/>
  <c r="AW15" i="17"/>
  <c r="AW83" i="18"/>
  <c r="AW84" i="18"/>
  <c r="AW45" i="16"/>
  <c r="AW52" i="16"/>
  <c r="AW59" i="16"/>
  <c r="AW66" i="16"/>
  <c r="AW73" i="16"/>
  <c r="AW131" i="16"/>
  <c r="AW25" i="18"/>
  <c r="AW27" i="18"/>
  <c r="AW29" i="18"/>
  <c r="AW31" i="18"/>
  <c r="AW33" i="18"/>
  <c r="AW35" i="18"/>
  <c r="AW86" i="18"/>
  <c r="AW87" i="18"/>
  <c r="AW91" i="18"/>
  <c r="AW92" i="18"/>
  <c r="AW43" i="18"/>
  <c r="AW106" i="18"/>
  <c r="AW98" i="18"/>
  <c r="AV83" i="16"/>
  <c r="AW80" i="16"/>
  <c r="AW82" i="16"/>
  <c r="AV90" i="16"/>
  <c r="AW87" i="16"/>
  <c r="AW89" i="16"/>
  <c r="AV97" i="16"/>
  <c r="AW94" i="16"/>
  <c r="AW96" i="16"/>
  <c r="AV104" i="16"/>
  <c r="AW101" i="16"/>
  <c r="AW103" i="16"/>
  <c r="AV111" i="16"/>
  <c r="AW108" i="16"/>
  <c r="AW110" i="16"/>
  <c r="AW137" i="16"/>
  <c r="AW100" i="18"/>
  <c r="AW107" i="18"/>
  <c r="AW108" i="18"/>
  <c r="AW110" i="18"/>
  <c r="AW45" i="18"/>
  <c r="AW46" i="18"/>
  <c r="AW129" i="16"/>
  <c r="AW132" i="16"/>
  <c r="AW49" i="18"/>
  <c r="AW50" i="18"/>
  <c r="AW52" i="18"/>
  <c r="AX90" i="18"/>
  <c r="AX71" i="18"/>
  <c r="AW97" i="18"/>
  <c r="AW101" i="18"/>
  <c r="AW103" i="18"/>
  <c r="AW56" i="18"/>
  <c r="AX76" i="18"/>
  <c r="AX77" i="18"/>
  <c r="AW16" i="17"/>
  <c r="AX12" i="17"/>
  <c r="AX21" i="17"/>
  <c r="AX79" i="18"/>
  <c r="AX14" i="17"/>
  <c r="AX80" i="18"/>
  <c r="AX81" i="18"/>
  <c r="AX23" i="17"/>
  <c r="AX25" i="17"/>
  <c r="AX15" i="17"/>
  <c r="AX83" i="18"/>
  <c r="AX84" i="18"/>
  <c r="AX45" i="16"/>
  <c r="AX52" i="16"/>
  <c r="AX59" i="16"/>
  <c r="AX66" i="16"/>
  <c r="AX73" i="16"/>
  <c r="AX131" i="16"/>
  <c r="AX25" i="18"/>
  <c r="AX27" i="18"/>
  <c r="AX29" i="18"/>
  <c r="AX31" i="18"/>
  <c r="AX33" i="18"/>
  <c r="AX35" i="18"/>
  <c r="AX86" i="18"/>
  <c r="AX87" i="18"/>
  <c r="AX91" i="18"/>
  <c r="AX92" i="18"/>
  <c r="AX43" i="18"/>
  <c r="AX106" i="18"/>
  <c r="AX98" i="18"/>
  <c r="AW83" i="16"/>
  <c r="AX80" i="16"/>
  <c r="AX82" i="16"/>
  <c r="AW90" i="16"/>
  <c r="AX87" i="16"/>
  <c r="AX89" i="16"/>
  <c r="AW97" i="16"/>
  <c r="AX94" i="16"/>
  <c r="AX96" i="16"/>
  <c r="AW104" i="16"/>
  <c r="AX101" i="16"/>
  <c r="AX103" i="16"/>
  <c r="AW111" i="16"/>
  <c r="AX108" i="16"/>
  <c r="AX110" i="16"/>
  <c r="AX137" i="16"/>
  <c r="AX100" i="18"/>
  <c r="AX107" i="18"/>
  <c r="AX108" i="18"/>
  <c r="AX110" i="18"/>
  <c r="AX45" i="18"/>
  <c r="AX46" i="18"/>
  <c r="AX129" i="16"/>
  <c r="AX132" i="16"/>
  <c r="AX49" i="18"/>
  <c r="AX50" i="18"/>
  <c r="AX52" i="18"/>
  <c r="AY90" i="18"/>
  <c r="AY71" i="18"/>
  <c r="AX97" i="18"/>
  <c r="AX101" i="18"/>
  <c r="AX103" i="18"/>
  <c r="AX56" i="18"/>
  <c r="AY76" i="18"/>
  <c r="AY77" i="18"/>
  <c r="AX16" i="17"/>
  <c r="AY12" i="17"/>
  <c r="AY21" i="17"/>
  <c r="AY79" i="18"/>
  <c r="AY14" i="17"/>
  <c r="AY80" i="18"/>
  <c r="AY81" i="18"/>
  <c r="AY23" i="17"/>
  <c r="AY25" i="17"/>
  <c r="AY15" i="17"/>
  <c r="AY83" i="18"/>
  <c r="AY84" i="18"/>
  <c r="AY45" i="16"/>
  <c r="AY52" i="16"/>
  <c r="AY59" i="16"/>
  <c r="AY66" i="16"/>
  <c r="AY73" i="16"/>
  <c r="AY131" i="16"/>
  <c r="AY25" i="18"/>
  <c r="AY27" i="18"/>
  <c r="AY29" i="18"/>
  <c r="AY31" i="18"/>
  <c r="AY33" i="18"/>
  <c r="AY35" i="18"/>
  <c r="AY86" i="18"/>
  <c r="AY87" i="18"/>
  <c r="AY91" i="18"/>
  <c r="AY92" i="18"/>
  <c r="AY43" i="18"/>
  <c r="AY106" i="18"/>
  <c r="AY98" i="18"/>
  <c r="AX83" i="16"/>
  <c r="AY80" i="16"/>
  <c r="AY82" i="16"/>
  <c r="AX90" i="16"/>
  <c r="AY87" i="16"/>
  <c r="AY89" i="16"/>
  <c r="AX97" i="16"/>
  <c r="AY94" i="16"/>
  <c r="AY96" i="16"/>
  <c r="AX104" i="16"/>
  <c r="AY101" i="16"/>
  <c r="AY103" i="16"/>
  <c r="AX111" i="16"/>
  <c r="AY108" i="16"/>
  <c r="AY110" i="16"/>
  <c r="AY137" i="16"/>
  <c r="AY100" i="18"/>
  <c r="AY107" i="18"/>
  <c r="AY108" i="18"/>
  <c r="AY110" i="18"/>
  <c r="AY45" i="18"/>
  <c r="AY46" i="18"/>
  <c r="AY129" i="16"/>
  <c r="AY132" i="16"/>
  <c r="AY49" i="18"/>
  <c r="AY50" i="18"/>
  <c r="AY52" i="18"/>
  <c r="AZ90" i="18"/>
  <c r="AZ71" i="18"/>
  <c r="AY97" i="18"/>
  <c r="AY101" i="18"/>
  <c r="AY103" i="18"/>
  <c r="AY56" i="18"/>
  <c r="AZ76" i="18"/>
  <c r="AZ77" i="18"/>
  <c r="AY16" i="17"/>
  <c r="AZ12" i="17"/>
  <c r="AZ21" i="17"/>
  <c r="AZ79" i="18"/>
  <c r="AZ14" i="17"/>
  <c r="AZ80" i="18"/>
  <c r="AZ81" i="18"/>
  <c r="AZ23" i="17"/>
  <c r="AZ25" i="17"/>
  <c r="AZ15" i="17"/>
  <c r="AZ83" i="18"/>
  <c r="AZ84" i="18"/>
  <c r="AZ45" i="16"/>
  <c r="AZ52" i="16"/>
  <c r="AZ59" i="16"/>
  <c r="AZ66" i="16"/>
  <c r="AZ73" i="16"/>
  <c r="AZ131" i="16"/>
  <c r="AZ25" i="18"/>
  <c r="AZ27" i="18"/>
  <c r="AZ29" i="18"/>
  <c r="AZ31" i="18"/>
  <c r="AZ33" i="18"/>
  <c r="AZ35" i="18"/>
  <c r="AZ86" i="18"/>
  <c r="AZ87" i="18"/>
  <c r="AZ91" i="18"/>
  <c r="AZ92" i="18"/>
  <c r="AZ43" i="18"/>
  <c r="AZ106" i="18"/>
  <c r="AZ98" i="18"/>
  <c r="AY83" i="16"/>
  <c r="AZ80" i="16"/>
  <c r="AZ82" i="16"/>
  <c r="AY90" i="16"/>
  <c r="AZ87" i="16"/>
  <c r="AZ89" i="16"/>
  <c r="AY97" i="16"/>
  <c r="AZ94" i="16"/>
  <c r="AZ96" i="16"/>
  <c r="AY104" i="16"/>
  <c r="AZ101" i="16"/>
  <c r="AZ103" i="16"/>
  <c r="AY111" i="16"/>
  <c r="AZ108" i="16"/>
  <c r="AZ110" i="16"/>
  <c r="AZ137" i="16"/>
  <c r="AZ100" i="18"/>
  <c r="AZ107" i="18"/>
  <c r="AZ108" i="18"/>
  <c r="AZ110" i="18"/>
  <c r="AZ45" i="18"/>
  <c r="AZ46" i="18"/>
  <c r="AZ129" i="16"/>
  <c r="AZ132" i="16"/>
  <c r="AZ49" i="18"/>
  <c r="AZ50" i="18"/>
  <c r="AZ52" i="18"/>
  <c r="BA90" i="18"/>
  <c r="BA71" i="18"/>
  <c r="AZ97" i="18"/>
  <c r="AZ101" i="18"/>
  <c r="AZ103" i="18"/>
  <c r="AZ56" i="18"/>
  <c r="BA76" i="18"/>
  <c r="BA77" i="18"/>
  <c r="AZ16" i="17"/>
  <c r="BA12" i="17"/>
  <c r="BA21" i="17"/>
  <c r="BA79" i="18"/>
  <c r="BA14" i="17"/>
  <c r="BA80" i="18"/>
  <c r="BA81" i="18"/>
  <c r="BA23" i="17"/>
  <c r="BA25" i="17"/>
  <c r="BA15" i="17"/>
  <c r="BA83" i="18"/>
  <c r="BA84" i="18"/>
  <c r="BA45" i="16"/>
  <c r="BA52" i="16"/>
  <c r="BA59" i="16"/>
  <c r="BA66" i="16"/>
  <c r="BA73" i="16"/>
  <c r="BA131" i="16"/>
  <c r="BA25" i="18"/>
  <c r="BA27" i="18"/>
  <c r="BA29" i="18"/>
  <c r="BA31" i="18"/>
  <c r="BA33" i="18"/>
  <c r="BA35" i="18"/>
  <c r="BA86" i="18"/>
  <c r="BA87" i="18"/>
  <c r="BA91" i="18"/>
  <c r="BA92" i="18"/>
  <c r="BA43" i="18"/>
  <c r="BA106" i="18"/>
  <c r="BA98" i="18"/>
  <c r="AZ83" i="16"/>
  <c r="BA80" i="16"/>
  <c r="BA82" i="16"/>
  <c r="AZ90" i="16"/>
  <c r="BA87" i="16"/>
  <c r="BA89" i="16"/>
  <c r="AZ97" i="16"/>
  <c r="BA94" i="16"/>
  <c r="BA96" i="16"/>
  <c r="AZ104" i="16"/>
  <c r="BA101" i="16"/>
  <c r="BA103" i="16"/>
  <c r="AZ111" i="16"/>
  <c r="BA108" i="16"/>
  <c r="BA110" i="16"/>
  <c r="BA137" i="16"/>
  <c r="BA100" i="18"/>
  <c r="BA107" i="18"/>
  <c r="BA108" i="18"/>
  <c r="BA110" i="18"/>
  <c r="BA45" i="18"/>
  <c r="BA46" i="18"/>
  <c r="BA129" i="16"/>
  <c r="BA132" i="16"/>
  <c r="BA49" i="18"/>
  <c r="BA50" i="18"/>
  <c r="BA52" i="18"/>
  <c r="BB90" i="18"/>
  <c r="BB71" i="18"/>
  <c r="BA97" i="18"/>
  <c r="BA101" i="18"/>
  <c r="BA103" i="18"/>
  <c r="BA56" i="18"/>
  <c r="BB76" i="18"/>
  <c r="BB77" i="18"/>
  <c r="BA16" i="17"/>
  <c r="BB12" i="17"/>
  <c r="BB21" i="17"/>
  <c r="BB79" i="18"/>
  <c r="BB14" i="17"/>
  <c r="BB80" i="18"/>
  <c r="BB81" i="18"/>
  <c r="BB23" i="17"/>
  <c r="BB25" i="17"/>
  <c r="BB15" i="17"/>
  <c r="BB83" i="18"/>
  <c r="BB84" i="18"/>
  <c r="BB45" i="16"/>
  <c r="BB52" i="16"/>
  <c r="BB59" i="16"/>
  <c r="BB66" i="16"/>
  <c r="BB73" i="16"/>
  <c r="BB131" i="16"/>
  <c r="BB25" i="18"/>
  <c r="BB27" i="18"/>
  <c r="BB29" i="18"/>
  <c r="BB31" i="18"/>
  <c r="BB33" i="18"/>
  <c r="BB35" i="18"/>
  <c r="BB86" i="18"/>
  <c r="BB87" i="18"/>
  <c r="BB91" i="18"/>
  <c r="BB92" i="18"/>
  <c r="BB43" i="18"/>
  <c r="BB106" i="18"/>
  <c r="BB98" i="18"/>
  <c r="BA83" i="16"/>
  <c r="BB80" i="16"/>
  <c r="BB82" i="16"/>
  <c r="BA90" i="16"/>
  <c r="BB87" i="16"/>
  <c r="BB89" i="16"/>
  <c r="BA97" i="16"/>
  <c r="BB94" i="16"/>
  <c r="BB96" i="16"/>
  <c r="BA104" i="16"/>
  <c r="BB101" i="16"/>
  <c r="BB103" i="16"/>
  <c r="BA111" i="16"/>
  <c r="BB108" i="16"/>
  <c r="BB110" i="16"/>
  <c r="BB137" i="16"/>
  <c r="BB100" i="18"/>
  <c r="BB107" i="18"/>
  <c r="BB108" i="18"/>
  <c r="BB110" i="18"/>
  <c r="BB45" i="18"/>
  <c r="BB46" i="18"/>
  <c r="BB129" i="16"/>
  <c r="BB132" i="16"/>
  <c r="BB49" i="18"/>
  <c r="BB50" i="18"/>
  <c r="BB52" i="18"/>
  <c r="BC90" i="18"/>
  <c r="BC71" i="18"/>
  <c r="BB97" i="18"/>
  <c r="BB101" i="18"/>
  <c r="BB103" i="18"/>
  <c r="BB56" i="18"/>
  <c r="BC76" i="18"/>
  <c r="BC77" i="18"/>
  <c r="BB16" i="17"/>
  <c r="BC12" i="17"/>
  <c r="BC21" i="17"/>
  <c r="BC79" i="18"/>
  <c r="BC14" i="17"/>
  <c r="BC80" i="18"/>
  <c r="BC81" i="18"/>
  <c r="BC23" i="17"/>
  <c r="BC25" i="17"/>
  <c r="BC15" i="17"/>
  <c r="BC83" i="18"/>
  <c r="BC84" i="18"/>
  <c r="BC45" i="16"/>
  <c r="BC52" i="16"/>
  <c r="BC59" i="16"/>
  <c r="BC66" i="16"/>
  <c r="BC73" i="16"/>
  <c r="BC131" i="16"/>
  <c r="BC25" i="18"/>
  <c r="BC27" i="18"/>
  <c r="BC29" i="18"/>
  <c r="BC31" i="18"/>
  <c r="BC33" i="18"/>
  <c r="BC35" i="18"/>
  <c r="BC86" i="18"/>
  <c r="BC87" i="18"/>
  <c r="BC91" i="18"/>
  <c r="BC92" i="18"/>
  <c r="BC43" i="18"/>
  <c r="BC106" i="18"/>
  <c r="BC98" i="18"/>
  <c r="BB83" i="16"/>
  <c r="BC80" i="16"/>
  <c r="BC82" i="16"/>
  <c r="BB90" i="16"/>
  <c r="BC87" i="16"/>
  <c r="BC89" i="16"/>
  <c r="BB97" i="16"/>
  <c r="BC94" i="16"/>
  <c r="BC96" i="16"/>
  <c r="BB104" i="16"/>
  <c r="BC101" i="16"/>
  <c r="BC103" i="16"/>
  <c r="BB111" i="16"/>
  <c r="BC108" i="16"/>
  <c r="BC110" i="16"/>
  <c r="BC137" i="16"/>
  <c r="BC100" i="18"/>
  <c r="BC107" i="18"/>
  <c r="BC108" i="18"/>
  <c r="BC110" i="18"/>
  <c r="BC45" i="18"/>
  <c r="BC46" i="18"/>
  <c r="BC129" i="16"/>
  <c r="BC132" i="16"/>
  <c r="BC49" i="18"/>
  <c r="BC50" i="18"/>
  <c r="BC52" i="18"/>
  <c r="BD90" i="18"/>
  <c r="BD71" i="18"/>
  <c r="BC97" i="18"/>
  <c r="BC101" i="18"/>
  <c r="BC103" i="18"/>
  <c r="BC56" i="18"/>
  <c r="BD76" i="18"/>
  <c r="BD77" i="18"/>
  <c r="BC16" i="17"/>
  <c r="BD12" i="17"/>
  <c r="BD21" i="17"/>
  <c r="BD79" i="18"/>
  <c r="BD14" i="17"/>
  <c r="BD80" i="18"/>
  <c r="BD81" i="18"/>
  <c r="BD23" i="17"/>
  <c r="BD25" i="17"/>
  <c r="BD15" i="17"/>
  <c r="BD83" i="18"/>
  <c r="BD84" i="18"/>
  <c r="BD45" i="16"/>
  <c r="BD52" i="16"/>
  <c r="BD59" i="16"/>
  <c r="BD66" i="16"/>
  <c r="BD73" i="16"/>
  <c r="BD131" i="16"/>
  <c r="BD25" i="18"/>
  <c r="BD27" i="18"/>
  <c r="BD29" i="18"/>
  <c r="BD31" i="18"/>
  <c r="BD33" i="18"/>
  <c r="BD35" i="18"/>
  <c r="BD86" i="18"/>
  <c r="BD87" i="18"/>
  <c r="BD91" i="18"/>
  <c r="BD92" i="18"/>
  <c r="BD43" i="18"/>
  <c r="BD106" i="18"/>
  <c r="BD98" i="18"/>
  <c r="BC83" i="16"/>
  <c r="BD80" i="16"/>
  <c r="BD82" i="16"/>
  <c r="BC90" i="16"/>
  <c r="BD87" i="16"/>
  <c r="BD89" i="16"/>
  <c r="BC97" i="16"/>
  <c r="BD94" i="16"/>
  <c r="BD96" i="16"/>
  <c r="BC104" i="16"/>
  <c r="BD101" i="16"/>
  <c r="BD103" i="16"/>
  <c r="BC111" i="16"/>
  <c r="BD108" i="16"/>
  <c r="BD110" i="16"/>
  <c r="BD137" i="16"/>
  <c r="BD100" i="18"/>
  <c r="BD107" i="18"/>
  <c r="BD108" i="18"/>
  <c r="BD110" i="18"/>
  <c r="BD45" i="18"/>
  <c r="BD46" i="18"/>
  <c r="BD129" i="16"/>
  <c r="BD132" i="16"/>
  <c r="BD49" i="18"/>
  <c r="BD50" i="18"/>
  <c r="BD52" i="18"/>
  <c r="BE90" i="18"/>
  <c r="BE71" i="18"/>
  <c r="BD97" i="18"/>
  <c r="BD101" i="18"/>
  <c r="BD103" i="18"/>
  <c r="BD56" i="18"/>
  <c r="BE76" i="18"/>
  <c r="BE77" i="18"/>
  <c r="BD16" i="17"/>
  <c r="BE12" i="17"/>
  <c r="BE21" i="17"/>
  <c r="BE79" i="18"/>
  <c r="BE14" i="17"/>
  <c r="BE80" i="18"/>
  <c r="BE81" i="18"/>
  <c r="BE23" i="17"/>
  <c r="BE25" i="17"/>
  <c r="BE15" i="17"/>
  <c r="BE83" i="18"/>
  <c r="BE84" i="18"/>
  <c r="BE45" i="16"/>
  <c r="BE52" i="16"/>
  <c r="BE59" i="16"/>
  <c r="BE66" i="16"/>
  <c r="BE73" i="16"/>
  <c r="BE131" i="16"/>
  <c r="BE25" i="18"/>
  <c r="BE27" i="18"/>
  <c r="BE29" i="18"/>
  <c r="BE31" i="18"/>
  <c r="BE33" i="18"/>
  <c r="BE35" i="18"/>
  <c r="BE86" i="18"/>
  <c r="BE87" i="18"/>
  <c r="BE91" i="18"/>
  <c r="BE92" i="18"/>
  <c r="BE43" i="18"/>
  <c r="BE106" i="18"/>
  <c r="BE98" i="18"/>
  <c r="BD83" i="16"/>
  <c r="BE80" i="16"/>
  <c r="BE82" i="16"/>
  <c r="BD90" i="16"/>
  <c r="BE87" i="16"/>
  <c r="BE89" i="16"/>
  <c r="BD97" i="16"/>
  <c r="BE94" i="16"/>
  <c r="BE96" i="16"/>
  <c r="BD104" i="16"/>
  <c r="BE101" i="16"/>
  <c r="BE103" i="16"/>
  <c r="BD111" i="16"/>
  <c r="BE108" i="16"/>
  <c r="BE110" i="16"/>
  <c r="BE137" i="16"/>
  <c r="BE100" i="18"/>
  <c r="BE107" i="18"/>
  <c r="BE108" i="18"/>
  <c r="BE110" i="18"/>
  <c r="BE45" i="18"/>
  <c r="BE46" i="18"/>
  <c r="BE129" i="16"/>
  <c r="BE132" i="16"/>
  <c r="BE49" i="18"/>
  <c r="BE50" i="18"/>
  <c r="BE52" i="18"/>
  <c r="BF90" i="18"/>
  <c r="BF71" i="18"/>
  <c r="BE97" i="18"/>
  <c r="BE101" i="18"/>
  <c r="BE103" i="18"/>
  <c r="BE56" i="18"/>
  <c r="BF76" i="18"/>
  <c r="BF77" i="18"/>
  <c r="BE16" i="17"/>
  <c r="BF12" i="17"/>
  <c r="BF21" i="17"/>
  <c r="BF79" i="18"/>
  <c r="BF14" i="17"/>
  <c r="BF80" i="18"/>
  <c r="BF81" i="18"/>
  <c r="BF23" i="17"/>
  <c r="BF25" i="17"/>
  <c r="BF15" i="17"/>
  <c r="BF83" i="18"/>
  <c r="BF84" i="18"/>
  <c r="BF45" i="16"/>
  <c r="BF52" i="16"/>
  <c r="BF59" i="16"/>
  <c r="BF66" i="16"/>
  <c r="BF73" i="16"/>
  <c r="BF131" i="16"/>
  <c r="BF25" i="18"/>
  <c r="BF27" i="18"/>
  <c r="BF29" i="18"/>
  <c r="BF31" i="18"/>
  <c r="BF33" i="18"/>
  <c r="BF35" i="18"/>
  <c r="BF86" i="18"/>
  <c r="BF87" i="18"/>
  <c r="BF91" i="18"/>
  <c r="BF92" i="18"/>
  <c r="BF43" i="18"/>
  <c r="BF106" i="18"/>
  <c r="BF98" i="18"/>
  <c r="BE83" i="16"/>
  <c r="BF80" i="16"/>
  <c r="BF82" i="16"/>
  <c r="BE90" i="16"/>
  <c r="BF87" i="16"/>
  <c r="BF89" i="16"/>
  <c r="BE97" i="16"/>
  <c r="BF94" i="16"/>
  <c r="BF96" i="16"/>
  <c r="BE104" i="16"/>
  <c r="BF101" i="16"/>
  <c r="BF103" i="16"/>
  <c r="BE111" i="16"/>
  <c r="BF108" i="16"/>
  <c r="BF110" i="16"/>
  <c r="BF137" i="16"/>
  <c r="BF100" i="18"/>
  <c r="BF107" i="18"/>
  <c r="BF108" i="18"/>
  <c r="BF110" i="18"/>
  <c r="BF45" i="18"/>
  <c r="BF46" i="18"/>
  <c r="BF129" i="16"/>
  <c r="BF132" i="16"/>
  <c r="BF49" i="18"/>
  <c r="BF50" i="18"/>
  <c r="BF52" i="18"/>
  <c r="BG90" i="18"/>
  <c r="BG71" i="18"/>
  <c r="BF97" i="18"/>
  <c r="BF101" i="18"/>
  <c r="BF103" i="18"/>
  <c r="BF56" i="18"/>
  <c r="BG76" i="18"/>
  <c r="BG77" i="18"/>
  <c r="BF16" i="17"/>
  <c r="BG12" i="17"/>
  <c r="BG21" i="17"/>
  <c r="BG79" i="18"/>
  <c r="BG14" i="17"/>
  <c r="BG80" i="18"/>
  <c r="BG81" i="18"/>
  <c r="BG23" i="17"/>
  <c r="BG25" i="17"/>
  <c r="BG15" i="17"/>
  <c r="BG83" i="18"/>
  <c r="BG84" i="18"/>
  <c r="BG45" i="16"/>
  <c r="BG52" i="16"/>
  <c r="BG59" i="16"/>
  <c r="BG66" i="16"/>
  <c r="BG73" i="16"/>
  <c r="BG131" i="16"/>
  <c r="BG25" i="18"/>
  <c r="BG27" i="18"/>
  <c r="BG29" i="18"/>
  <c r="BG31" i="18"/>
  <c r="BG33" i="18"/>
  <c r="BG35" i="18"/>
  <c r="BG86" i="18"/>
  <c r="BG87" i="18"/>
  <c r="BG91" i="18"/>
  <c r="BG92" i="18"/>
  <c r="BG43" i="18"/>
  <c r="BG106" i="18"/>
  <c r="BG98" i="18"/>
  <c r="BF83" i="16"/>
  <c r="BG80" i="16"/>
  <c r="BG82" i="16"/>
  <c r="BF90" i="16"/>
  <c r="BG87" i="16"/>
  <c r="BG89" i="16"/>
  <c r="BF97" i="16"/>
  <c r="BG94" i="16"/>
  <c r="BG96" i="16"/>
  <c r="BF104" i="16"/>
  <c r="BG101" i="16"/>
  <c r="BG103" i="16"/>
  <c r="BF111" i="16"/>
  <c r="BG108" i="16"/>
  <c r="BG110" i="16"/>
  <c r="BG137" i="16"/>
  <c r="BG100" i="18"/>
  <c r="BG107" i="18"/>
  <c r="BG108" i="18"/>
  <c r="BG110" i="18"/>
  <c r="BG45" i="18"/>
  <c r="BG46" i="18"/>
  <c r="BG129" i="16"/>
  <c r="BG132" i="16"/>
  <c r="BG49" i="18"/>
  <c r="BG50" i="18"/>
  <c r="BG52" i="18"/>
  <c r="BH90" i="18"/>
  <c r="BH71" i="18"/>
  <c r="BG97" i="18"/>
  <c r="BG101" i="18"/>
  <c r="BG103" i="18"/>
  <c r="BG56" i="18"/>
  <c r="BH76" i="18"/>
  <c r="BH77" i="18"/>
  <c r="BG16" i="17"/>
  <c r="BH12" i="17"/>
  <c r="BH21" i="17"/>
  <c r="BH79" i="18"/>
  <c r="BH14" i="17"/>
  <c r="BH80" i="18"/>
  <c r="BH81" i="18"/>
  <c r="BH23" i="17"/>
  <c r="BH25" i="17"/>
  <c r="BH15" i="17"/>
  <c r="BH83" i="18"/>
  <c r="BH84" i="18"/>
  <c r="BH45" i="16"/>
  <c r="BH52" i="16"/>
  <c r="BH59" i="16"/>
  <c r="BH66" i="16"/>
  <c r="BH73" i="16"/>
  <c r="BH131" i="16"/>
  <c r="BH25" i="18"/>
  <c r="BH27" i="18"/>
  <c r="BH29" i="18"/>
  <c r="BH31" i="18"/>
  <c r="BH33" i="18"/>
  <c r="BH35" i="18"/>
  <c r="BH86" i="18"/>
  <c r="BH87" i="18"/>
  <c r="BH91" i="18"/>
  <c r="BH92" i="18"/>
  <c r="BH43" i="18"/>
  <c r="BH106" i="18"/>
  <c r="BH98" i="18"/>
  <c r="BG83" i="16"/>
  <c r="BH80" i="16"/>
  <c r="BH82" i="16"/>
  <c r="BG90" i="16"/>
  <c r="BH87" i="16"/>
  <c r="BH89" i="16"/>
  <c r="BG97" i="16"/>
  <c r="BH94" i="16"/>
  <c r="BH96" i="16"/>
  <c r="BG104" i="16"/>
  <c r="BH101" i="16"/>
  <c r="BH103" i="16"/>
  <c r="BG111" i="16"/>
  <c r="BH108" i="16"/>
  <c r="BH110" i="16"/>
  <c r="BH137" i="16"/>
  <c r="BH100" i="18"/>
  <c r="BH107" i="18"/>
  <c r="BH108" i="18"/>
  <c r="BH110" i="18"/>
  <c r="BH45" i="18"/>
  <c r="BH46" i="18"/>
  <c r="BH129" i="16"/>
  <c r="BH132" i="16"/>
  <c r="BH49" i="18"/>
  <c r="BH50" i="18"/>
  <c r="BH52" i="18"/>
  <c r="BI90" i="18"/>
  <c r="BI71" i="18"/>
  <c r="BH97" i="18"/>
  <c r="BH101" i="18"/>
  <c r="BH103" i="18"/>
  <c r="BH56" i="18"/>
  <c r="BI76" i="18"/>
  <c r="BI77" i="18"/>
  <c r="BH16" i="17"/>
  <c r="BI12" i="17"/>
  <c r="BI21" i="17"/>
  <c r="BI79" i="18"/>
  <c r="BI14" i="17"/>
  <c r="BI80" i="18"/>
  <c r="BI81" i="18"/>
  <c r="BI23" i="17"/>
  <c r="BI25" i="17"/>
  <c r="BI15" i="17"/>
  <c r="BI83" i="18"/>
  <c r="BI84" i="18"/>
  <c r="BI45" i="16"/>
  <c r="BI52" i="16"/>
  <c r="BI59" i="16"/>
  <c r="BI66" i="16"/>
  <c r="BI73" i="16"/>
  <c r="BI131" i="16"/>
  <c r="BI25" i="18"/>
  <c r="BI27" i="18"/>
  <c r="BI29" i="18"/>
  <c r="BI31" i="18"/>
  <c r="BI33" i="18"/>
  <c r="BI35" i="18"/>
  <c r="BI86" i="18"/>
  <c r="BI87" i="18"/>
  <c r="BI91" i="18"/>
  <c r="BI92" i="18"/>
  <c r="BI43" i="18"/>
  <c r="BI106" i="18"/>
  <c r="BI98" i="18"/>
  <c r="BH83" i="16"/>
  <c r="BI80" i="16"/>
  <c r="BI82" i="16"/>
  <c r="BH90" i="16"/>
  <c r="BI87" i="16"/>
  <c r="BI89" i="16"/>
  <c r="BH97" i="16"/>
  <c r="BI94" i="16"/>
  <c r="BI96" i="16"/>
  <c r="BH104" i="16"/>
  <c r="BI101" i="16"/>
  <c r="BI103" i="16"/>
  <c r="BH111" i="16"/>
  <c r="BI108" i="16"/>
  <c r="BI110" i="16"/>
  <c r="BI137" i="16"/>
  <c r="BI100" i="18"/>
  <c r="BI107" i="18"/>
  <c r="BI108" i="18"/>
  <c r="BI110" i="18"/>
  <c r="BI45" i="18"/>
  <c r="BI46" i="18"/>
  <c r="BI129" i="16"/>
  <c r="BI132" i="16"/>
  <c r="BI49" i="18"/>
  <c r="BI50" i="18"/>
  <c r="BI52" i="18"/>
  <c r="BJ90" i="18"/>
  <c r="BJ71" i="18"/>
  <c r="BI97" i="18"/>
  <c r="BI101" i="18"/>
  <c r="BI103" i="18"/>
  <c r="BI56" i="18"/>
  <c r="BJ76" i="18"/>
  <c r="BJ77" i="18"/>
  <c r="BI16" i="17"/>
  <c r="BJ12" i="17"/>
  <c r="BJ21" i="17"/>
  <c r="BJ79" i="18"/>
  <c r="BJ14" i="17"/>
  <c r="BJ80" i="18"/>
  <c r="BJ81" i="18"/>
  <c r="BJ23" i="17"/>
  <c r="BJ25" i="17"/>
  <c r="BJ15" i="17"/>
  <c r="BJ83" i="18"/>
  <c r="BJ84" i="18"/>
  <c r="BJ45" i="16"/>
  <c r="BJ52" i="16"/>
  <c r="BJ59" i="16"/>
  <c r="BJ66" i="16"/>
  <c r="BJ73" i="16"/>
  <c r="BJ131" i="16"/>
  <c r="BJ25" i="18"/>
  <c r="BJ27" i="18"/>
  <c r="BJ29" i="18"/>
  <c r="BJ31" i="18"/>
  <c r="BJ33" i="18"/>
  <c r="BJ35" i="18"/>
  <c r="BJ86" i="18"/>
  <c r="BJ87" i="18"/>
  <c r="BJ91" i="18"/>
  <c r="BJ92" i="18"/>
  <c r="BJ43" i="18"/>
  <c r="BJ106" i="18"/>
  <c r="BJ98" i="18"/>
  <c r="BI83" i="16"/>
  <c r="BJ80" i="16"/>
  <c r="BJ82" i="16"/>
  <c r="BI90" i="16"/>
  <c r="BJ87" i="16"/>
  <c r="BJ89" i="16"/>
  <c r="BI97" i="16"/>
  <c r="BJ94" i="16"/>
  <c r="BJ96" i="16"/>
  <c r="BI104" i="16"/>
  <c r="BJ101" i="16"/>
  <c r="BJ103" i="16"/>
  <c r="BI111" i="16"/>
  <c r="BJ108" i="16"/>
  <c r="BJ110" i="16"/>
  <c r="BJ137" i="16"/>
  <c r="BJ100" i="18"/>
  <c r="BJ107" i="18"/>
  <c r="BJ108" i="18"/>
  <c r="BJ110" i="18"/>
  <c r="BJ45" i="18"/>
  <c r="BJ46" i="18"/>
  <c r="BJ129" i="16"/>
  <c r="BJ132" i="16"/>
  <c r="BJ49" i="18"/>
  <c r="BJ50" i="18"/>
  <c r="BJ52" i="18"/>
  <c r="BK90" i="18"/>
  <c r="BK71" i="18"/>
  <c r="BJ97" i="18"/>
  <c r="BJ101" i="18"/>
  <c r="BJ103" i="18"/>
  <c r="BJ56" i="18"/>
  <c r="BK76" i="18"/>
  <c r="BK77" i="18"/>
  <c r="BJ16" i="17"/>
  <c r="BK12" i="17"/>
  <c r="BK21" i="17"/>
  <c r="BK79" i="18"/>
  <c r="BK14" i="17"/>
  <c r="BK80" i="18"/>
  <c r="BK81" i="18"/>
  <c r="BK23" i="17"/>
  <c r="BK25" i="17"/>
  <c r="BK15" i="17"/>
  <c r="BK83" i="18"/>
  <c r="BK84" i="18"/>
  <c r="BK45" i="16"/>
  <c r="BK52" i="16"/>
  <c r="BK59" i="16"/>
  <c r="BK66" i="16"/>
  <c r="BK73" i="16"/>
  <c r="BK131" i="16"/>
  <c r="BK25" i="18"/>
  <c r="BK27" i="18"/>
  <c r="BK29" i="18"/>
  <c r="BK31" i="18"/>
  <c r="BK33" i="18"/>
  <c r="BK35" i="18"/>
  <c r="BK86" i="18"/>
  <c r="BK87" i="18"/>
  <c r="BK91" i="18"/>
  <c r="BK92" i="18"/>
  <c r="BK43" i="18"/>
  <c r="BK106" i="18"/>
  <c r="BK98" i="18"/>
  <c r="BJ83" i="16"/>
  <c r="BK80" i="16"/>
  <c r="BK82" i="16"/>
  <c r="BJ90" i="16"/>
  <c r="BK87" i="16"/>
  <c r="BK89" i="16"/>
  <c r="BJ97" i="16"/>
  <c r="BK94" i="16"/>
  <c r="BK96" i="16"/>
  <c r="BJ104" i="16"/>
  <c r="BK101" i="16"/>
  <c r="BK103" i="16"/>
  <c r="BJ111" i="16"/>
  <c r="BK108" i="16"/>
  <c r="BK110" i="16"/>
  <c r="BK137" i="16"/>
  <c r="BK100" i="18"/>
  <c r="BK107" i="18"/>
  <c r="BK108" i="18"/>
  <c r="BK110" i="18"/>
  <c r="BK45" i="18"/>
  <c r="BK46" i="18"/>
  <c r="BK129" i="16"/>
  <c r="BK132" i="16"/>
  <c r="BK49" i="18"/>
  <c r="BK50" i="18"/>
  <c r="BK52" i="18"/>
  <c r="BL90" i="18"/>
  <c r="BL71" i="18"/>
  <c r="BK97" i="18"/>
  <c r="BK101" i="18"/>
  <c r="BK103" i="18"/>
  <c r="BK56" i="18"/>
  <c r="BL76" i="18"/>
  <c r="BL77" i="18"/>
  <c r="BK16" i="17"/>
  <c r="BL12" i="17"/>
  <c r="BL21" i="17"/>
  <c r="BL79" i="18"/>
  <c r="BL14" i="17"/>
  <c r="BL80" i="18"/>
  <c r="BL81" i="18"/>
  <c r="BL23" i="17"/>
  <c r="BL25" i="17"/>
  <c r="BL15" i="17"/>
  <c r="BL83" i="18"/>
  <c r="BL84" i="18"/>
  <c r="BL45" i="16"/>
  <c r="BL52" i="16"/>
  <c r="BL59" i="16"/>
  <c r="BL66" i="16"/>
  <c r="BL73" i="16"/>
  <c r="BL131" i="16"/>
  <c r="BL25" i="18"/>
  <c r="BL27" i="18"/>
  <c r="BL29" i="18"/>
  <c r="BL31" i="18"/>
  <c r="BL33" i="18"/>
  <c r="BL35" i="18"/>
  <c r="BL86" i="18"/>
  <c r="BL87" i="18"/>
  <c r="BL91" i="18"/>
  <c r="BL92" i="18"/>
  <c r="BL43" i="18"/>
  <c r="BL106" i="18"/>
  <c r="BL98" i="18"/>
  <c r="BK83" i="16"/>
  <c r="BL80" i="16"/>
  <c r="BL82" i="16"/>
  <c r="BK90" i="16"/>
  <c r="BL87" i="16"/>
  <c r="BL89" i="16"/>
  <c r="BK97" i="16"/>
  <c r="BL94" i="16"/>
  <c r="BL96" i="16"/>
  <c r="BK104" i="16"/>
  <c r="BL101" i="16"/>
  <c r="BL103" i="16"/>
  <c r="BK111" i="16"/>
  <c r="BL108" i="16"/>
  <c r="BL110" i="16"/>
  <c r="BL137" i="16"/>
  <c r="BL100" i="18"/>
  <c r="BL107" i="18"/>
  <c r="BL108" i="18"/>
  <c r="BL110" i="18"/>
  <c r="BL45" i="18"/>
  <c r="BL46" i="18"/>
  <c r="BL129" i="16"/>
  <c r="BL132" i="16"/>
  <c r="BL49" i="18"/>
  <c r="BL50" i="18"/>
  <c r="BL52" i="18"/>
  <c r="BM90" i="18"/>
  <c r="BM71" i="18"/>
  <c r="BL97" i="18"/>
  <c r="BL101" i="18"/>
  <c r="BL103" i="18"/>
  <c r="BL56" i="18"/>
  <c r="BM76" i="18"/>
  <c r="BM77" i="18"/>
  <c r="BL16" i="17"/>
  <c r="BM12" i="17"/>
  <c r="BM21" i="17"/>
  <c r="BM79" i="18"/>
  <c r="BM14" i="17"/>
  <c r="BM80" i="18"/>
  <c r="BM81" i="18"/>
  <c r="BM23" i="17"/>
  <c r="BM25" i="17"/>
  <c r="BM15" i="17"/>
  <c r="BM83" i="18"/>
  <c r="BM84" i="18"/>
  <c r="BM45" i="16"/>
  <c r="BM52" i="16"/>
  <c r="BM59" i="16"/>
  <c r="BM66" i="16"/>
  <c r="BM73" i="16"/>
  <c r="BM131" i="16"/>
  <c r="BM25" i="18"/>
  <c r="BM27" i="18"/>
  <c r="BM29" i="18"/>
  <c r="BM31" i="18"/>
  <c r="BM33" i="18"/>
  <c r="BM35" i="18"/>
  <c r="BM86" i="18"/>
  <c r="BM87" i="18"/>
  <c r="BM91" i="18"/>
  <c r="BM92" i="18"/>
  <c r="BM43" i="18"/>
  <c r="BM106" i="18"/>
  <c r="BM98" i="18"/>
  <c r="BL83" i="16"/>
  <c r="BM80" i="16"/>
  <c r="BM82" i="16"/>
  <c r="BL90" i="16"/>
  <c r="BM87" i="16"/>
  <c r="BM89" i="16"/>
  <c r="BL97" i="16"/>
  <c r="BM94" i="16"/>
  <c r="BM96" i="16"/>
  <c r="BL104" i="16"/>
  <c r="BM101" i="16"/>
  <c r="BM103" i="16"/>
  <c r="BL111" i="16"/>
  <c r="BM108" i="16"/>
  <c r="BM110" i="16"/>
  <c r="BM137" i="16"/>
  <c r="BM100" i="18"/>
  <c r="BM107" i="18"/>
  <c r="BM108" i="18"/>
  <c r="BM110" i="18"/>
  <c r="BM45" i="18"/>
  <c r="BM46" i="18"/>
  <c r="BM129" i="16"/>
  <c r="BM132" i="16"/>
  <c r="BM49" i="18"/>
  <c r="BM50" i="18"/>
  <c r="BM52" i="18"/>
  <c r="BN90" i="18"/>
  <c r="BN71" i="18"/>
  <c r="BM97" i="18"/>
  <c r="BM101" i="18"/>
  <c r="BM103" i="18"/>
  <c r="BM56" i="18"/>
  <c r="BN76" i="18"/>
  <c r="BN77" i="18"/>
  <c r="BM16" i="17"/>
  <c r="BN12" i="17"/>
  <c r="BN21" i="17"/>
  <c r="BN79" i="18"/>
  <c r="BN14" i="17"/>
  <c r="BN80" i="18"/>
  <c r="BN81" i="18"/>
  <c r="BN23" i="17"/>
  <c r="BN25" i="17"/>
  <c r="BN15" i="17"/>
  <c r="BN83" i="18"/>
  <c r="BN84" i="18"/>
  <c r="BN45" i="16"/>
  <c r="BN52" i="16"/>
  <c r="BN59" i="16"/>
  <c r="BN66" i="16"/>
  <c r="BN73" i="16"/>
  <c r="BN131" i="16"/>
  <c r="BN25" i="18"/>
  <c r="BN27" i="18"/>
  <c r="BN29" i="18"/>
  <c r="BN31" i="18"/>
  <c r="BN33" i="18"/>
  <c r="BN35" i="18"/>
  <c r="BN86" i="18"/>
  <c r="BN87" i="18"/>
  <c r="BN91" i="18"/>
  <c r="BN92" i="18"/>
  <c r="BN43" i="18"/>
  <c r="BN106" i="18"/>
  <c r="BN98" i="18"/>
  <c r="BM83" i="16"/>
  <c r="BN80" i="16"/>
  <c r="BN82" i="16"/>
  <c r="BM90" i="16"/>
  <c r="BN87" i="16"/>
  <c r="BN89" i="16"/>
  <c r="BM97" i="16"/>
  <c r="BN94" i="16"/>
  <c r="BN96" i="16"/>
  <c r="BM104" i="16"/>
  <c r="BN101" i="16"/>
  <c r="BN103" i="16"/>
  <c r="BM111" i="16"/>
  <c r="BN108" i="16"/>
  <c r="BN110" i="16"/>
  <c r="BN137" i="16"/>
  <c r="BN100" i="18"/>
  <c r="BN107" i="18"/>
  <c r="BN108" i="18"/>
  <c r="BN110" i="18"/>
  <c r="BN45" i="18"/>
  <c r="BN46" i="18"/>
  <c r="BN129" i="16"/>
  <c r="BN132" i="16"/>
  <c r="BN49" i="18"/>
  <c r="BN50" i="18"/>
  <c r="BN52" i="18"/>
  <c r="BO90" i="18"/>
  <c r="BO71" i="18"/>
  <c r="BN97" i="18"/>
  <c r="BN101" i="18"/>
  <c r="BN103" i="18"/>
  <c r="BN56" i="18"/>
  <c r="BO76" i="18"/>
  <c r="BO77" i="18"/>
  <c r="BN16" i="17"/>
  <c r="BO12" i="17"/>
  <c r="BO21" i="17"/>
  <c r="BO79" i="18"/>
  <c r="BO14" i="17"/>
  <c r="BO80" i="18"/>
  <c r="BO81" i="18"/>
  <c r="BO23" i="17"/>
  <c r="BO25" i="17"/>
  <c r="BO15" i="17"/>
  <c r="BO83" i="18"/>
  <c r="BO84" i="18"/>
  <c r="BO45" i="16"/>
  <c r="BO52" i="16"/>
  <c r="BO59" i="16"/>
  <c r="BO66" i="16"/>
  <c r="BO73" i="16"/>
  <c r="BO131" i="16"/>
  <c r="BO25" i="18"/>
  <c r="BO27" i="18"/>
  <c r="BO29" i="18"/>
  <c r="BO31" i="18"/>
  <c r="BO33" i="18"/>
  <c r="BO35" i="18"/>
  <c r="BO86" i="18"/>
  <c r="BO87" i="18"/>
  <c r="BO91" i="18"/>
  <c r="BO92" i="18"/>
  <c r="BO43" i="18"/>
  <c r="BO106" i="18"/>
  <c r="BO98" i="18"/>
  <c r="BN83" i="16"/>
  <c r="BO80" i="16"/>
  <c r="BO82" i="16"/>
  <c r="BN90" i="16"/>
  <c r="BO87" i="16"/>
  <c r="BO89" i="16"/>
  <c r="BN97" i="16"/>
  <c r="BO94" i="16"/>
  <c r="BO96" i="16"/>
  <c r="BN104" i="16"/>
  <c r="BO101" i="16"/>
  <c r="BO103" i="16"/>
  <c r="BN111" i="16"/>
  <c r="BO108" i="16"/>
  <c r="BO110" i="16"/>
  <c r="BO137" i="16"/>
  <c r="BO100" i="18"/>
  <c r="BO107" i="18"/>
  <c r="BO108" i="18"/>
  <c r="BO110" i="18"/>
  <c r="BO45" i="18"/>
  <c r="BO46" i="18"/>
  <c r="BO129" i="16"/>
  <c r="BO132" i="16"/>
  <c r="BO49" i="18"/>
  <c r="BO50" i="18"/>
  <c r="BO52" i="18"/>
  <c r="BP90" i="18"/>
  <c r="BP71" i="18"/>
  <c r="BO97" i="18"/>
  <c r="BO101" i="18"/>
  <c r="BO103" i="18"/>
  <c r="BO56" i="18"/>
  <c r="BP76" i="18"/>
  <c r="BP77" i="18"/>
  <c r="BO16" i="17"/>
  <c r="BP12" i="17"/>
  <c r="BP21" i="17"/>
  <c r="BP79" i="18"/>
  <c r="BP14" i="17"/>
  <c r="BP80" i="18"/>
  <c r="BP81" i="18"/>
  <c r="BP23" i="17"/>
  <c r="BP25" i="17"/>
  <c r="BP15" i="17"/>
  <c r="BP83" i="18"/>
  <c r="BP84" i="18"/>
  <c r="BP45" i="16"/>
  <c r="BP52" i="16"/>
  <c r="BP59" i="16"/>
  <c r="BP66" i="16"/>
  <c r="BP73" i="16"/>
  <c r="BP131" i="16"/>
  <c r="BP25" i="18"/>
  <c r="BP27" i="18"/>
  <c r="BP29" i="18"/>
  <c r="BP31" i="18"/>
  <c r="BP33" i="18"/>
  <c r="BP35" i="18"/>
  <c r="BP86" i="18"/>
  <c r="BP87" i="18"/>
  <c r="BP91" i="18"/>
  <c r="BP92" i="18"/>
  <c r="BP43" i="18"/>
  <c r="BP106" i="18"/>
  <c r="BP98" i="18"/>
  <c r="BO83" i="16"/>
  <c r="BP80" i="16"/>
  <c r="BP82" i="16"/>
  <c r="BO90" i="16"/>
  <c r="BP87" i="16"/>
  <c r="BP89" i="16"/>
  <c r="BO97" i="16"/>
  <c r="BP94" i="16"/>
  <c r="BP96" i="16"/>
  <c r="BO104" i="16"/>
  <c r="BP101" i="16"/>
  <c r="BP103" i="16"/>
  <c r="BO111" i="16"/>
  <c r="BP108" i="16"/>
  <c r="BP110" i="16"/>
  <c r="BP137" i="16"/>
  <c r="BP100" i="18"/>
  <c r="BP107" i="18"/>
  <c r="BP108" i="18"/>
  <c r="BP110" i="18"/>
  <c r="BP45" i="18"/>
  <c r="BP46" i="18"/>
  <c r="BP129" i="16"/>
  <c r="BP132" i="16"/>
  <c r="BP49" i="18"/>
  <c r="BP50" i="18"/>
  <c r="BP52" i="18"/>
  <c r="BQ90" i="18"/>
  <c r="BQ71" i="18"/>
  <c r="BP97" i="18"/>
  <c r="BP101" i="18"/>
  <c r="BP103" i="18"/>
  <c r="BP56" i="18"/>
  <c r="BQ76" i="18"/>
  <c r="BQ77" i="18"/>
  <c r="BP16" i="17"/>
  <c r="BQ12" i="17"/>
  <c r="BQ21" i="17"/>
  <c r="BQ79" i="18"/>
  <c r="BQ14" i="17"/>
  <c r="BQ80" i="18"/>
  <c r="BQ81" i="18"/>
  <c r="BQ23" i="17"/>
  <c r="BQ25" i="17"/>
  <c r="BQ15" i="17"/>
  <c r="BQ83" i="18"/>
  <c r="BQ84" i="18"/>
  <c r="BQ45" i="16"/>
  <c r="BQ52" i="16"/>
  <c r="BQ59" i="16"/>
  <c r="BQ66" i="16"/>
  <c r="BQ73" i="16"/>
  <c r="BQ131" i="16"/>
  <c r="BQ25" i="18"/>
  <c r="BQ27" i="18"/>
  <c r="BQ29" i="18"/>
  <c r="BQ31" i="18"/>
  <c r="BQ33" i="18"/>
  <c r="BQ35" i="18"/>
  <c r="BQ86" i="18"/>
  <c r="BQ87" i="18"/>
  <c r="BQ91" i="18"/>
  <c r="BQ92" i="18"/>
  <c r="BQ43" i="18"/>
  <c r="BQ106" i="18"/>
  <c r="BQ98" i="18"/>
  <c r="BP83" i="16"/>
  <c r="BQ80" i="16"/>
  <c r="BQ82" i="16"/>
  <c r="BP90" i="16"/>
  <c r="BQ87" i="16"/>
  <c r="BQ89" i="16"/>
  <c r="BP97" i="16"/>
  <c r="BQ94" i="16"/>
  <c r="BQ96" i="16"/>
  <c r="BP104" i="16"/>
  <c r="BQ101" i="16"/>
  <c r="BQ103" i="16"/>
  <c r="BP111" i="16"/>
  <c r="BQ108" i="16"/>
  <c r="BQ110" i="16"/>
  <c r="BQ137" i="16"/>
  <c r="BQ100" i="18"/>
  <c r="BQ107" i="18"/>
  <c r="BQ108" i="18"/>
  <c r="BQ110" i="18"/>
  <c r="BQ45" i="18"/>
  <c r="BQ46" i="18"/>
  <c r="BQ129" i="16"/>
  <c r="BQ132" i="16"/>
  <c r="BQ49" i="18"/>
  <c r="BQ50" i="18"/>
  <c r="BQ52" i="18"/>
  <c r="BR90" i="18"/>
  <c r="BR71" i="18"/>
  <c r="BQ97" i="18"/>
  <c r="BQ101" i="18"/>
  <c r="BQ103" i="18"/>
  <c r="BQ56" i="18"/>
  <c r="BR76" i="18"/>
  <c r="BR77" i="18"/>
  <c r="BQ16" i="17"/>
  <c r="BR12" i="17"/>
  <c r="BR21" i="17"/>
  <c r="BR79" i="18"/>
  <c r="BR14" i="17"/>
  <c r="BR80" i="18"/>
  <c r="BR81" i="18"/>
  <c r="BR23" i="17"/>
  <c r="BR25" i="17"/>
  <c r="BR15" i="17"/>
  <c r="BR83" i="18"/>
  <c r="BR84" i="18"/>
  <c r="BR45" i="16"/>
  <c r="BR52" i="16"/>
  <c r="BR59" i="16"/>
  <c r="BR66" i="16"/>
  <c r="BR73" i="16"/>
  <c r="BR131" i="16"/>
  <c r="BR25" i="18"/>
  <c r="BR27" i="18"/>
  <c r="BR29" i="18"/>
  <c r="BR31" i="18"/>
  <c r="BR33" i="18"/>
  <c r="BR35" i="18"/>
  <c r="BR86" i="18"/>
  <c r="BR87" i="18"/>
  <c r="BR91" i="18"/>
  <c r="BR92" i="18"/>
  <c r="BR43" i="18"/>
  <c r="BR106" i="18"/>
  <c r="BR98" i="18"/>
  <c r="BQ83" i="16"/>
  <c r="BR80" i="16"/>
  <c r="BR82" i="16"/>
  <c r="BQ90" i="16"/>
  <c r="BR87" i="16"/>
  <c r="BR89" i="16"/>
  <c r="BQ97" i="16"/>
  <c r="BR94" i="16"/>
  <c r="BR96" i="16"/>
  <c r="BQ104" i="16"/>
  <c r="BR101" i="16"/>
  <c r="BR103" i="16"/>
  <c r="BQ111" i="16"/>
  <c r="BR108" i="16"/>
  <c r="BR110" i="16"/>
  <c r="BR137" i="16"/>
  <c r="BR100" i="18"/>
  <c r="BR107" i="18"/>
  <c r="BR108" i="18"/>
  <c r="BR110" i="18"/>
  <c r="BR45" i="18"/>
  <c r="BR46" i="18"/>
  <c r="BR129" i="16"/>
  <c r="BR132" i="16"/>
  <c r="BR49" i="18"/>
  <c r="BR50" i="18"/>
  <c r="BR52" i="18"/>
  <c r="BS90" i="18"/>
  <c r="BS71" i="18"/>
  <c r="BR97" i="18"/>
  <c r="BR101" i="18"/>
  <c r="BR103" i="18"/>
  <c r="BR56" i="18"/>
  <c r="BS76" i="18"/>
  <c r="BS77" i="18"/>
  <c r="BR16" i="17"/>
  <c r="BS12" i="17"/>
  <c r="BS21" i="17"/>
  <c r="BS79" i="18"/>
  <c r="BS14" i="17"/>
  <c r="BS80" i="18"/>
  <c r="BS81" i="18"/>
  <c r="BS23" i="17"/>
  <c r="BS25" i="17"/>
  <c r="BS15" i="17"/>
  <c r="BS83" i="18"/>
  <c r="BS84" i="18"/>
  <c r="BS45" i="16"/>
  <c r="BS52" i="16"/>
  <c r="BS59" i="16"/>
  <c r="BS66" i="16"/>
  <c r="BS73" i="16"/>
  <c r="BS131" i="16"/>
  <c r="BS25" i="18"/>
  <c r="BS27" i="18"/>
  <c r="BS29" i="18"/>
  <c r="BS31" i="18"/>
  <c r="BS33" i="18"/>
  <c r="BS35" i="18"/>
  <c r="BS86" i="18"/>
  <c r="BS87" i="18"/>
  <c r="BS91" i="18"/>
  <c r="BS92" i="18"/>
  <c r="BS43" i="18"/>
  <c r="BS106" i="18"/>
  <c r="BS98" i="18"/>
  <c r="BR83" i="16"/>
  <c r="BS80" i="16"/>
  <c r="BS82" i="16"/>
  <c r="BR90" i="16"/>
  <c r="BS87" i="16"/>
  <c r="BS89" i="16"/>
  <c r="BR97" i="16"/>
  <c r="BS94" i="16"/>
  <c r="BS96" i="16"/>
  <c r="BR104" i="16"/>
  <c r="BS101" i="16"/>
  <c r="BS103" i="16"/>
  <c r="BR111" i="16"/>
  <c r="BS108" i="16"/>
  <c r="BS110" i="16"/>
  <c r="BS137" i="16"/>
  <c r="BS100" i="18"/>
  <c r="BS107" i="18"/>
  <c r="BS108" i="18"/>
  <c r="BS110" i="18"/>
  <c r="BS45" i="18"/>
  <c r="BS46" i="18"/>
  <c r="BS52" i="18"/>
  <c r="BT90" i="18"/>
  <c r="BT71" i="18"/>
  <c r="BS97" i="18"/>
  <c r="BS101" i="18"/>
  <c r="BS103" i="18"/>
  <c r="BS56" i="18"/>
  <c r="BT76" i="18"/>
  <c r="BT77" i="18"/>
  <c r="BS16" i="17"/>
  <c r="BT12" i="17"/>
  <c r="BT21" i="17"/>
  <c r="BT79" i="18"/>
  <c r="BT14" i="17"/>
  <c r="BT80" i="18"/>
  <c r="BT81" i="18"/>
  <c r="BT23" i="17"/>
  <c r="BT25" i="17"/>
  <c r="BT15" i="17"/>
  <c r="BT83" i="18"/>
  <c r="BT84" i="18"/>
  <c r="BT45" i="16"/>
  <c r="BT52" i="16"/>
  <c r="BT59" i="16"/>
  <c r="BT66" i="16"/>
  <c r="BT73" i="16"/>
  <c r="BT131" i="16"/>
  <c r="BT25" i="18"/>
  <c r="BT27" i="18"/>
  <c r="BT29" i="18"/>
  <c r="BT31" i="18"/>
  <c r="BT33" i="18"/>
  <c r="BT35" i="18"/>
  <c r="BT86" i="18"/>
  <c r="BT87" i="18"/>
  <c r="BT91" i="18"/>
  <c r="BT92" i="18"/>
  <c r="BT43" i="18"/>
  <c r="BT106" i="18"/>
  <c r="BT98" i="18"/>
  <c r="BS83" i="16"/>
  <c r="BT80" i="16"/>
  <c r="BT82" i="16"/>
  <c r="BS90" i="16"/>
  <c r="BT87" i="16"/>
  <c r="BT89" i="16"/>
  <c r="BS97" i="16"/>
  <c r="BT94" i="16"/>
  <c r="BT96" i="16"/>
  <c r="BS104" i="16"/>
  <c r="BT101" i="16"/>
  <c r="BT103" i="16"/>
  <c r="BS111" i="16"/>
  <c r="BT108" i="16"/>
  <c r="BT110" i="16"/>
  <c r="BT137" i="16"/>
  <c r="BT100" i="18"/>
  <c r="BT107" i="18"/>
  <c r="BT108" i="18"/>
  <c r="BT110" i="18"/>
  <c r="BT45" i="18"/>
  <c r="BT46" i="18"/>
  <c r="BS129" i="16"/>
  <c r="BS132" i="16"/>
  <c r="BT129" i="16"/>
  <c r="BT132" i="16"/>
  <c r="BT49" i="18"/>
  <c r="BT50" i="18"/>
  <c r="BT52" i="18"/>
  <c r="BU90" i="18"/>
  <c r="BU71" i="18"/>
  <c r="BT97" i="18"/>
  <c r="BT101" i="18"/>
  <c r="BT103" i="18"/>
  <c r="BT56" i="18"/>
  <c r="BU76" i="18"/>
  <c r="BU77" i="18"/>
  <c r="BT16" i="17"/>
  <c r="BU12" i="17"/>
  <c r="BU21" i="17"/>
  <c r="BU79" i="18"/>
  <c r="BU14" i="17"/>
  <c r="BU80" i="18"/>
  <c r="BU81" i="18"/>
  <c r="BU23" i="17"/>
  <c r="BU25" i="17"/>
  <c r="BU15" i="17"/>
  <c r="BU83" i="18"/>
  <c r="BU84" i="18"/>
  <c r="BU45" i="16"/>
  <c r="BU52" i="16"/>
  <c r="BU59" i="16"/>
  <c r="BU66" i="16"/>
  <c r="BU73" i="16"/>
  <c r="BU131" i="16"/>
  <c r="BU25" i="18"/>
  <c r="BU27" i="18"/>
  <c r="BU29" i="18"/>
  <c r="BU31" i="18"/>
  <c r="BU33" i="18"/>
  <c r="BU35" i="18"/>
  <c r="BU86" i="18"/>
  <c r="BU87" i="18"/>
  <c r="BU91" i="18"/>
  <c r="BU92" i="18"/>
  <c r="BU43" i="18"/>
  <c r="BU106" i="18"/>
  <c r="BU98" i="18"/>
  <c r="BT83" i="16"/>
  <c r="BU80" i="16"/>
  <c r="BU82" i="16"/>
  <c r="BT90" i="16"/>
  <c r="BU87" i="16"/>
  <c r="BU89" i="16"/>
  <c r="BT97" i="16"/>
  <c r="BU94" i="16"/>
  <c r="BU96" i="16"/>
  <c r="BT104" i="16"/>
  <c r="BU101" i="16"/>
  <c r="BU103" i="16"/>
  <c r="BT111" i="16"/>
  <c r="BU108" i="16"/>
  <c r="BU110" i="16"/>
  <c r="BU137" i="16"/>
  <c r="BU100" i="18"/>
  <c r="BU107" i="18"/>
  <c r="BU108" i="18"/>
  <c r="BU110" i="18"/>
  <c r="BU45" i="18"/>
  <c r="BU46" i="18"/>
  <c r="BU129" i="16"/>
  <c r="BU132" i="16"/>
  <c r="BU49" i="18"/>
  <c r="BU50" i="18"/>
  <c r="BU52" i="18"/>
  <c r="BV90" i="18"/>
  <c r="BV71" i="18"/>
  <c r="BU97" i="18"/>
  <c r="BU101" i="18"/>
  <c r="BU103" i="18"/>
  <c r="BU56" i="18"/>
  <c r="BV76" i="18"/>
  <c r="BV77" i="18"/>
  <c r="BU16" i="17"/>
  <c r="BV12" i="17"/>
  <c r="BV21" i="17"/>
  <c r="BV79" i="18"/>
  <c r="BV14" i="17"/>
  <c r="BV80" i="18"/>
  <c r="BV81" i="18"/>
  <c r="BV23" i="17"/>
  <c r="BV25" i="17"/>
  <c r="BV15" i="17"/>
  <c r="BV83" i="18"/>
  <c r="BV84" i="18"/>
  <c r="BV45" i="16"/>
  <c r="BV52" i="16"/>
  <c r="BV59" i="16"/>
  <c r="BV66" i="16"/>
  <c r="BV73" i="16"/>
  <c r="BV131" i="16"/>
  <c r="BV25" i="18"/>
  <c r="BV27" i="18"/>
  <c r="BV29" i="18"/>
  <c r="BV31" i="18"/>
  <c r="BV33" i="18"/>
  <c r="BV35" i="18"/>
  <c r="BV86" i="18"/>
  <c r="BV87" i="18"/>
  <c r="BV91" i="18"/>
  <c r="BV92" i="18"/>
  <c r="BV43" i="18"/>
  <c r="BV106" i="18"/>
  <c r="BV98" i="18"/>
  <c r="BU83" i="16"/>
  <c r="BV80" i="16"/>
  <c r="BV82" i="16"/>
  <c r="BU90" i="16"/>
  <c r="BV87" i="16"/>
  <c r="BV89" i="16"/>
  <c r="BU97" i="16"/>
  <c r="BV94" i="16"/>
  <c r="BV96" i="16"/>
  <c r="BU104" i="16"/>
  <c r="BV101" i="16"/>
  <c r="BV103" i="16"/>
  <c r="BU111" i="16"/>
  <c r="BV108" i="16"/>
  <c r="BV110" i="16"/>
  <c r="BV137" i="16"/>
  <c r="BV100" i="18"/>
  <c r="BV107" i="18"/>
  <c r="BV108" i="18"/>
  <c r="BV110" i="18"/>
  <c r="BV45" i="18"/>
  <c r="BV46" i="18"/>
  <c r="BV129" i="16"/>
  <c r="BV132" i="16"/>
  <c r="BV49" i="18"/>
  <c r="BV50" i="18"/>
  <c r="BV52" i="18"/>
  <c r="BW90" i="18"/>
  <c r="BW71" i="18"/>
  <c r="BV97" i="18"/>
  <c r="BV101" i="18"/>
  <c r="BV103" i="18"/>
  <c r="BV56" i="18"/>
  <c r="BW76" i="18"/>
  <c r="BW77" i="18"/>
  <c r="BV16" i="17"/>
  <c r="BW12" i="17"/>
  <c r="BW21" i="17"/>
  <c r="BW79" i="18"/>
  <c r="BW14" i="17"/>
  <c r="BW80" i="18"/>
  <c r="BW81" i="18"/>
  <c r="BW23" i="17"/>
  <c r="BW25" i="17"/>
  <c r="BW15" i="17"/>
  <c r="BW83" i="18"/>
  <c r="BW84" i="18"/>
  <c r="BW45" i="16"/>
  <c r="BW52" i="16"/>
  <c r="BW59" i="16"/>
  <c r="BW66" i="16"/>
  <c r="BW73" i="16"/>
  <c r="BW131" i="16"/>
  <c r="BW25" i="18"/>
  <c r="BW27" i="18"/>
  <c r="BW29" i="18"/>
  <c r="BW31" i="18"/>
  <c r="BW33" i="18"/>
  <c r="BW35" i="18"/>
  <c r="BW86" i="18"/>
  <c r="BW87" i="18"/>
  <c r="BW91" i="18"/>
  <c r="BW92" i="18"/>
  <c r="BW43" i="18"/>
  <c r="BW106" i="18"/>
  <c r="BW98" i="18"/>
  <c r="BV83" i="16"/>
  <c r="BW80" i="16"/>
  <c r="BW82" i="16"/>
  <c r="BV90" i="16"/>
  <c r="BW87" i="16"/>
  <c r="BW89" i="16"/>
  <c r="BV97" i="16"/>
  <c r="BW94" i="16"/>
  <c r="BW96" i="16"/>
  <c r="BV104" i="16"/>
  <c r="BW101" i="16"/>
  <c r="BW103" i="16"/>
  <c r="BV111" i="16"/>
  <c r="BW108" i="16"/>
  <c r="BW110" i="16"/>
  <c r="BW137" i="16"/>
  <c r="BW100" i="18"/>
  <c r="BW107" i="18"/>
  <c r="BW108" i="18"/>
  <c r="BW110" i="18"/>
  <c r="BW45" i="18"/>
  <c r="BW46" i="18"/>
  <c r="BW129" i="16"/>
  <c r="BW132" i="16"/>
  <c r="BW49" i="18"/>
  <c r="BW50" i="18"/>
  <c r="BW52" i="18"/>
  <c r="BX90" i="18"/>
  <c r="BX71" i="18"/>
  <c r="BW97" i="18"/>
  <c r="BW101" i="18"/>
  <c r="BW103" i="18"/>
  <c r="BW56" i="18"/>
  <c r="BX76" i="18"/>
  <c r="BX77" i="18"/>
  <c r="BW16" i="17"/>
  <c r="BX12" i="17"/>
  <c r="BX21" i="17"/>
  <c r="BX79" i="18"/>
  <c r="BX14" i="17"/>
  <c r="BX80" i="18"/>
  <c r="BX81" i="18"/>
  <c r="BX23" i="17"/>
  <c r="BX25" i="17"/>
  <c r="BX15" i="17"/>
  <c r="BX83" i="18"/>
  <c r="BX84" i="18"/>
  <c r="BX45" i="16"/>
  <c r="BX52" i="16"/>
  <c r="BX59" i="16"/>
  <c r="BX66" i="16"/>
  <c r="BX73" i="16"/>
  <c r="BX131" i="16"/>
  <c r="BX25" i="18"/>
  <c r="BX27" i="18"/>
  <c r="BX29" i="18"/>
  <c r="BX31" i="18"/>
  <c r="BX33" i="18"/>
  <c r="BX35" i="18"/>
  <c r="BX86" i="18"/>
  <c r="BX87" i="18"/>
  <c r="BX91" i="18"/>
  <c r="BX92" i="18"/>
  <c r="BX43" i="18"/>
  <c r="BX106" i="18"/>
  <c r="BX98" i="18"/>
  <c r="BW83" i="16"/>
  <c r="BX80" i="16"/>
  <c r="BX82" i="16"/>
  <c r="BW90" i="16"/>
  <c r="BX87" i="16"/>
  <c r="BX89" i="16"/>
  <c r="BW97" i="16"/>
  <c r="BX94" i="16"/>
  <c r="BX96" i="16"/>
  <c r="BW104" i="16"/>
  <c r="BX101" i="16"/>
  <c r="BX103" i="16"/>
  <c r="BW111" i="16"/>
  <c r="BX108" i="16"/>
  <c r="BX110" i="16"/>
  <c r="BX137" i="16"/>
  <c r="BX100" i="18"/>
  <c r="BX107" i="18"/>
  <c r="BX108" i="18"/>
  <c r="BX110" i="18"/>
  <c r="BX45" i="18"/>
  <c r="BX46" i="18"/>
  <c r="BX129" i="16"/>
  <c r="BX132" i="16"/>
  <c r="BX49" i="18"/>
  <c r="BX50" i="18"/>
  <c r="BX52" i="18"/>
  <c r="BY90" i="18"/>
  <c r="BY71" i="18"/>
  <c r="BX97" i="18"/>
  <c r="BX101" i="18"/>
  <c r="BX103" i="18"/>
  <c r="BX56" i="18"/>
  <c r="BY76" i="18"/>
  <c r="BY77" i="18"/>
  <c r="BX16" i="17"/>
  <c r="BY12" i="17"/>
  <c r="BY21" i="17"/>
  <c r="BY79" i="18"/>
  <c r="BY14" i="17"/>
  <c r="BY80" i="18"/>
  <c r="BY81" i="18"/>
  <c r="BY23" i="17"/>
  <c r="BY25" i="17"/>
  <c r="BY15" i="17"/>
  <c r="BY83" i="18"/>
  <c r="BY84" i="18"/>
  <c r="BY45" i="16"/>
  <c r="BY52" i="16"/>
  <c r="BY59" i="16"/>
  <c r="BY66" i="16"/>
  <c r="BY73" i="16"/>
  <c r="BY131" i="16"/>
  <c r="BY25" i="18"/>
  <c r="BY27" i="18"/>
  <c r="BY29" i="18"/>
  <c r="BY31" i="18"/>
  <c r="BY33" i="18"/>
  <c r="BY35" i="18"/>
  <c r="BY86" i="18"/>
  <c r="BY87" i="18"/>
  <c r="BY91" i="18"/>
  <c r="BY92" i="18"/>
  <c r="BY43" i="18"/>
  <c r="BY106" i="18"/>
  <c r="BY98" i="18"/>
  <c r="BX83" i="16"/>
  <c r="BY80" i="16"/>
  <c r="BY82" i="16"/>
  <c r="BX90" i="16"/>
  <c r="BY87" i="16"/>
  <c r="BY89" i="16"/>
  <c r="BX97" i="16"/>
  <c r="BY94" i="16"/>
  <c r="BY96" i="16"/>
  <c r="BX104" i="16"/>
  <c r="BY101" i="16"/>
  <c r="BY103" i="16"/>
  <c r="BX111" i="16"/>
  <c r="BY108" i="16"/>
  <c r="BY110" i="16"/>
  <c r="BY137" i="16"/>
  <c r="BY100" i="18"/>
  <c r="BY107" i="18"/>
  <c r="BY108" i="18"/>
  <c r="BY110" i="18"/>
  <c r="BY45" i="18"/>
  <c r="BY46" i="18"/>
  <c r="BY129" i="16"/>
  <c r="BY132" i="16"/>
  <c r="BY49" i="18"/>
  <c r="BY50" i="18"/>
  <c r="BY52" i="18"/>
  <c r="BZ90" i="18"/>
  <c r="BZ71" i="18"/>
  <c r="BY97" i="18"/>
  <c r="BY101" i="18"/>
  <c r="BY103" i="18"/>
  <c r="BY56" i="18"/>
  <c r="BZ76" i="18"/>
  <c r="BZ77" i="18"/>
  <c r="BY16" i="17"/>
  <c r="BZ12" i="17"/>
  <c r="BZ21" i="17"/>
  <c r="BZ79" i="18"/>
  <c r="BZ14" i="17"/>
  <c r="BZ80" i="18"/>
  <c r="BZ81" i="18"/>
  <c r="BZ23" i="17"/>
  <c r="BZ25" i="17"/>
  <c r="BZ15" i="17"/>
  <c r="BZ83" i="18"/>
  <c r="BZ84" i="18"/>
  <c r="BZ45" i="16"/>
  <c r="BZ52" i="16"/>
  <c r="BZ59" i="16"/>
  <c r="BZ66" i="16"/>
  <c r="BZ73" i="16"/>
  <c r="BZ131" i="16"/>
  <c r="BZ25" i="18"/>
  <c r="BZ27" i="18"/>
  <c r="BZ29" i="18"/>
  <c r="BZ31" i="18"/>
  <c r="BZ33" i="18"/>
  <c r="BZ35" i="18"/>
  <c r="BZ86" i="18"/>
  <c r="BZ87" i="18"/>
  <c r="BZ91" i="18"/>
  <c r="BZ92" i="18"/>
  <c r="BZ43" i="18"/>
  <c r="BZ106" i="18"/>
  <c r="BZ98" i="18"/>
  <c r="BY83" i="16"/>
  <c r="BZ80" i="16"/>
  <c r="BZ82" i="16"/>
  <c r="BY90" i="16"/>
  <c r="BZ87" i="16"/>
  <c r="BZ89" i="16"/>
  <c r="BY97" i="16"/>
  <c r="BZ94" i="16"/>
  <c r="BZ96" i="16"/>
  <c r="BY104" i="16"/>
  <c r="BZ101" i="16"/>
  <c r="BZ103" i="16"/>
  <c r="BY111" i="16"/>
  <c r="BZ108" i="16"/>
  <c r="BZ110" i="16"/>
  <c r="BZ137" i="16"/>
  <c r="BZ100" i="18"/>
  <c r="BZ107" i="18"/>
  <c r="BZ108" i="18"/>
  <c r="BZ110" i="18"/>
  <c r="BZ45" i="18"/>
  <c r="BZ46" i="18"/>
  <c r="BZ129" i="16"/>
  <c r="BZ132" i="16"/>
  <c r="BZ49" i="18"/>
  <c r="BZ50" i="18"/>
  <c r="BZ52" i="18"/>
  <c r="CA90" i="18"/>
  <c r="CA71" i="18"/>
  <c r="BZ97" i="18"/>
  <c r="BZ101" i="18"/>
  <c r="BZ103" i="18"/>
  <c r="BZ56" i="18"/>
  <c r="CA76" i="18"/>
  <c r="CA77" i="18"/>
  <c r="BZ16" i="17"/>
  <c r="CA12" i="17"/>
  <c r="CA21" i="17"/>
  <c r="CA79" i="18"/>
  <c r="CA14" i="17"/>
  <c r="CA80" i="18"/>
  <c r="CA81" i="18"/>
  <c r="CA23" i="17"/>
  <c r="CA25" i="17"/>
  <c r="CA15" i="17"/>
  <c r="CA83" i="18"/>
  <c r="CA84" i="18"/>
  <c r="CA45" i="16"/>
  <c r="CA52" i="16"/>
  <c r="CA59" i="16"/>
  <c r="CA66" i="16"/>
  <c r="CA73" i="16"/>
  <c r="CA131" i="16"/>
  <c r="CA25" i="18"/>
  <c r="CA27" i="18"/>
  <c r="CA29" i="18"/>
  <c r="CA31" i="18"/>
  <c r="CA33" i="18"/>
  <c r="CA35" i="18"/>
  <c r="CA86" i="18"/>
  <c r="CA87" i="18"/>
  <c r="CA91" i="18"/>
  <c r="CA92" i="18"/>
  <c r="CA43" i="18"/>
  <c r="CA106" i="18"/>
  <c r="CA98" i="18"/>
  <c r="BZ83" i="16"/>
  <c r="CA80" i="16"/>
  <c r="CA82" i="16"/>
  <c r="BZ90" i="16"/>
  <c r="CA87" i="16"/>
  <c r="CA89" i="16"/>
  <c r="BZ97" i="16"/>
  <c r="CA94" i="16"/>
  <c r="CA96" i="16"/>
  <c r="BZ104" i="16"/>
  <c r="CA101" i="16"/>
  <c r="CA103" i="16"/>
  <c r="BZ111" i="16"/>
  <c r="CA108" i="16"/>
  <c r="CA110" i="16"/>
  <c r="CA137" i="16"/>
  <c r="CA100" i="18"/>
  <c r="CA107" i="18"/>
  <c r="CA108" i="18"/>
  <c r="CA110" i="18"/>
  <c r="CA45" i="18"/>
  <c r="CA46" i="18"/>
  <c r="CA129" i="16"/>
  <c r="CA132" i="16"/>
  <c r="CA49" i="18"/>
  <c r="CA50" i="18"/>
  <c r="CA52" i="18"/>
  <c r="CB90" i="18"/>
  <c r="CB71" i="18"/>
  <c r="CA97" i="18"/>
  <c r="CA101" i="18"/>
  <c r="CA103" i="18"/>
  <c r="CA56" i="18"/>
  <c r="CB76" i="18"/>
  <c r="CB77" i="18"/>
  <c r="CA16" i="17"/>
  <c r="CB12" i="17"/>
  <c r="CB21" i="17"/>
  <c r="CB79" i="18"/>
  <c r="CB14" i="17"/>
  <c r="CB80" i="18"/>
  <c r="CB81" i="18"/>
  <c r="CB23" i="17"/>
  <c r="CB25" i="17"/>
  <c r="CB15" i="17"/>
  <c r="CB83" i="18"/>
  <c r="CB84" i="18"/>
  <c r="CB45" i="16"/>
  <c r="CB52" i="16"/>
  <c r="CB59" i="16"/>
  <c r="CB66" i="16"/>
  <c r="CB73" i="16"/>
  <c r="CB131" i="16"/>
  <c r="CB25" i="18"/>
  <c r="CB27" i="18"/>
  <c r="CB29" i="18"/>
  <c r="CB31" i="18"/>
  <c r="CB33" i="18"/>
  <c r="CB35" i="18"/>
  <c r="CB86" i="18"/>
  <c r="CB87" i="18"/>
  <c r="CB91" i="18"/>
  <c r="CB92" i="18"/>
  <c r="CB43" i="18"/>
  <c r="CB106" i="18"/>
  <c r="CB98" i="18"/>
  <c r="CA83" i="16"/>
  <c r="CB80" i="16"/>
  <c r="CB82" i="16"/>
  <c r="CA90" i="16"/>
  <c r="CB87" i="16"/>
  <c r="CB89" i="16"/>
  <c r="CA97" i="16"/>
  <c r="CB94" i="16"/>
  <c r="CB96" i="16"/>
  <c r="CA104" i="16"/>
  <c r="CB101" i="16"/>
  <c r="CB103" i="16"/>
  <c r="CA111" i="16"/>
  <c r="CB108" i="16"/>
  <c r="CB110" i="16"/>
  <c r="CB137" i="16"/>
  <c r="CB100" i="18"/>
  <c r="CB107" i="18"/>
  <c r="CB108" i="18"/>
  <c r="CB110" i="18"/>
  <c r="CB45" i="18"/>
  <c r="CB46" i="18"/>
  <c r="CB129" i="16"/>
  <c r="CB132" i="16"/>
  <c r="CB49" i="18"/>
  <c r="CB50" i="18"/>
  <c r="CB52" i="18"/>
  <c r="CC90" i="18"/>
  <c r="CC71" i="18"/>
  <c r="CB97" i="18"/>
  <c r="CB101" i="18"/>
  <c r="CB103" i="18"/>
  <c r="CB56" i="18"/>
  <c r="CC76" i="18"/>
  <c r="CC77" i="18"/>
  <c r="CB16" i="17"/>
  <c r="CC12" i="17"/>
  <c r="CC21" i="17"/>
  <c r="CC79" i="18"/>
  <c r="CC14" i="17"/>
  <c r="CC80" i="18"/>
  <c r="CC81" i="18"/>
  <c r="CC23" i="17"/>
  <c r="CC25" i="17"/>
  <c r="CC15" i="17"/>
  <c r="CC83" i="18"/>
  <c r="CC84" i="18"/>
  <c r="CC45" i="16"/>
  <c r="CC52" i="16"/>
  <c r="CC59" i="16"/>
  <c r="CC66" i="16"/>
  <c r="CC73" i="16"/>
  <c r="CC131" i="16"/>
  <c r="CC25" i="18"/>
  <c r="CC27" i="18"/>
  <c r="CC29" i="18"/>
  <c r="CC31" i="18"/>
  <c r="CC33" i="18"/>
  <c r="CC35" i="18"/>
  <c r="CC86" i="18"/>
  <c r="CC87" i="18"/>
  <c r="CC91" i="18"/>
  <c r="CC92" i="18"/>
  <c r="CC43" i="18"/>
  <c r="CC106" i="18"/>
  <c r="CC98" i="18"/>
  <c r="CB83" i="16"/>
  <c r="CC80" i="16"/>
  <c r="CC82" i="16"/>
  <c r="CB90" i="16"/>
  <c r="CC87" i="16"/>
  <c r="CC89" i="16"/>
  <c r="CB97" i="16"/>
  <c r="CC94" i="16"/>
  <c r="CC96" i="16"/>
  <c r="CB104" i="16"/>
  <c r="CC101" i="16"/>
  <c r="CC103" i="16"/>
  <c r="CB111" i="16"/>
  <c r="CC108" i="16"/>
  <c r="CC110" i="16"/>
  <c r="CC137" i="16"/>
  <c r="CC100" i="18"/>
  <c r="CC107" i="18"/>
  <c r="CC108" i="18"/>
  <c r="CC110" i="18"/>
  <c r="CC45" i="18"/>
  <c r="CC46" i="18"/>
  <c r="CC129" i="16"/>
  <c r="CC132" i="16"/>
  <c r="CC49" i="18"/>
  <c r="CC50" i="18"/>
  <c r="CC52" i="18"/>
  <c r="CD90" i="18"/>
  <c r="CD71" i="18"/>
  <c r="CC97" i="18"/>
  <c r="CC101" i="18"/>
  <c r="CC103" i="18"/>
  <c r="CC56" i="18"/>
  <c r="CD76" i="18"/>
  <c r="CD77" i="18"/>
  <c r="CC16" i="17"/>
  <c r="CD12" i="17"/>
  <c r="CD21" i="17"/>
  <c r="CD79" i="18"/>
  <c r="CD14" i="17"/>
  <c r="CD80" i="18"/>
  <c r="CD81" i="18"/>
  <c r="CD23" i="17"/>
  <c r="CD25" i="17"/>
  <c r="CD15" i="17"/>
  <c r="CD83" i="18"/>
  <c r="CD84" i="18"/>
  <c r="CD45" i="16"/>
  <c r="CD52" i="16"/>
  <c r="CD59" i="16"/>
  <c r="CD66" i="16"/>
  <c r="CD73" i="16"/>
  <c r="CD131" i="16"/>
  <c r="CD25" i="18"/>
  <c r="CD27" i="18"/>
  <c r="CD29" i="18"/>
  <c r="CD31" i="18"/>
  <c r="CD33" i="18"/>
  <c r="CD35" i="18"/>
  <c r="CD86" i="18"/>
  <c r="CD87" i="18"/>
  <c r="CD91" i="18"/>
  <c r="CD92" i="18"/>
  <c r="CD43" i="18"/>
  <c r="CD106" i="18"/>
  <c r="CD98" i="18"/>
  <c r="CC83" i="16"/>
  <c r="CD80" i="16"/>
  <c r="CD82" i="16"/>
  <c r="CC90" i="16"/>
  <c r="CD87" i="16"/>
  <c r="CD89" i="16"/>
  <c r="CC97" i="16"/>
  <c r="CD94" i="16"/>
  <c r="CD96" i="16"/>
  <c r="CC104" i="16"/>
  <c r="CD101" i="16"/>
  <c r="CD103" i="16"/>
  <c r="CC111" i="16"/>
  <c r="CD108" i="16"/>
  <c r="CD110" i="16"/>
  <c r="CD137" i="16"/>
  <c r="CD100" i="18"/>
  <c r="CD107" i="18"/>
  <c r="CD108" i="18"/>
  <c r="CD110" i="18"/>
  <c r="CD45" i="18"/>
  <c r="CD46" i="18"/>
  <c r="CD129" i="16"/>
  <c r="CD132" i="16"/>
  <c r="CD49" i="18"/>
  <c r="CD50" i="18"/>
  <c r="CD52" i="18"/>
  <c r="CE90" i="18"/>
  <c r="CE71" i="18"/>
  <c r="CD97" i="18"/>
  <c r="CD101" i="18"/>
  <c r="CD103" i="18"/>
  <c r="CD56" i="18"/>
  <c r="CE76" i="18"/>
  <c r="CE77" i="18"/>
  <c r="CD16" i="17"/>
  <c r="CE12" i="17"/>
  <c r="CE21" i="17"/>
  <c r="CE79" i="18"/>
  <c r="CE14" i="17"/>
  <c r="CE80" i="18"/>
  <c r="CE81" i="18"/>
  <c r="CE23" i="17"/>
  <c r="CE25" i="17"/>
  <c r="CE15" i="17"/>
  <c r="CE83" i="18"/>
  <c r="CE84" i="18"/>
  <c r="CE45" i="16"/>
  <c r="CE52" i="16"/>
  <c r="CE59" i="16"/>
  <c r="CE66" i="16"/>
  <c r="CE73" i="16"/>
  <c r="CE131" i="16"/>
  <c r="CE25" i="18"/>
  <c r="CE27" i="18"/>
  <c r="CE29" i="18"/>
  <c r="CE31" i="18"/>
  <c r="CE33" i="18"/>
  <c r="CE35" i="18"/>
  <c r="CE86" i="18"/>
  <c r="CE87" i="18"/>
  <c r="CE91" i="18"/>
  <c r="CE92" i="18"/>
  <c r="CE43" i="18"/>
  <c r="CE106" i="18"/>
  <c r="CE98" i="18"/>
  <c r="CD83" i="16"/>
  <c r="CE80" i="16"/>
  <c r="CE82" i="16"/>
  <c r="CD90" i="16"/>
  <c r="CE87" i="16"/>
  <c r="CE89" i="16"/>
  <c r="CD97" i="16"/>
  <c r="CE94" i="16"/>
  <c r="CE96" i="16"/>
  <c r="CD104" i="16"/>
  <c r="CE101" i="16"/>
  <c r="CE103" i="16"/>
  <c r="CD111" i="16"/>
  <c r="CE108" i="16"/>
  <c r="CE110" i="16"/>
  <c r="CE137" i="16"/>
  <c r="CE100" i="18"/>
  <c r="CE107" i="18"/>
  <c r="CE108" i="18"/>
  <c r="CE110" i="18"/>
  <c r="CE45" i="18"/>
  <c r="CE46" i="18"/>
  <c r="CE129" i="16"/>
  <c r="CE132" i="16"/>
  <c r="CE49" i="18"/>
  <c r="CE50" i="18"/>
  <c r="CE52" i="18"/>
  <c r="CF90" i="18"/>
  <c r="CF71" i="18"/>
  <c r="CE97" i="18"/>
  <c r="CE101" i="18"/>
  <c r="CE103" i="18"/>
  <c r="CE56" i="18"/>
  <c r="CF76" i="18"/>
  <c r="CF77" i="18"/>
  <c r="CE16" i="17"/>
  <c r="CF12" i="17"/>
  <c r="CF21" i="17"/>
  <c r="CF79" i="18"/>
  <c r="CF14" i="17"/>
  <c r="CF80" i="18"/>
  <c r="CF81" i="18"/>
  <c r="CF23" i="17"/>
  <c r="CF25" i="17"/>
  <c r="CF15" i="17"/>
  <c r="CF83" i="18"/>
  <c r="CF84" i="18"/>
  <c r="CF45" i="16"/>
  <c r="CF52" i="16"/>
  <c r="CF59" i="16"/>
  <c r="CF66" i="16"/>
  <c r="CF73" i="16"/>
  <c r="CF131" i="16"/>
  <c r="CF25" i="18"/>
  <c r="CF27" i="18"/>
  <c r="CF29" i="18"/>
  <c r="CF31" i="18"/>
  <c r="CF33" i="18"/>
  <c r="CF35" i="18"/>
  <c r="CF86" i="18"/>
  <c r="CF87" i="18"/>
  <c r="CF91" i="18"/>
  <c r="CF92" i="18"/>
  <c r="CF43" i="18"/>
  <c r="CF106" i="18"/>
  <c r="CF98" i="18"/>
  <c r="CE83" i="16"/>
  <c r="CF80" i="16"/>
  <c r="CF82" i="16"/>
  <c r="CE90" i="16"/>
  <c r="CF87" i="16"/>
  <c r="CF89" i="16"/>
  <c r="CE97" i="16"/>
  <c r="CF94" i="16"/>
  <c r="CF96" i="16"/>
  <c r="CE104" i="16"/>
  <c r="CF101" i="16"/>
  <c r="CF103" i="16"/>
  <c r="CE111" i="16"/>
  <c r="CF108" i="16"/>
  <c r="CF110" i="16"/>
  <c r="CF137" i="16"/>
  <c r="CF100" i="18"/>
  <c r="CF107" i="18"/>
  <c r="CF108" i="18"/>
  <c r="CF110" i="18"/>
  <c r="CF45" i="18"/>
  <c r="CF46" i="18"/>
  <c r="CF129" i="16"/>
  <c r="CF132" i="16"/>
  <c r="CF49" i="18"/>
  <c r="CF50" i="18"/>
  <c r="CF52" i="18"/>
  <c r="CG90" i="18"/>
  <c r="CG71" i="18"/>
  <c r="CF97" i="18"/>
  <c r="CF101" i="18"/>
  <c r="CF103" i="18"/>
  <c r="CF56" i="18"/>
  <c r="CG76" i="18"/>
  <c r="CG77" i="18"/>
  <c r="CF16" i="17"/>
  <c r="CG12" i="17"/>
  <c r="CG21" i="17"/>
  <c r="CG79" i="18"/>
  <c r="CG14" i="17"/>
  <c r="CG80" i="18"/>
  <c r="CG81" i="18"/>
  <c r="CG23" i="17"/>
  <c r="CG25" i="17"/>
  <c r="CG15" i="17"/>
  <c r="CG83" i="18"/>
  <c r="CG84" i="18"/>
  <c r="CG45" i="16"/>
  <c r="CG52" i="16"/>
  <c r="CG59" i="16"/>
  <c r="CG66" i="16"/>
  <c r="CG73" i="16"/>
  <c r="CG131" i="16"/>
  <c r="CG25" i="18"/>
  <c r="CG27" i="18"/>
  <c r="CG29" i="18"/>
  <c r="CG31" i="18"/>
  <c r="CG33" i="18"/>
  <c r="CG35" i="18"/>
  <c r="CG86" i="18"/>
  <c r="CG87" i="18"/>
  <c r="CG91" i="18"/>
  <c r="CG92" i="18"/>
  <c r="CG43" i="18"/>
  <c r="CG106" i="18"/>
  <c r="CG98" i="18"/>
  <c r="CF83" i="16"/>
  <c r="CG80" i="16"/>
  <c r="CG82" i="16"/>
  <c r="CF90" i="16"/>
  <c r="CG87" i="16"/>
  <c r="CG89" i="16"/>
  <c r="CF97" i="16"/>
  <c r="CG94" i="16"/>
  <c r="CG96" i="16"/>
  <c r="CF104" i="16"/>
  <c r="CG101" i="16"/>
  <c r="CG103" i="16"/>
  <c r="CF111" i="16"/>
  <c r="CG108" i="16"/>
  <c r="CG110" i="16"/>
  <c r="CG137" i="16"/>
  <c r="CG100" i="18"/>
  <c r="CG107" i="18"/>
  <c r="CG108" i="18"/>
  <c r="CG110" i="18"/>
  <c r="CG45" i="18"/>
  <c r="CG46" i="18"/>
  <c r="CG129" i="16"/>
  <c r="CG132" i="16"/>
  <c r="CG49" i="18"/>
  <c r="CG50" i="18"/>
  <c r="CG52" i="18"/>
  <c r="CH90" i="18"/>
  <c r="CH71" i="18"/>
  <c r="CG97" i="18"/>
  <c r="CG101" i="18"/>
  <c r="CG103" i="18"/>
  <c r="CG56" i="18"/>
  <c r="CH76" i="18"/>
  <c r="CH77" i="18"/>
  <c r="CG16" i="17"/>
  <c r="CH12" i="17"/>
  <c r="CH21" i="17"/>
  <c r="CH79" i="18"/>
  <c r="CH14" i="17"/>
  <c r="CH80" i="18"/>
  <c r="CH81" i="18"/>
  <c r="CH23" i="17"/>
  <c r="CH25" i="17"/>
  <c r="CH15" i="17"/>
  <c r="CH83" i="18"/>
  <c r="CH84" i="18"/>
  <c r="CH45" i="16"/>
  <c r="CH52" i="16"/>
  <c r="CH59" i="16"/>
  <c r="CH66" i="16"/>
  <c r="CH73" i="16"/>
  <c r="CH131" i="16"/>
  <c r="CH25" i="18"/>
  <c r="CH27" i="18"/>
  <c r="CH29" i="18"/>
  <c r="CH31" i="18"/>
  <c r="CH33" i="18"/>
  <c r="CH35" i="18"/>
  <c r="CH86" i="18"/>
  <c r="CH87" i="18"/>
  <c r="CH91" i="18"/>
  <c r="CH92" i="18"/>
  <c r="CH43" i="18"/>
  <c r="CH106" i="18"/>
  <c r="CH98" i="18"/>
  <c r="CG83" i="16"/>
  <c r="CH80" i="16"/>
  <c r="CH82" i="16"/>
  <c r="CG90" i="16"/>
  <c r="CH87" i="16"/>
  <c r="CH89" i="16"/>
  <c r="CG97" i="16"/>
  <c r="CH94" i="16"/>
  <c r="CH96" i="16"/>
  <c r="CG104" i="16"/>
  <c r="CH101" i="16"/>
  <c r="CH103" i="16"/>
  <c r="CG111" i="16"/>
  <c r="CH108" i="16"/>
  <c r="CH110" i="16"/>
  <c r="CH137" i="16"/>
  <c r="CH100" i="18"/>
  <c r="CH107" i="18"/>
  <c r="CH108" i="18"/>
  <c r="CH110" i="18"/>
  <c r="CH45" i="18"/>
  <c r="CH46" i="18"/>
  <c r="CH129" i="16"/>
  <c r="CH132" i="16"/>
  <c r="CH49" i="18"/>
  <c r="CH50" i="18"/>
  <c r="CH52" i="18"/>
  <c r="CI90" i="18"/>
  <c r="CI71" i="18"/>
  <c r="CH97" i="18"/>
  <c r="CH101" i="18"/>
  <c r="CH103" i="18"/>
  <c r="CH56" i="18"/>
  <c r="CI76" i="18"/>
  <c r="CI77" i="18"/>
  <c r="CH16" i="17"/>
  <c r="CI12" i="17"/>
  <c r="CI21" i="17"/>
  <c r="CI79" i="18"/>
  <c r="CI14" i="17"/>
  <c r="CI80" i="18"/>
  <c r="CI81" i="18"/>
  <c r="CI23" i="17"/>
  <c r="CI25" i="17"/>
  <c r="CI15" i="17"/>
  <c r="CI83" i="18"/>
  <c r="CI84" i="18"/>
  <c r="CI45" i="16"/>
  <c r="CI52" i="16"/>
  <c r="CI59" i="16"/>
  <c r="CI66" i="16"/>
  <c r="CI73" i="16"/>
  <c r="CI131" i="16"/>
  <c r="CI25" i="18"/>
  <c r="CI27" i="18"/>
  <c r="CI29" i="18"/>
  <c r="CI31" i="18"/>
  <c r="CI33" i="18"/>
  <c r="CI35" i="18"/>
  <c r="CI86" i="18"/>
  <c r="CI87" i="18"/>
  <c r="CI91" i="18"/>
  <c r="CI92" i="18"/>
  <c r="CI43" i="18"/>
  <c r="CI106" i="18"/>
  <c r="CI98" i="18"/>
  <c r="CH83" i="16"/>
  <c r="CI80" i="16"/>
  <c r="CI82" i="16"/>
  <c r="CH90" i="16"/>
  <c r="CI87" i="16"/>
  <c r="CI89" i="16"/>
  <c r="CH97" i="16"/>
  <c r="CI94" i="16"/>
  <c r="CI96" i="16"/>
  <c r="CH104" i="16"/>
  <c r="CI101" i="16"/>
  <c r="CI103" i="16"/>
  <c r="CH111" i="16"/>
  <c r="CI108" i="16"/>
  <c r="CI110" i="16"/>
  <c r="CI137" i="16"/>
  <c r="CI100" i="18"/>
  <c r="CI107" i="18"/>
  <c r="CI108" i="18"/>
  <c r="CI110" i="18"/>
  <c r="CI45" i="18"/>
  <c r="CI46" i="18"/>
  <c r="CI129" i="16"/>
  <c r="CI132" i="16"/>
  <c r="CI49" i="18"/>
  <c r="CI50" i="18"/>
  <c r="CI52" i="18"/>
  <c r="CJ90" i="18"/>
  <c r="CJ71" i="18"/>
  <c r="CI97" i="18"/>
  <c r="CI101" i="18"/>
  <c r="CI103" i="18"/>
  <c r="CI56" i="18"/>
  <c r="CJ76" i="18"/>
  <c r="CJ77" i="18"/>
  <c r="CI16" i="17"/>
  <c r="CJ12" i="17"/>
  <c r="CJ21" i="17"/>
  <c r="CJ79" i="18"/>
  <c r="CJ14" i="17"/>
  <c r="CJ80" i="18"/>
  <c r="CJ81" i="18"/>
  <c r="CJ23" i="17"/>
  <c r="CJ25" i="17"/>
  <c r="CJ15" i="17"/>
  <c r="CJ83" i="18"/>
  <c r="CJ84" i="18"/>
  <c r="CJ45" i="16"/>
  <c r="CJ52" i="16"/>
  <c r="CJ59" i="16"/>
  <c r="CJ66" i="16"/>
  <c r="CJ73" i="16"/>
  <c r="CJ131" i="16"/>
  <c r="CJ25" i="18"/>
  <c r="CJ27" i="18"/>
  <c r="CJ29" i="18"/>
  <c r="CJ31" i="18"/>
  <c r="CJ33" i="18"/>
  <c r="CJ35" i="18"/>
  <c r="CJ86" i="18"/>
  <c r="CJ87" i="18"/>
  <c r="CJ91" i="18"/>
  <c r="CJ92" i="18"/>
  <c r="CJ43" i="18"/>
  <c r="CJ106" i="18"/>
  <c r="CJ98" i="18"/>
  <c r="CI83" i="16"/>
  <c r="CJ80" i="16"/>
  <c r="CJ82" i="16"/>
  <c r="CI90" i="16"/>
  <c r="CJ87" i="16"/>
  <c r="CJ89" i="16"/>
  <c r="CI97" i="16"/>
  <c r="CJ94" i="16"/>
  <c r="CJ96" i="16"/>
  <c r="CI104" i="16"/>
  <c r="CJ101" i="16"/>
  <c r="CJ103" i="16"/>
  <c r="CI111" i="16"/>
  <c r="CJ108" i="16"/>
  <c r="CJ110" i="16"/>
  <c r="CJ137" i="16"/>
  <c r="CJ100" i="18"/>
  <c r="CJ107" i="18"/>
  <c r="CJ108" i="18"/>
  <c r="CJ110" i="18"/>
  <c r="CJ45" i="18"/>
  <c r="CJ46" i="18"/>
  <c r="CJ129" i="16"/>
  <c r="CJ132" i="16"/>
  <c r="CJ49" i="18"/>
  <c r="CJ50" i="18"/>
  <c r="CJ52" i="18"/>
  <c r="CK90" i="18"/>
  <c r="CK71" i="18"/>
  <c r="CJ97" i="18"/>
  <c r="CJ101" i="18"/>
  <c r="CJ103" i="18"/>
  <c r="CJ56" i="18"/>
  <c r="CK76" i="18"/>
  <c r="CK77" i="18"/>
  <c r="CJ16" i="17"/>
  <c r="CK12" i="17"/>
  <c r="CK21" i="17"/>
  <c r="CK79" i="18"/>
  <c r="CK14" i="17"/>
  <c r="CK80" i="18"/>
  <c r="CK81" i="18"/>
  <c r="CK23" i="17"/>
  <c r="CK25" i="17"/>
  <c r="CK15" i="17"/>
  <c r="CK83" i="18"/>
  <c r="CK84" i="18"/>
  <c r="CK45" i="16"/>
  <c r="CK52" i="16"/>
  <c r="CK59" i="16"/>
  <c r="CK66" i="16"/>
  <c r="CK73" i="16"/>
  <c r="CK131" i="16"/>
  <c r="CK25" i="18"/>
  <c r="CK27" i="18"/>
  <c r="CK29" i="18"/>
  <c r="CK31" i="18"/>
  <c r="CK33" i="18"/>
  <c r="CK35" i="18"/>
  <c r="CK86" i="18"/>
  <c r="CK87" i="18"/>
  <c r="CK91" i="18"/>
  <c r="CK92" i="18"/>
  <c r="CK43" i="18"/>
  <c r="CK106" i="18"/>
  <c r="CK98" i="18"/>
  <c r="CJ83" i="16"/>
  <c r="CK80" i="16"/>
  <c r="CK82" i="16"/>
  <c r="CJ90" i="16"/>
  <c r="CK87" i="16"/>
  <c r="CK89" i="16"/>
  <c r="CJ97" i="16"/>
  <c r="CK94" i="16"/>
  <c r="CK96" i="16"/>
  <c r="CJ104" i="16"/>
  <c r="CK101" i="16"/>
  <c r="CK103" i="16"/>
  <c r="CJ111" i="16"/>
  <c r="CK108" i="16"/>
  <c r="CK110" i="16"/>
  <c r="CK137" i="16"/>
  <c r="CK100" i="18"/>
  <c r="CK107" i="18"/>
  <c r="CK108" i="18"/>
  <c r="CK110" i="18"/>
  <c r="CK45" i="18"/>
  <c r="CK46" i="18"/>
  <c r="CK129" i="16"/>
  <c r="CK132" i="16"/>
  <c r="CK49" i="18"/>
  <c r="CK50" i="18"/>
  <c r="CK52" i="18"/>
  <c r="CL90" i="18"/>
  <c r="CL71" i="18"/>
  <c r="CK97" i="18"/>
  <c r="CK101" i="18"/>
  <c r="CK103" i="18"/>
  <c r="CK56" i="18"/>
  <c r="CL76" i="18"/>
  <c r="CL77" i="18"/>
  <c r="CK16" i="17"/>
  <c r="CL12" i="17"/>
  <c r="CL21" i="17"/>
  <c r="CL79" i="18"/>
  <c r="CL14" i="17"/>
  <c r="CL80" i="18"/>
  <c r="CL81" i="18"/>
  <c r="CL23" i="17"/>
  <c r="CL25" i="17"/>
  <c r="CL15" i="17"/>
  <c r="CL83" i="18"/>
  <c r="CL84" i="18"/>
  <c r="CL45" i="16"/>
  <c r="CL52" i="16"/>
  <c r="CL59" i="16"/>
  <c r="CL66" i="16"/>
  <c r="CL73" i="16"/>
  <c r="CL131" i="16"/>
  <c r="CL25" i="18"/>
  <c r="CL27" i="18"/>
  <c r="CL29" i="18"/>
  <c r="CL31" i="18"/>
  <c r="CL33" i="18"/>
  <c r="CL35" i="18"/>
  <c r="CL86" i="18"/>
  <c r="CL87" i="18"/>
  <c r="CL91" i="18"/>
  <c r="CL92" i="18"/>
  <c r="CL43" i="18"/>
  <c r="CL106" i="18"/>
  <c r="CL98" i="18"/>
  <c r="CK83" i="16"/>
  <c r="CL80" i="16"/>
  <c r="CL82" i="16"/>
  <c r="CK90" i="16"/>
  <c r="CL87" i="16"/>
  <c r="CL89" i="16"/>
  <c r="CK97" i="16"/>
  <c r="CL94" i="16"/>
  <c r="CL96" i="16"/>
  <c r="CK104" i="16"/>
  <c r="CL101" i="16"/>
  <c r="CL103" i="16"/>
  <c r="CK111" i="16"/>
  <c r="CL108" i="16"/>
  <c r="CL110" i="16"/>
  <c r="CL137" i="16"/>
  <c r="CL100" i="18"/>
  <c r="CL107" i="18"/>
  <c r="CL108" i="18"/>
  <c r="CL110" i="18"/>
  <c r="CL45" i="18"/>
  <c r="CL46" i="18"/>
  <c r="CL129" i="16"/>
  <c r="CL132" i="16"/>
  <c r="CL49" i="18"/>
  <c r="CL50" i="18"/>
  <c r="CL52" i="18"/>
  <c r="CM90" i="18"/>
  <c r="CM71" i="18"/>
  <c r="CL97" i="18"/>
  <c r="CL101" i="18"/>
  <c r="CL103" i="18"/>
  <c r="CL56" i="18"/>
  <c r="CM76" i="18"/>
  <c r="CM77" i="18"/>
  <c r="CL16" i="17"/>
  <c r="CM12" i="17"/>
  <c r="CM21" i="17"/>
  <c r="CM79" i="18"/>
  <c r="CM14" i="17"/>
  <c r="CM80" i="18"/>
  <c r="CM81" i="18"/>
  <c r="CM23" i="17"/>
  <c r="CM25" i="17"/>
  <c r="CM15" i="17"/>
  <c r="CM83" i="18"/>
  <c r="CM84" i="18"/>
  <c r="CM45" i="16"/>
  <c r="CM52" i="16"/>
  <c r="CM59" i="16"/>
  <c r="CM66" i="16"/>
  <c r="CM73" i="16"/>
  <c r="CM131" i="16"/>
  <c r="CM25" i="18"/>
  <c r="CM27" i="18"/>
  <c r="CM29" i="18"/>
  <c r="CM31" i="18"/>
  <c r="CM33" i="18"/>
  <c r="CM35" i="18"/>
  <c r="CM86" i="18"/>
  <c r="CM87" i="18"/>
  <c r="CM91" i="18"/>
  <c r="CM92" i="18"/>
  <c r="CM43" i="18"/>
  <c r="CM106" i="18"/>
  <c r="CM98" i="18"/>
  <c r="CL83" i="16"/>
  <c r="CM80" i="16"/>
  <c r="CM82" i="16"/>
  <c r="CL90" i="16"/>
  <c r="CM87" i="16"/>
  <c r="CM89" i="16"/>
  <c r="CL97" i="16"/>
  <c r="CM94" i="16"/>
  <c r="CM96" i="16"/>
  <c r="CL104" i="16"/>
  <c r="CM101" i="16"/>
  <c r="CM103" i="16"/>
  <c r="CL111" i="16"/>
  <c r="CM108" i="16"/>
  <c r="CM110" i="16"/>
  <c r="CM137" i="16"/>
  <c r="CM100" i="18"/>
  <c r="CM107" i="18"/>
  <c r="CM108" i="18"/>
  <c r="CM110" i="18"/>
  <c r="CM45" i="18"/>
  <c r="CM46" i="18"/>
  <c r="CM129" i="16"/>
  <c r="CM132" i="16"/>
  <c r="CM49" i="18"/>
  <c r="CM50" i="18"/>
  <c r="CM52" i="18"/>
  <c r="CN90" i="18"/>
  <c r="CN71" i="18"/>
  <c r="CM97" i="18"/>
  <c r="CM101" i="18"/>
  <c r="CM103" i="18"/>
  <c r="CM56" i="18"/>
  <c r="CN76" i="18"/>
  <c r="CN77" i="18"/>
  <c r="CM16" i="17"/>
  <c r="CN12" i="17"/>
  <c r="CN21" i="17"/>
  <c r="CN79" i="18"/>
  <c r="CN14" i="17"/>
  <c r="CN80" i="18"/>
  <c r="CN81" i="18"/>
  <c r="CN23" i="17"/>
  <c r="CN25" i="17"/>
  <c r="CN15" i="17"/>
  <c r="CN83" i="18"/>
  <c r="CN84" i="18"/>
  <c r="M46" i="16"/>
  <c r="N43" i="16"/>
  <c r="N46" i="16"/>
  <c r="O43" i="16"/>
  <c r="O46" i="16"/>
  <c r="P43" i="16"/>
  <c r="P46" i="16"/>
  <c r="Q43" i="16"/>
  <c r="Q46" i="16"/>
  <c r="R43" i="16"/>
  <c r="R46" i="16"/>
  <c r="S43" i="16"/>
  <c r="S46" i="16"/>
  <c r="T43" i="16"/>
  <c r="T46" i="16"/>
  <c r="U43" i="16"/>
  <c r="U46" i="16"/>
  <c r="V43" i="16"/>
  <c r="V46" i="16"/>
  <c r="W43" i="16"/>
  <c r="W46" i="16"/>
  <c r="X43" i="16"/>
  <c r="X46" i="16"/>
  <c r="Y43" i="16"/>
  <c r="Y46" i="16"/>
  <c r="Z43" i="16"/>
  <c r="Z46" i="16"/>
  <c r="AA43" i="16"/>
  <c r="AA46" i="16"/>
  <c r="AB43" i="16"/>
  <c r="AB46" i="16"/>
  <c r="AC43" i="16"/>
  <c r="AC46" i="16"/>
  <c r="AD43" i="16"/>
  <c r="AD46" i="16"/>
  <c r="AE43" i="16"/>
  <c r="AE46" i="16"/>
  <c r="AF43" i="16"/>
  <c r="AF46" i="16"/>
  <c r="AG43" i="16"/>
  <c r="AG46" i="16"/>
  <c r="AH43" i="16"/>
  <c r="AH46" i="16"/>
  <c r="AI43" i="16"/>
  <c r="AI46" i="16"/>
  <c r="AJ43" i="16"/>
  <c r="AJ46" i="16"/>
  <c r="AK43" i="16"/>
  <c r="AK46" i="16"/>
  <c r="AL43" i="16"/>
  <c r="AL46" i="16"/>
  <c r="AM43" i="16"/>
  <c r="AM46" i="16"/>
  <c r="AN43" i="16"/>
  <c r="AN46" i="16"/>
  <c r="AO43" i="16"/>
  <c r="AO46" i="16"/>
  <c r="AP43" i="16"/>
  <c r="AP46" i="16"/>
  <c r="AQ43" i="16"/>
  <c r="AQ46" i="16"/>
  <c r="AR43" i="16"/>
  <c r="AR46" i="16"/>
  <c r="AS43" i="16"/>
  <c r="AS46" i="16"/>
  <c r="AT43" i="16"/>
  <c r="AT46" i="16"/>
  <c r="AU43" i="16"/>
  <c r="AU46" i="16"/>
  <c r="AV43" i="16"/>
  <c r="AV46" i="16"/>
  <c r="AW43" i="16"/>
  <c r="AW46" i="16"/>
  <c r="AX43" i="16"/>
  <c r="AX46" i="16"/>
  <c r="AY43" i="16"/>
  <c r="AY46" i="16"/>
  <c r="AZ43" i="16"/>
  <c r="AZ46" i="16"/>
  <c r="BA43" i="16"/>
  <c r="BA46" i="16"/>
  <c r="BB43" i="16"/>
  <c r="BB46" i="16"/>
  <c r="BC43" i="16"/>
  <c r="BC46" i="16"/>
  <c r="BD43" i="16"/>
  <c r="BD46" i="16"/>
  <c r="BE43" i="16"/>
  <c r="BE46" i="16"/>
  <c r="BF43" i="16"/>
  <c r="BF46" i="16"/>
  <c r="BG43" i="16"/>
  <c r="BG46" i="16"/>
  <c r="BH43" i="16"/>
  <c r="BH46" i="16"/>
  <c r="BI43" i="16"/>
  <c r="BI46" i="16"/>
  <c r="BJ43" i="16"/>
  <c r="BJ46" i="16"/>
  <c r="BK43" i="16"/>
  <c r="BK46" i="16"/>
  <c r="BL43" i="16"/>
  <c r="BL46" i="16"/>
  <c r="BM43" i="16"/>
  <c r="BM46" i="16"/>
  <c r="BN43" i="16"/>
  <c r="BN46" i="16"/>
  <c r="BO43" i="16"/>
  <c r="BO46" i="16"/>
  <c r="BP43" i="16"/>
  <c r="BP46" i="16"/>
  <c r="BQ43" i="16"/>
  <c r="BQ46" i="16"/>
  <c r="BR43" i="16"/>
  <c r="BR46" i="16"/>
  <c r="BS43" i="16"/>
  <c r="BS46" i="16"/>
  <c r="BT43" i="16"/>
  <c r="BT46" i="16"/>
  <c r="BU43" i="16"/>
  <c r="BU46" i="16"/>
  <c r="BV43" i="16"/>
  <c r="BV46" i="16"/>
  <c r="BW43" i="16"/>
  <c r="BW46" i="16"/>
  <c r="BX43" i="16"/>
  <c r="BX46" i="16"/>
  <c r="BY43" i="16"/>
  <c r="BY46" i="16"/>
  <c r="BZ43" i="16"/>
  <c r="BZ46" i="16"/>
  <c r="CA43" i="16"/>
  <c r="CA46" i="16"/>
  <c r="CB43" i="16"/>
  <c r="CB46" i="16"/>
  <c r="CC43" i="16"/>
  <c r="CC46" i="16"/>
  <c r="CD43" i="16"/>
  <c r="CD46" i="16"/>
  <c r="CE43" i="16"/>
  <c r="CE46" i="16"/>
  <c r="CF43" i="16"/>
  <c r="CF46" i="16"/>
  <c r="CG43" i="16"/>
  <c r="CG46" i="16"/>
  <c r="CH43" i="16"/>
  <c r="CH46" i="16"/>
  <c r="CI43" i="16"/>
  <c r="CI46" i="16"/>
  <c r="CJ43" i="16"/>
  <c r="CJ46" i="16"/>
  <c r="CK43" i="16"/>
  <c r="CK46" i="16"/>
  <c r="CL43" i="16"/>
  <c r="CL46" i="16"/>
  <c r="CM43" i="16"/>
  <c r="CM46" i="16"/>
  <c r="CN43" i="16"/>
  <c r="CN45" i="16"/>
  <c r="M53" i="16"/>
  <c r="N50" i="16"/>
  <c r="N53" i="16"/>
  <c r="O50" i="16"/>
  <c r="O53" i="16"/>
  <c r="P50" i="16"/>
  <c r="P53" i="16"/>
  <c r="Q50" i="16"/>
  <c r="Q53" i="16"/>
  <c r="R50" i="16"/>
  <c r="R53" i="16"/>
  <c r="S50" i="16"/>
  <c r="S53" i="16"/>
  <c r="T50" i="16"/>
  <c r="T53" i="16"/>
  <c r="U50" i="16"/>
  <c r="U53" i="16"/>
  <c r="V50" i="16"/>
  <c r="V53" i="16"/>
  <c r="W50" i="16"/>
  <c r="W53" i="16"/>
  <c r="X50" i="16"/>
  <c r="X53" i="16"/>
  <c r="Y50" i="16"/>
  <c r="Y53" i="16"/>
  <c r="Z50" i="16"/>
  <c r="Z53" i="16"/>
  <c r="AA50" i="16"/>
  <c r="AA53" i="16"/>
  <c r="AB50" i="16"/>
  <c r="AB53" i="16"/>
  <c r="AC50" i="16"/>
  <c r="AC53" i="16"/>
  <c r="AD50" i="16"/>
  <c r="AD53" i="16"/>
  <c r="AE50" i="16"/>
  <c r="AE53" i="16"/>
  <c r="AF50" i="16"/>
  <c r="AF53" i="16"/>
  <c r="AG50" i="16"/>
  <c r="AG53" i="16"/>
  <c r="AH50" i="16"/>
  <c r="AH53" i="16"/>
  <c r="AI50" i="16"/>
  <c r="AI53" i="16"/>
  <c r="AJ50" i="16"/>
  <c r="AJ53" i="16"/>
  <c r="AK50" i="16"/>
  <c r="AK53" i="16"/>
  <c r="AL50" i="16"/>
  <c r="AL53" i="16"/>
  <c r="AM50" i="16"/>
  <c r="AM53" i="16"/>
  <c r="AN50" i="16"/>
  <c r="AN53" i="16"/>
  <c r="AO50" i="16"/>
  <c r="AO53" i="16"/>
  <c r="AP50" i="16"/>
  <c r="AP53" i="16"/>
  <c r="AQ50" i="16"/>
  <c r="AQ53" i="16"/>
  <c r="AR50" i="16"/>
  <c r="AR53" i="16"/>
  <c r="AS50" i="16"/>
  <c r="AS53" i="16"/>
  <c r="AT50" i="16"/>
  <c r="AT53" i="16"/>
  <c r="AU50" i="16"/>
  <c r="AU53" i="16"/>
  <c r="AV50" i="16"/>
  <c r="AV53" i="16"/>
  <c r="AW50" i="16"/>
  <c r="AW53" i="16"/>
  <c r="AX50" i="16"/>
  <c r="AX53" i="16"/>
  <c r="AY50" i="16"/>
  <c r="AY53" i="16"/>
  <c r="AZ50" i="16"/>
  <c r="AZ53" i="16"/>
  <c r="BA50" i="16"/>
  <c r="BA53" i="16"/>
  <c r="BB50" i="16"/>
  <c r="BB53" i="16"/>
  <c r="BC50" i="16"/>
  <c r="BC53" i="16"/>
  <c r="BD50" i="16"/>
  <c r="BD53" i="16"/>
  <c r="BE50" i="16"/>
  <c r="BE53" i="16"/>
  <c r="BF50" i="16"/>
  <c r="BF53" i="16"/>
  <c r="BG50" i="16"/>
  <c r="BG53" i="16"/>
  <c r="BH50" i="16"/>
  <c r="BH53" i="16"/>
  <c r="BI50" i="16"/>
  <c r="BI53" i="16"/>
  <c r="BJ50" i="16"/>
  <c r="BJ53" i="16"/>
  <c r="BK50" i="16"/>
  <c r="BK53" i="16"/>
  <c r="BL50" i="16"/>
  <c r="BL53" i="16"/>
  <c r="BM50" i="16"/>
  <c r="BM53" i="16"/>
  <c r="BN50" i="16"/>
  <c r="BN53" i="16"/>
  <c r="BO50" i="16"/>
  <c r="BO53" i="16"/>
  <c r="BP50" i="16"/>
  <c r="BP53" i="16"/>
  <c r="BQ50" i="16"/>
  <c r="BQ53" i="16"/>
  <c r="BR50" i="16"/>
  <c r="BR53" i="16"/>
  <c r="BS50" i="16"/>
  <c r="BS53" i="16"/>
  <c r="BT50" i="16"/>
  <c r="BT53" i="16"/>
  <c r="BU50" i="16"/>
  <c r="BU53" i="16"/>
  <c r="BV50" i="16"/>
  <c r="BV53" i="16"/>
  <c r="BW50" i="16"/>
  <c r="BW53" i="16"/>
  <c r="BX50" i="16"/>
  <c r="BX53" i="16"/>
  <c r="BY50" i="16"/>
  <c r="BY53" i="16"/>
  <c r="BZ50" i="16"/>
  <c r="BZ53" i="16"/>
  <c r="CA50" i="16"/>
  <c r="CA53" i="16"/>
  <c r="CB50" i="16"/>
  <c r="CB53" i="16"/>
  <c r="CC50" i="16"/>
  <c r="CC53" i="16"/>
  <c r="CD50" i="16"/>
  <c r="CD53" i="16"/>
  <c r="CE50" i="16"/>
  <c r="CE53" i="16"/>
  <c r="CF50" i="16"/>
  <c r="CF53" i="16"/>
  <c r="CG50" i="16"/>
  <c r="CG53" i="16"/>
  <c r="CH50" i="16"/>
  <c r="CH53" i="16"/>
  <c r="CI50" i="16"/>
  <c r="CI53" i="16"/>
  <c r="CJ50" i="16"/>
  <c r="CJ53" i="16"/>
  <c r="CK50" i="16"/>
  <c r="CK53" i="16"/>
  <c r="CL50" i="16"/>
  <c r="CL53" i="16"/>
  <c r="CM50" i="16"/>
  <c r="CM53" i="16"/>
  <c r="CN50" i="16"/>
  <c r="CN52" i="16"/>
  <c r="M60" i="16"/>
  <c r="N57" i="16"/>
  <c r="N60" i="16"/>
  <c r="O57" i="16"/>
  <c r="O60" i="16"/>
  <c r="P57" i="16"/>
  <c r="P60" i="16"/>
  <c r="Q57" i="16"/>
  <c r="Q60" i="16"/>
  <c r="R57" i="16"/>
  <c r="R60" i="16"/>
  <c r="S57" i="16"/>
  <c r="S60" i="16"/>
  <c r="T57" i="16"/>
  <c r="T60" i="16"/>
  <c r="U57" i="16"/>
  <c r="U60" i="16"/>
  <c r="V57" i="16"/>
  <c r="V60" i="16"/>
  <c r="W57" i="16"/>
  <c r="W60" i="16"/>
  <c r="X57" i="16"/>
  <c r="X60" i="16"/>
  <c r="Y57" i="16"/>
  <c r="Y60" i="16"/>
  <c r="Z57" i="16"/>
  <c r="Z60" i="16"/>
  <c r="AA57" i="16"/>
  <c r="AA60" i="16"/>
  <c r="AB57" i="16"/>
  <c r="AB60" i="16"/>
  <c r="AC57" i="16"/>
  <c r="AC60" i="16"/>
  <c r="AD57" i="16"/>
  <c r="AD60" i="16"/>
  <c r="AE57" i="16"/>
  <c r="AE60" i="16"/>
  <c r="AF57" i="16"/>
  <c r="AF60" i="16"/>
  <c r="AG57" i="16"/>
  <c r="AG60" i="16"/>
  <c r="AH57" i="16"/>
  <c r="AH60" i="16"/>
  <c r="AI57" i="16"/>
  <c r="AI60" i="16"/>
  <c r="AJ57" i="16"/>
  <c r="AJ60" i="16"/>
  <c r="AK57" i="16"/>
  <c r="AK60" i="16"/>
  <c r="AL57" i="16"/>
  <c r="AL60" i="16"/>
  <c r="AM57" i="16"/>
  <c r="AM60" i="16"/>
  <c r="AN57" i="16"/>
  <c r="AN60" i="16"/>
  <c r="AO57" i="16"/>
  <c r="AO60" i="16"/>
  <c r="AP57" i="16"/>
  <c r="AP60" i="16"/>
  <c r="AQ57" i="16"/>
  <c r="AQ60" i="16"/>
  <c r="AR57" i="16"/>
  <c r="AR60" i="16"/>
  <c r="AS57" i="16"/>
  <c r="AS60" i="16"/>
  <c r="AT57" i="16"/>
  <c r="AT60" i="16"/>
  <c r="AU57" i="16"/>
  <c r="AU60" i="16"/>
  <c r="AV57" i="16"/>
  <c r="AV60" i="16"/>
  <c r="AW57" i="16"/>
  <c r="AW60" i="16"/>
  <c r="AX57" i="16"/>
  <c r="AX60" i="16"/>
  <c r="AY57" i="16"/>
  <c r="AY60" i="16"/>
  <c r="AZ57" i="16"/>
  <c r="AZ60" i="16"/>
  <c r="BA57" i="16"/>
  <c r="BA60" i="16"/>
  <c r="BB57" i="16"/>
  <c r="BB60" i="16"/>
  <c r="BC57" i="16"/>
  <c r="BC60" i="16"/>
  <c r="BD57" i="16"/>
  <c r="BD60" i="16"/>
  <c r="BE57" i="16"/>
  <c r="BE60" i="16"/>
  <c r="BF57" i="16"/>
  <c r="BF60" i="16"/>
  <c r="BG57" i="16"/>
  <c r="BG60" i="16"/>
  <c r="BH57" i="16"/>
  <c r="BH60" i="16"/>
  <c r="BI57" i="16"/>
  <c r="BI60" i="16"/>
  <c r="BJ57" i="16"/>
  <c r="BJ60" i="16"/>
  <c r="BK57" i="16"/>
  <c r="BK60" i="16"/>
  <c r="BL57" i="16"/>
  <c r="BL60" i="16"/>
  <c r="BM57" i="16"/>
  <c r="BM60" i="16"/>
  <c r="BN57" i="16"/>
  <c r="BN60" i="16"/>
  <c r="BO57" i="16"/>
  <c r="BO60" i="16"/>
  <c r="BP57" i="16"/>
  <c r="BP60" i="16"/>
  <c r="BQ57" i="16"/>
  <c r="BQ60" i="16"/>
  <c r="BR57" i="16"/>
  <c r="BR60" i="16"/>
  <c r="BS57" i="16"/>
  <c r="BS60" i="16"/>
  <c r="BT57" i="16"/>
  <c r="BT60" i="16"/>
  <c r="BU57" i="16"/>
  <c r="BU60" i="16"/>
  <c r="BV57" i="16"/>
  <c r="BV60" i="16"/>
  <c r="BW57" i="16"/>
  <c r="BW60" i="16"/>
  <c r="BX57" i="16"/>
  <c r="BX60" i="16"/>
  <c r="BY57" i="16"/>
  <c r="BY60" i="16"/>
  <c r="BZ57" i="16"/>
  <c r="BZ60" i="16"/>
  <c r="CA57" i="16"/>
  <c r="CA60" i="16"/>
  <c r="CB57" i="16"/>
  <c r="CB60" i="16"/>
  <c r="CC57" i="16"/>
  <c r="CC60" i="16"/>
  <c r="CD57" i="16"/>
  <c r="CD60" i="16"/>
  <c r="CE57" i="16"/>
  <c r="CE60" i="16"/>
  <c r="CF57" i="16"/>
  <c r="CF60" i="16"/>
  <c r="CG57" i="16"/>
  <c r="CG60" i="16"/>
  <c r="CH57" i="16"/>
  <c r="CH60" i="16"/>
  <c r="CI57" i="16"/>
  <c r="CI60" i="16"/>
  <c r="CJ57" i="16"/>
  <c r="CJ60" i="16"/>
  <c r="CK57" i="16"/>
  <c r="CK60" i="16"/>
  <c r="CL57" i="16"/>
  <c r="CL60" i="16"/>
  <c r="CM57" i="16"/>
  <c r="CM60" i="16"/>
  <c r="CN57" i="16"/>
  <c r="CN59" i="16"/>
  <c r="M67" i="16"/>
  <c r="N64" i="16"/>
  <c r="N67" i="16"/>
  <c r="O64" i="16"/>
  <c r="O67" i="16"/>
  <c r="P64" i="16"/>
  <c r="P67" i="16"/>
  <c r="Q64" i="16"/>
  <c r="Q67" i="16"/>
  <c r="R64" i="16"/>
  <c r="R67" i="16"/>
  <c r="S64" i="16"/>
  <c r="S67" i="16"/>
  <c r="T64" i="16"/>
  <c r="T67" i="16"/>
  <c r="U64" i="16"/>
  <c r="U67" i="16"/>
  <c r="V64" i="16"/>
  <c r="V67" i="16"/>
  <c r="W64" i="16"/>
  <c r="W67" i="16"/>
  <c r="X64" i="16"/>
  <c r="X67" i="16"/>
  <c r="Y64" i="16"/>
  <c r="Y67" i="16"/>
  <c r="Z64" i="16"/>
  <c r="Z67" i="16"/>
  <c r="AA64" i="16"/>
  <c r="AA67" i="16"/>
  <c r="AB64" i="16"/>
  <c r="AB67" i="16"/>
  <c r="AC64" i="16"/>
  <c r="AC67" i="16"/>
  <c r="AD64" i="16"/>
  <c r="AD67" i="16"/>
  <c r="AE64" i="16"/>
  <c r="AE67" i="16"/>
  <c r="AF64" i="16"/>
  <c r="AF67" i="16"/>
  <c r="AG64" i="16"/>
  <c r="AG67" i="16"/>
  <c r="AH64" i="16"/>
  <c r="AH67" i="16"/>
  <c r="AI64" i="16"/>
  <c r="AI67" i="16"/>
  <c r="AJ64" i="16"/>
  <c r="AJ67" i="16"/>
  <c r="AK64" i="16"/>
  <c r="AK67" i="16"/>
  <c r="AL64" i="16"/>
  <c r="AL67" i="16"/>
  <c r="AM64" i="16"/>
  <c r="AM67" i="16"/>
  <c r="AN64" i="16"/>
  <c r="AN67" i="16"/>
  <c r="AO64" i="16"/>
  <c r="AO67" i="16"/>
  <c r="AP64" i="16"/>
  <c r="AP67" i="16"/>
  <c r="AQ64" i="16"/>
  <c r="AQ67" i="16"/>
  <c r="AR64" i="16"/>
  <c r="AR67" i="16"/>
  <c r="AS64" i="16"/>
  <c r="AS67" i="16"/>
  <c r="AT64" i="16"/>
  <c r="AT67" i="16"/>
  <c r="AU64" i="16"/>
  <c r="AU67" i="16"/>
  <c r="AV64" i="16"/>
  <c r="AV67" i="16"/>
  <c r="AW64" i="16"/>
  <c r="AW67" i="16"/>
  <c r="AX64" i="16"/>
  <c r="AX67" i="16"/>
  <c r="AY64" i="16"/>
  <c r="AY67" i="16"/>
  <c r="AZ64" i="16"/>
  <c r="AZ67" i="16"/>
  <c r="BA64" i="16"/>
  <c r="BA67" i="16"/>
  <c r="BB64" i="16"/>
  <c r="BB67" i="16"/>
  <c r="BC64" i="16"/>
  <c r="BC67" i="16"/>
  <c r="BD64" i="16"/>
  <c r="BD67" i="16"/>
  <c r="BE64" i="16"/>
  <c r="BE67" i="16"/>
  <c r="BF64" i="16"/>
  <c r="BF67" i="16"/>
  <c r="BG64" i="16"/>
  <c r="BG67" i="16"/>
  <c r="BH64" i="16"/>
  <c r="BH67" i="16"/>
  <c r="BI64" i="16"/>
  <c r="BI67" i="16"/>
  <c r="BJ64" i="16"/>
  <c r="BJ67" i="16"/>
  <c r="BK64" i="16"/>
  <c r="BK67" i="16"/>
  <c r="BL64" i="16"/>
  <c r="BL67" i="16"/>
  <c r="BM64" i="16"/>
  <c r="BM67" i="16"/>
  <c r="BN64" i="16"/>
  <c r="BN67" i="16"/>
  <c r="BO64" i="16"/>
  <c r="BO67" i="16"/>
  <c r="BP64" i="16"/>
  <c r="BP67" i="16"/>
  <c r="BQ64" i="16"/>
  <c r="BQ67" i="16"/>
  <c r="BR64" i="16"/>
  <c r="BR67" i="16"/>
  <c r="BS64" i="16"/>
  <c r="BS67" i="16"/>
  <c r="BT64" i="16"/>
  <c r="BT67" i="16"/>
  <c r="BU64" i="16"/>
  <c r="BU67" i="16"/>
  <c r="BV64" i="16"/>
  <c r="BV67" i="16"/>
  <c r="BW64" i="16"/>
  <c r="BW67" i="16"/>
  <c r="BX64" i="16"/>
  <c r="BX67" i="16"/>
  <c r="BY64" i="16"/>
  <c r="BY67" i="16"/>
  <c r="BZ64" i="16"/>
  <c r="BZ67" i="16"/>
  <c r="CA64" i="16"/>
  <c r="CA67" i="16"/>
  <c r="CB64" i="16"/>
  <c r="CB67" i="16"/>
  <c r="CC64" i="16"/>
  <c r="CC67" i="16"/>
  <c r="CD64" i="16"/>
  <c r="CD67" i="16"/>
  <c r="CE64" i="16"/>
  <c r="CE67" i="16"/>
  <c r="CF64" i="16"/>
  <c r="CF67" i="16"/>
  <c r="CG64" i="16"/>
  <c r="CG67" i="16"/>
  <c r="CH64" i="16"/>
  <c r="CH67" i="16"/>
  <c r="CI64" i="16"/>
  <c r="CI67" i="16"/>
  <c r="CJ64" i="16"/>
  <c r="CJ67" i="16"/>
  <c r="CK64" i="16"/>
  <c r="CK67" i="16"/>
  <c r="CL64" i="16"/>
  <c r="CL67" i="16"/>
  <c r="CM64" i="16"/>
  <c r="CM67" i="16"/>
  <c r="CN64" i="16"/>
  <c r="CN66" i="16"/>
  <c r="M74" i="16"/>
  <c r="N71" i="16"/>
  <c r="N74" i="16"/>
  <c r="O71" i="16"/>
  <c r="O74" i="16"/>
  <c r="P71" i="16"/>
  <c r="P74" i="16"/>
  <c r="Q71" i="16"/>
  <c r="Q74" i="16"/>
  <c r="R71" i="16"/>
  <c r="R74" i="16"/>
  <c r="S71" i="16"/>
  <c r="S74" i="16"/>
  <c r="T71" i="16"/>
  <c r="T74" i="16"/>
  <c r="U71" i="16"/>
  <c r="U74" i="16"/>
  <c r="V71" i="16"/>
  <c r="V74" i="16"/>
  <c r="W71" i="16"/>
  <c r="W74" i="16"/>
  <c r="X71" i="16"/>
  <c r="X74" i="16"/>
  <c r="Y71" i="16"/>
  <c r="Y74" i="16"/>
  <c r="Z71" i="16"/>
  <c r="Z74" i="16"/>
  <c r="AA71" i="16"/>
  <c r="AA74" i="16"/>
  <c r="AB71" i="16"/>
  <c r="AB74" i="16"/>
  <c r="AC71" i="16"/>
  <c r="AC74" i="16"/>
  <c r="AD71" i="16"/>
  <c r="AD74" i="16"/>
  <c r="AE71" i="16"/>
  <c r="AE74" i="16"/>
  <c r="AF71" i="16"/>
  <c r="AF74" i="16"/>
  <c r="AG71" i="16"/>
  <c r="AG74" i="16"/>
  <c r="AH71" i="16"/>
  <c r="AH74" i="16"/>
  <c r="AI71" i="16"/>
  <c r="AI74" i="16"/>
  <c r="AJ71" i="16"/>
  <c r="AJ74" i="16"/>
  <c r="AK71" i="16"/>
  <c r="AK74" i="16"/>
  <c r="AL71" i="16"/>
  <c r="AL74" i="16"/>
  <c r="AM71" i="16"/>
  <c r="AM74" i="16"/>
  <c r="AN71" i="16"/>
  <c r="AN74" i="16"/>
  <c r="AO71" i="16"/>
  <c r="AO74" i="16"/>
  <c r="AP71" i="16"/>
  <c r="AP74" i="16"/>
  <c r="AQ71" i="16"/>
  <c r="AQ74" i="16"/>
  <c r="AR71" i="16"/>
  <c r="AR74" i="16"/>
  <c r="AS71" i="16"/>
  <c r="AS74" i="16"/>
  <c r="AT71" i="16"/>
  <c r="AT74" i="16"/>
  <c r="AU71" i="16"/>
  <c r="AU74" i="16"/>
  <c r="AV71" i="16"/>
  <c r="AV74" i="16"/>
  <c r="AW71" i="16"/>
  <c r="AW74" i="16"/>
  <c r="AX71" i="16"/>
  <c r="AX74" i="16"/>
  <c r="AY71" i="16"/>
  <c r="AY74" i="16"/>
  <c r="AZ71" i="16"/>
  <c r="AZ74" i="16"/>
  <c r="BA71" i="16"/>
  <c r="BA74" i="16"/>
  <c r="BB71" i="16"/>
  <c r="BB74" i="16"/>
  <c r="BC71" i="16"/>
  <c r="BC74" i="16"/>
  <c r="BD71" i="16"/>
  <c r="BD74" i="16"/>
  <c r="BE71" i="16"/>
  <c r="BE74" i="16"/>
  <c r="BF71" i="16"/>
  <c r="BF74" i="16"/>
  <c r="BG71" i="16"/>
  <c r="BG74" i="16"/>
  <c r="BH71" i="16"/>
  <c r="BH74" i="16"/>
  <c r="BI71" i="16"/>
  <c r="BI74" i="16"/>
  <c r="BJ71" i="16"/>
  <c r="BJ74" i="16"/>
  <c r="BK71" i="16"/>
  <c r="BK74" i="16"/>
  <c r="BL71" i="16"/>
  <c r="BL74" i="16"/>
  <c r="BM71" i="16"/>
  <c r="BM74" i="16"/>
  <c r="BN71" i="16"/>
  <c r="BN74" i="16"/>
  <c r="BO71" i="16"/>
  <c r="BO74" i="16"/>
  <c r="BP71" i="16"/>
  <c r="BP74" i="16"/>
  <c r="BQ71" i="16"/>
  <c r="BQ74" i="16"/>
  <c r="BR71" i="16"/>
  <c r="BR74" i="16"/>
  <c r="BS71" i="16"/>
  <c r="BS74" i="16"/>
  <c r="BT71" i="16"/>
  <c r="BT74" i="16"/>
  <c r="BU71" i="16"/>
  <c r="BU74" i="16"/>
  <c r="BV71" i="16"/>
  <c r="BV74" i="16"/>
  <c r="BW71" i="16"/>
  <c r="BW74" i="16"/>
  <c r="BX71" i="16"/>
  <c r="BX74" i="16"/>
  <c r="BY71" i="16"/>
  <c r="BY74" i="16"/>
  <c r="BZ71" i="16"/>
  <c r="BZ74" i="16"/>
  <c r="CA71" i="16"/>
  <c r="CA74" i="16"/>
  <c r="CB71" i="16"/>
  <c r="CB74" i="16"/>
  <c r="CC71" i="16"/>
  <c r="CC74" i="16"/>
  <c r="CD71" i="16"/>
  <c r="CD74" i="16"/>
  <c r="CE71" i="16"/>
  <c r="CE74" i="16"/>
  <c r="CF71" i="16"/>
  <c r="CF74" i="16"/>
  <c r="CG71" i="16"/>
  <c r="CG74" i="16"/>
  <c r="CH71" i="16"/>
  <c r="CH74" i="16"/>
  <c r="CI71" i="16"/>
  <c r="CI74" i="16"/>
  <c r="CJ71" i="16"/>
  <c r="CJ74" i="16"/>
  <c r="CK71" i="16"/>
  <c r="CK74" i="16"/>
  <c r="CL71" i="16"/>
  <c r="CL74" i="16"/>
  <c r="CM71" i="16"/>
  <c r="CM74" i="16"/>
  <c r="CN71" i="16"/>
  <c r="CN73" i="16"/>
  <c r="CN131" i="16"/>
  <c r="CN25" i="18"/>
  <c r="CN27" i="18"/>
  <c r="CN29" i="18"/>
  <c r="CN31" i="18"/>
  <c r="CN33" i="18"/>
  <c r="CN35" i="18"/>
  <c r="CN86" i="18"/>
  <c r="CN87" i="18"/>
  <c r="CN91" i="18"/>
  <c r="CN92" i="18"/>
  <c r="CN43" i="18"/>
  <c r="CN106" i="18"/>
  <c r="CN98" i="18"/>
  <c r="CM83" i="16"/>
  <c r="CN80" i="16"/>
  <c r="CN82" i="16"/>
  <c r="CM90" i="16"/>
  <c r="CN87" i="16"/>
  <c r="CN89" i="16"/>
  <c r="CM97" i="16"/>
  <c r="CN94" i="16"/>
  <c r="CN96" i="16"/>
  <c r="CM104" i="16"/>
  <c r="CN101" i="16"/>
  <c r="CN103" i="16"/>
  <c r="CM111" i="16"/>
  <c r="CN108" i="16"/>
  <c r="CN110" i="16"/>
  <c r="CN137" i="16"/>
  <c r="CN100" i="18"/>
  <c r="CN107" i="18"/>
  <c r="CN108" i="18"/>
  <c r="CN110" i="18"/>
  <c r="CN45" i="18"/>
  <c r="CN46" i="18"/>
  <c r="CN129" i="16"/>
  <c r="CN132" i="16"/>
  <c r="CN49" i="18"/>
  <c r="CN50" i="18"/>
  <c r="CN52" i="18"/>
  <c r="G12" i="24" a="1"/>
  <c r="G12" i="24"/>
  <c r="F12" i="24" a="1"/>
  <c r="F12" i="24"/>
  <c r="E12" i="24" a="1"/>
  <c r="E12" i="24"/>
  <c r="D12" i="24" a="1"/>
  <c r="D12" i="24"/>
  <c r="C12" i="24" a="1"/>
  <c r="C12" i="24"/>
  <c r="C11" i="24" a="1"/>
  <c r="C11" i="24"/>
  <c r="G11" i="24" a="1"/>
  <c r="G11" i="24"/>
  <c r="F11" i="24" a="1"/>
  <c r="F11" i="24"/>
  <c r="E11" i="24" a="1"/>
  <c r="E11" i="24"/>
  <c r="D11" i="24" a="1"/>
  <c r="D11" i="24"/>
  <c r="C10" i="24" a="1"/>
  <c r="C10" i="24"/>
  <c r="G10" i="24" a="1"/>
  <c r="G10" i="24"/>
  <c r="F10" i="24" a="1"/>
  <c r="F10" i="24"/>
  <c r="E10" i="24" a="1"/>
  <c r="E10" i="24"/>
  <c r="D10" i="24" a="1"/>
  <c r="D10" i="24"/>
  <c r="C9" i="24" a="1"/>
  <c r="C9" i="24"/>
  <c r="D9" i="24" a="1"/>
  <c r="D9" i="24"/>
  <c r="E9" i="24" a="1"/>
  <c r="E9" i="24"/>
  <c r="F9" i="24" a="1"/>
  <c r="F9" i="24"/>
  <c r="G9" i="24" a="1"/>
  <c r="G9" i="24"/>
  <c r="C8" i="24" a="1"/>
  <c r="C8" i="24"/>
  <c r="D7" i="24"/>
  <c r="D8" i="24" a="1"/>
  <c r="D8" i="24"/>
  <c r="E7" i="24"/>
  <c r="E8" i="24" a="1"/>
  <c r="E8" i="24"/>
  <c r="F7" i="24"/>
  <c r="F8" i="24" a="1"/>
  <c r="F8" i="24"/>
  <c r="G7" i="24"/>
  <c r="G8" i="24" a="1"/>
  <c r="G8" i="24"/>
  <c r="I154" i="9"/>
  <c r="I149" i="9"/>
  <c r="I141" i="9"/>
  <c r="I138" i="9"/>
  <c r="I143" i="9"/>
  <c r="I127" i="9"/>
  <c r="J127" i="9"/>
  <c r="I151" i="9"/>
  <c r="I76" i="9"/>
  <c r="I75" i="9"/>
  <c r="I70" i="9"/>
  <c r="I69" i="9"/>
  <c r="I64" i="9"/>
  <c r="I63" i="9"/>
  <c r="D32" i="15"/>
  <c r="D28" i="15"/>
  <c r="D2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M14" i="15"/>
  <c r="J13" i="17"/>
  <c r="J12" i="17"/>
  <c r="L7" i="19"/>
  <c r="L6" i="19"/>
  <c r="M7" i="19"/>
  <c r="N6" i="19"/>
  <c r="M6" i="19"/>
  <c r="N7" i="19"/>
  <c r="O7" i="19"/>
  <c r="O6" i="19"/>
  <c r="P6" i="19"/>
  <c r="P7" i="19"/>
  <c r="Q7" i="19"/>
  <c r="Q6" i="19"/>
  <c r="R6" i="19"/>
  <c r="R7" i="19"/>
  <c r="S6" i="19"/>
  <c r="S7" i="19"/>
  <c r="T7" i="19"/>
  <c r="T6" i="19"/>
  <c r="U7" i="19"/>
  <c r="U6" i="19"/>
  <c r="V6" i="19"/>
  <c r="V7" i="19"/>
  <c r="W7" i="19"/>
  <c r="W6" i="19"/>
  <c r="X6" i="19"/>
  <c r="X7" i="19"/>
  <c r="Y7" i="19"/>
  <c r="Y6" i="19"/>
  <c r="Z6" i="19"/>
  <c r="Z7" i="19"/>
  <c r="AA6" i="19"/>
  <c r="AA7" i="19"/>
  <c r="AB7" i="19"/>
  <c r="AB6" i="19"/>
  <c r="AC7" i="19"/>
  <c r="AC6" i="19"/>
  <c r="AD6" i="19"/>
  <c r="AD7" i="19"/>
  <c r="AE7" i="19"/>
  <c r="AE6" i="19"/>
  <c r="AF6" i="19"/>
  <c r="AF7" i="19"/>
  <c r="AG7" i="19"/>
  <c r="AG6" i="19"/>
  <c r="AH6" i="19"/>
  <c r="AH7" i="19"/>
  <c r="AI6" i="19"/>
  <c r="AI7" i="19"/>
  <c r="AJ7" i="19"/>
  <c r="AJ6" i="19"/>
  <c r="AK7" i="19"/>
  <c r="AK6" i="19"/>
  <c r="AL6" i="19"/>
  <c r="AL7" i="19"/>
  <c r="AM7" i="19"/>
  <c r="AM6" i="19"/>
  <c r="AN6" i="19"/>
  <c r="AN7" i="19"/>
  <c r="AO7" i="19"/>
  <c r="AO6" i="19"/>
  <c r="AP6" i="19"/>
  <c r="AP7" i="19"/>
  <c r="AQ6" i="19"/>
  <c r="AQ7" i="19"/>
  <c r="AR7" i="19"/>
  <c r="AR6" i="19"/>
  <c r="AS7" i="19"/>
  <c r="AS6" i="19"/>
  <c r="AT6" i="19"/>
  <c r="AT7" i="19"/>
  <c r="AU7" i="19"/>
  <c r="AU6" i="19"/>
  <c r="AV6" i="19"/>
  <c r="AV7" i="19"/>
  <c r="AW7" i="19"/>
  <c r="AW6" i="19"/>
  <c r="AX6" i="19"/>
  <c r="AX7" i="19"/>
  <c r="AY6" i="19"/>
  <c r="AY7" i="19"/>
  <c r="AZ7" i="19"/>
  <c r="AZ6" i="19"/>
  <c r="BA7" i="19"/>
  <c r="BA6" i="19"/>
  <c r="BB6" i="19"/>
  <c r="BB7" i="19"/>
  <c r="BC6" i="19"/>
  <c r="BC7" i="19"/>
  <c r="BD6" i="19"/>
  <c r="BD7" i="19"/>
  <c r="BE7" i="19"/>
  <c r="BE6" i="19"/>
  <c r="BF6" i="19"/>
  <c r="BF7" i="19"/>
  <c r="BG6" i="19"/>
  <c r="BG7" i="19"/>
  <c r="BH7" i="19"/>
  <c r="BH6" i="19"/>
  <c r="BI7" i="19"/>
  <c r="BI6" i="19"/>
  <c r="BJ6" i="19"/>
  <c r="BJ7" i="19"/>
  <c r="BK7" i="19"/>
  <c r="BK6" i="19"/>
  <c r="BL6" i="19"/>
  <c r="BL7" i="19"/>
  <c r="BM7" i="19"/>
  <c r="BM6" i="19"/>
  <c r="BN6" i="19"/>
  <c r="BN7" i="19"/>
  <c r="BO6" i="19"/>
  <c r="BO7" i="19"/>
  <c r="BP7" i="19"/>
  <c r="BP6" i="19"/>
  <c r="BQ7" i="19"/>
  <c r="BQ6" i="19"/>
  <c r="BR6" i="19"/>
  <c r="BR7" i="19"/>
  <c r="BS7" i="19"/>
  <c r="BS6" i="19"/>
  <c r="BT6" i="19"/>
  <c r="BT7" i="19"/>
  <c r="BU7" i="19"/>
  <c r="BU6" i="19"/>
  <c r="BV6" i="19"/>
  <c r="BV7" i="19"/>
  <c r="BW6" i="19"/>
  <c r="BW7" i="19"/>
  <c r="BX7" i="19"/>
  <c r="BX6" i="19"/>
  <c r="BY7" i="19"/>
  <c r="BY6" i="19"/>
  <c r="BZ6" i="19"/>
  <c r="BZ7" i="19"/>
  <c r="CA7" i="19"/>
  <c r="CA6" i="19"/>
  <c r="CB6" i="19"/>
  <c r="CB7" i="19"/>
  <c r="CC7" i="19"/>
  <c r="CC6" i="19"/>
  <c r="CD6" i="19"/>
  <c r="CD7" i="19"/>
  <c r="CE6" i="19"/>
  <c r="CE7" i="19"/>
  <c r="CF7" i="19"/>
  <c r="CF6" i="19"/>
  <c r="CG7" i="19"/>
  <c r="CG6" i="19"/>
  <c r="CH6" i="19"/>
  <c r="CH7" i="19"/>
  <c r="CI7" i="19"/>
  <c r="CI6" i="19"/>
  <c r="CJ6" i="19"/>
  <c r="CJ7" i="19"/>
  <c r="CK7" i="19"/>
  <c r="CK6" i="19"/>
  <c r="CL6" i="19"/>
  <c r="CL7" i="19"/>
  <c r="CM6" i="19"/>
  <c r="CM7" i="19"/>
  <c r="CN7" i="19"/>
  <c r="CN6" i="19"/>
  <c r="L106" i="18"/>
  <c r="L71" i="18"/>
  <c r="L92" i="18"/>
  <c r="L90" i="18"/>
  <c r="L55" i="18"/>
  <c r="L56" i="18"/>
  <c r="M76" i="18"/>
  <c r="L58" i="18"/>
  <c r="L43" i="18"/>
  <c r="L44" i="18"/>
  <c r="L45" i="18"/>
  <c r="M90" i="18"/>
  <c r="M71" i="18"/>
  <c r="L46" i="18"/>
  <c r="L7" i="18"/>
  <c r="M6" i="18"/>
  <c r="L6" i="18"/>
  <c r="L12" i="17"/>
  <c r="L14" i="17"/>
  <c r="L80" i="18"/>
  <c r="L7" i="17"/>
  <c r="M6" i="17"/>
  <c r="L6" i="17"/>
  <c r="L136" i="16"/>
  <c r="L137" i="16"/>
  <c r="L100" i="18"/>
  <c r="L135" i="16"/>
  <c r="L130" i="16"/>
  <c r="L131" i="16"/>
  <c r="L25" i="18"/>
  <c r="L129" i="16"/>
  <c r="L123" i="16"/>
  <c r="L117" i="16"/>
  <c r="E82" i="16"/>
  <c r="F82" i="16"/>
  <c r="M108" i="16"/>
  <c r="M101" i="16"/>
  <c r="M94" i="16"/>
  <c r="M87" i="16"/>
  <c r="C86" i="16"/>
  <c r="F89" i="16"/>
  <c r="M80" i="16"/>
  <c r="C49" i="16"/>
  <c r="C56" i="16"/>
  <c r="M71" i="16"/>
  <c r="M64" i="16"/>
  <c r="M57" i="16"/>
  <c r="F52" i="16"/>
  <c r="M50" i="16"/>
  <c r="L14" i="16"/>
  <c r="E45" i="16"/>
  <c r="F45" i="16"/>
  <c r="L35" i="16"/>
  <c r="L29" i="16"/>
  <c r="D12" i="16"/>
  <c r="D11" i="16"/>
  <c r="L7" i="16"/>
  <c r="L6" i="16"/>
  <c r="L74" i="15"/>
  <c r="L80" i="15"/>
  <c r="L75" i="15"/>
  <c r="L81" i="15"/>
  <c r="L76" i="15"/>
  <c r="L82" i="15"/>
  <c r="L88" i="15"/>
  <c r="L73" i="15"/>
  <c r="L79" i="15"/>
  <c r="M38" i="15"/>
  <c r="L7" i="15"/>
  <c r="L6" i="15"/>
  <c r="A3" i="15"/>
  <c r="L33" i="15"/>
  <c r="L29" i="15"/>
  <c r="L25" i="15"/>
  <c r="L21" i="15"/>
  <c r="M6" i="15"/>
  <c r="L137" i="15"/>
  <c r="L23" i="17"/>
  <c r="L25" i="17"/>
  <c r="L15" i="17"/>
  <c r="E89" i="16"/>
  <c r="E52" i="16"/>
  <c r="N38" i="15"/>
  <c r="M14" i="16"/>
  <c r="A3" i="16"/>
  <c r="A3" i="17"/>
  <c r="L138" i="15"/>
  <c r="M7" i="18"/>
  <c r="N7" i="18"/>
  <c r="O7" i="18"/>
  <c r="L16" i="17"/>
  <c r="M12" i="17"/>
  <c r="M7" i="17"/>
  <c r="L138" i="16"/>
  <c r="M135" i="16"/>
  <c r="L132" i="16"/>
  <c r="M129" i="16"/>
  <c r="C93" i="16"/>
  <c r="C63" i="16"/>
  <c r="C70" i="16"/>
  <c r="F73" i="16"/>
  <c r="F59" i="16"/>
  <c r="E59" i="16"/>
  <c r="M7" i="16"/>
  <c r="N6" i="16"/>
  <c r="M6" i="16"/>
  <c r="L87" i="15"/>
  <c r="L86" i="15"/>
  <c r="L85" i="15"/>
  <c r="A9" i="15"/>
  <c r="A40" i="15"/>
  <c r="L36" i="15"/>
  <c r="L37" i="15"/>
  <c r="L12" i="16"/>
  <c r="L12" i="15"/>
  <c r="L13" i="15"/>
  <c r="M15" i="15"/>
  <c r="M7" i="15"/>
  <c r="Q97" i="9"/>
  <c r="D104" i="9"/>
  <c r="I33" i="9"/>
  <c r="L17" i="15"/>
  <c r="L45" i="15"/>
  <c r="L47" i="15"/>
  <c r="L46" i="15"/>
  <c r="L53" i="15"/>
  <c r="L60" i="15"/>
  <c r="M33" i="15"/>
  <c r="M34" i="15"/>
  <c r="M29" i="15"/>
  <c r="M30" i="15"/>
  <c r="M25" i="15"/>
  <c r="M26" i="15"/>
  <c r="M21" i="15"/>
  <c r="M22" i="15"/>
  <c r="L83" i="18"/>
  <c r="M17" i="15"/>
  <c r="M18" i="15"/>
  <c r="E66" i="16"/>
  <c r="E73" i="16"/>
  <c r="F66" i="16"/>
  <c r="A9" i="16"/>
  <c r="A16" i="16"/>
  <c r="A26" i="16"/>
  <c r="L11" i="16"/>
  <c r="L128" i="15"/>
  <c r="L127" i="15"/>
  <c r="L129" i="15"/>
  <c r="L130" i="15"/>
  <c r="L140" i="15"/>
  <c r="L141" i="15"/>
  <c r="O38" i="15"/>
  <c r="N14" i="16"/>
  <c r="A9" i="17"/>
  <c r="A3" i="18"/>
  <c r="A3" i="19"/>
  <c r="A9" i="19"/>
  <c r="N6" i="18"/>
  <c r="O6" i="18"/>
  <c r="P7" i="18"/>
  <c r="P6" i="18"/>
  <c r="M14" i="17"/>
  <c r="N7" i="17"/>
  <c r="N6" i="17"/>
  <c r="F96" i="16"/>
  <c r="E96" i="16"/>
  <c r="C100" i="16"/>
  <c r="N7" i="16"/>
  <c r="A119" i="15"/>
  <c r="A135" i="15"/>
  <c r="M37" i="15"/>
  <c r="M12" i="16"/>
  <c r="M36" i="15"/>
  <c r="M130" i="15"/>
  <c r="L44" i="15"/>
  <c r="L51" i="15"/>
  <c r="L58" i="15"/>
  <c r="L52" i="15"/>
  <c r="L59" i="15"/>
  <c r="L54" i="15"/>
  <c r="L61" i="15"/>
  <c r="M12" i="15"/>
  <c r="M13" i="15"/>
  <c r="N7" i="15"/>
  <c r="N6" i="15"/>
  <c r="M44" i="15"/>
  <c r="M47" i="15"/>
  <c r="M46" i="15"/>
  <c r="M53" i="15"/>
  <c r="M60" i="15"/>
  <c r="M45" i="15"/>
  <c r="M52" i="15"/>
  <c r="M59" i="15"/>
  <c r="N25" i="15"/>
  <c r="N33" i="15"/>
  <c r="N34" i="15"/>
  <c r="N29" i="15"/>
  <c r="N30" i="15"/>
  <c r="N26" i="15"/>
  <c r="M74" i="15"/>
  <c r="M80" i="15"/>
  <c r="M86" i="15"/>
  <c r="M76" i="15"/>
  <c r="M82" i="15"/>
  <c r="M88" i="15"/>
  <c r="M73" i="15"/>
  <c r="M79" i="15"/>
  <c r="M85" i="15"/>
  <c r="M75" i="15"/>
  <c r="M81" i="15"/>
  <c r="M87" i="15"/>
  <c r="L142" i="15"/>
  <c r="L131" i="15"/>
  <c r="P38" i="15"/>
  <c r="O14" i="16"/>
  <c r="M51" i="15"/>
  <c r="M58" i="15"/>
  <c r="M11" i="16"/>
  <c r="M128" i="15"/>
  <c r="A9" i="18"/>
  <c r="A40" i="18"/>
  <c r="M127" i="15"/>
  <c r="M129" i="15"/>
  <c r="M23" i="17"/>
  <c r="M80" i="18"/>
  <c r="Q6" i="18"/>
  <c r="Q7" i="18"/>
  <c r="A40" i="16"/>
  <c r="A77" i="16"/>
  <c r="O7" i="17"/>
  <c r="O6" i="17"/>
  <c r="F103" i="16"/>
  <c r="E103" i="16"/>
  <c r="C107" i="16"/>
  <c r="M43" i="16"/>
  <c r="O6" i="16"/>
  <c r="O7" i="16"/>
  <c r="M54" i="15"/>
  <c r="M61" i="15"/>
  <c r="L48" i="15"/>
  <c r="N37" i="15"/>
  <c r="N12" i="16"/>
  <c r="N36" i="15"/>
  <c r="N11" i="16"/>
  <c r="N17" i="15"/>
  <c r="N18" i="15"/>
  <c r="N12" i="15"/>
  <c r="N13" i="15"/>
  <c r="O7" i="15"/>
  <c r="O6" i="15"/>
  <c r="N36" i="16"/>
  <c r="N124" i="16"/>
  <c r="I115" i="9"/>
  <c r="I97" i="9"/>
  <c r="D108" i="9"/>
  <c r="D109" i="9"/>
  <c r="D110" i="9"/>
  <c r="D63" i="16"/>
  <c r="D111" i="9"/>
  <c r="D70" i="16"/>
  <c r="D107" i="9"/>
  <c r="I58" i="9"/>
  <c r="I57" i="9"/>
  <c r="N21" i="15"/>
  <c r="N22" i="15"/>
  <c r="N46" i="15"/>
  <c r="N44" i="15"/>
  <c r="N51" i="15"/>
  <c r="N58" i="15"/>
  <c r="N47" i="15"/>
  <c r="O29" i="15"/>
  <c r="O30" i="15"/>
  <c r="O25" i="15"/>
  <c r="O33" i="15"/>
  <c r="O34" i="15"/>
  <c r="N45" i="15"/>
  <c r="N52" i="15"/>
  <c r="N59" i="15"/>
  <c r="O26" i="15"/>
  <c r="M94" i="15"/>
  <c r="M95" i="15"/>
  <c r="L74" i="18"/>
  <c r="L19" i="18"/>
  <c r="L48" i="18"/>
  <c r="L50" i="18"/>
  <c r="L52" i="18"/>
  <c r="L30" i="16"/>
  <c r="M30" i="16"/>
  <c r="M118" i="16"/>
  <c r="N30" i="16"/>
  <c r="N118" i="16"/>
  <c r="J115" i="9"/>
  <c r="K115" i="9"/>
  <c r="L115" i="9"/>
  <c r="M115" i="9"/>
  <c r="N115" i="9"/>
  <c r="O115" i="9"/>
  <c r="P115" i="9"/>
  <c r="D100" i="16"/>
  <c r="J97" i="9"/>
  <c r="K97" i="9"/>
  <c r="L97" i="9"/>
  <c r="M97" i="9"/>
  <c r="N97" i="9"/>
  <c r="O97" i="9"/>
  <c r="P97" i="9"/>
  <c r="M21" i="16"/>
  <c r="D56" i="16"/>
  <c r="D93" i="16"/>
  <c r="D42" i="16"/>
  <c r="D79" i="16"/>
  <c r="D86" i="16"/>
  <c r="D49" i="16"/>
  <c r="L36" i="16"/>
  <c r="M36" i="16"/>
  <c r="M124" i="16"/>
  <c r="M131" i="15"/>
  <c r="A69" i="18"/>
  <c r="A94" i="18"/>
  <c r="Q38" i="15"/>
  <c r="P14" i="16"/>
  <c r="R6" i="18"/>
  <c r="R7" i="18"/>
  <c r="A114" i="16"/>
  <c r="P6" i="17"/>
  <c r="P7" i="17"/>
  <c r="F110" i="16"/>
  <c r="E110" i="16"/>
  <c r="D107" i="16"/>
  <c r="O36" i="16"/>
  <c r="O124" i="16"/>
  <c r="O30" i="16"/>
  <c r="O118" i="16"/>
  <c r="P7" i="16"/>
  <c r="P6" i="16"/>
  <c r="O37" i="15"/>
  <c r="O12" i="16"/>
  <c r="O36" i="15"/>
  <c r="O11" i="16"/>
  <c r="L67" i="15"/>
  <c r="N15" i="15"/>
  <c r="N76" i="15"/>
  <c r="N82" i="15"/>
  <c r="N75" i="15"/>
  <c r="N81" i="15"/>
  <c r="N74" i="15"/>
  <c r="N80" i="15"/>
  <c r="N73" i="15"/>
  <c r="N79" i="15"/>
  <c r="N53" i="15"/>
  <c r="N60" i="15"/>
  <c r="N54" i="15"/>
  <c r="N61" i="15"/>
  <c r="L55" i="15"/>
  <c r="M48" i="15"/>
  <c r="O12" i="15"/>
  <c r="O13" i="15"/>
  <c r="O21" i="15"/>
  <c r="O22" i="15"/>
  <c r="O17" i="15"/>
  <c r="O18" i="15"/>
  <c r="P7" i="15"/>
  <c r="P6" i="15"/>
  <c r="J106" i="18"/>
  <c r="A9" i="9"/>
  <c r="O47" i="15"/>
  <c r="P18" i="17"/>
  <c r="P19" i="17"/>
  <c r="O44" i="15"/>
  <c r="O51" i="15"/>
  <c r="O58" i="15"/>
  <c r="O45" i="15"/>
  <c r="O52" i="15"/>
  <c r="O59" i="15"/>
  <c r="P33" i="15"/>
  <c r="P34" i="15"/>
  <c r="P29" i="15"/>
  <c r="P30" i="15"/>
  <c r="P25" i="15"/>
  <c r="P26" i="15"/>
  <c r="O46" i="15"/>
  <c r="M19" i="18"/>
  <c r="L57" i="18"/>
  <c r="L59" i="18"/>
  <c r="L61" i="18"/>
  <c r="L108" i="18"/>
  <c r="M20" i="16"/>
  <c r="M88" i="16"/>
  <c r="L22" i="16"/>
  <c r="M23" i="16"/>
  <c r="M72" i="16"/>
  <c r="L23" i="16"/>
  <c r="O18" i="17"/>
  <c r="O19" i="17"/>
  <c r="M22" i="16"/>
  <c r="M102" i="16"/>
  <c r="L19" i="16"/>
  <c r="M19" i="16"/>
  <c r="M81" i="16"/>
  <c r="L21" i="16"/>
  <c r="L20" i="16"/>
  <c r="N18" i="17"/>
  <c r="N19" i="17"/>
  <c r="M18" i="17"/>
  <c r="M19" i="17"/>
  <c r="M21" i="17"/>
  <c r="K127" i="9"/>
  <c r="L18" i="17"/>
  <c r="L19" i="17"/>
  <c r="L21" i="17"/>
  <c r="L118" i="16"/>
  <c r="L124" i="16"/>
  <c r="M58" i="16"/>
  <c r="M95" i="16"/>
  <c r="L68" i="15"/>
  <c r="L102" i="15"/>
  <c r="R38" i="15"/>
  <c r="Q14" i="16"/>
  <c r="L66" i="15"/>
  <c r="L65" i="15"/>
  <c r="L99" i="15"/>
  <c r="N130" i="15"/>
  <c r="N129" i="15"/>
  <c r="N127" i="15"/>
  <c r="N128" i="15"/>
  <c r="N20" i="16"/>
  <c r="N23" i="16"/>
  <c r="N21" i="16"/>
  <c r="N19" i="16"/>
  <c r="N22" i="16"/>
  <c r="S7" i="18"/>
  <c r="S6" i="18"/>
  <c r="Q7" i="17"/>
  <c r="Q18" i="17"/>
  <c r="Q19" i="17"/>
  <c r="Q6" i="17"/>
  <c r="P36" i="16"/>
  <c r="P124" i="16"/>
  <c r="P30" i="16"/>
  <c r="P118" i="16"/>
  <c r="Q6" i="16"/>
  <c r="Q7" i="16"/>
  <c r="M108" i="15"/>
  <c r="N48" i="15"/>
  <c r="N86" i="15"/>
  <c r="L101" i="15"/>
  <c r="P37" i="15"/>
  <c r="P12" i="16"/>
  <c r="P36" i="15"/>
  <c r="P11" i="16"/>
  <c r="O73" i="15"/>
  <c r="O79" i="15"/>
  <c r="O76" i="15"/>
  <c r="O82" i="15"/>
  <c r="O75" i="15"/>
  <c r="O81" i="15"/>
  <c r="O74" i="15"/>
  <c r="O80" i="15"/>
  <c r="O15" i="15"/>
  <c r="M67" i="15"/>
  <c r="M101" i="15"/>
  <c r="M68" i="15"/>
  <c r="M102" i="15"/>
  <c r="N87" i="15"/>
  <c r="L94" i="15"/>
  <c r="O53" i="15"/>
  <c r="O60" i="15"/>
  <c r="O54" i="15"/>
  <c r="O61" i="15"/>
  <c r="L62" i="15"/>
  <c r="L92" i="15"/>
  <c r="M109" i="15"/>
  <c r="N88" i="15"/>
  <c r="M92" i="15"/>
  <c r="L93" i="15"/>
  <c r="L95" i="15"/>
  <c r="N93" i="15"/>
  <c r="N85" i="15"/>
  <c r="M55" i="15"/>
  <c r="M93" i="15"/>
  <c r="M65" i="15"/>
  <c r="P17" i="15"/>
  <c r="P18" i="15"/>
  <c r="P21" i="15"/>
  <c r="P22" i="15"/>
  <c r="P13" i="15"/>
  <c r="P12" i="15"/>
  <c r="Q6" i="15"/>
  <c r="Q7" i="15"/>
  <c r="L63" i="18"/>
  <c r="L65" i="18"/>
  <c r="P46" i="15"/>
  <c r="P47" i="15"/>
  <c r="P44" i="15"/>
  <c r="Q33" i="15"/>
  <c r="Q34" i="15"/>
  <c r="Q29" i="15"/>
  <c r="Q30" i="15"/>
  <c r="Q25" i="15"/>
  <c r="P45" i="15"/>
  <c r="M65" i="16"/>
  <c r="L13" i="19"/>
  <c r="L21" i="19"/>
  <c r="Q26" i="15"/>
  <c r="M51" i="16"/>
  <c r="M79" i="18"/>
  <c r="M109" i="16"/>
  <c r="L110" i="18"/>
  <c r="M106" i="18"/>
  <c r="L111" i="18"/>
  <c r="M44" i="16"/>
  <c r="L24" i="16"/>
  <c r="M29" i="18"/>
  <c r="M24" i="16"/>
  <c r="L67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L127" i="9"/>
  <c r="L79" i="18"/>
  <c r="L29" i="18"/>
  <c r="L69" i="15"/>
  <c r="L123" i="15"/>
  <c r="L100" i="15"/>
  <c r="O127" i="15"/>
  <c r="O130" i="15"/>
  <c r="O129" i="15"/>
  <c r="O128" i="15"/>
  <c r="O19" i="16"/>
  <c r="O23" i="16"/>
  <c r="O21" i="16"/>
  <c r="O20" i="16"/>
  <c r="O22" i="16"/>
  <c r="N131" i="15"/>
  <c r="N66" i="15"/>
  <c r="N100" i="15"/>
  <c r="N72" i="16"/>
  <c r="N109" i="16"/>
  <c r="N65" i="16"/>
  <c r="N102" i="16"/>
  <c r="N51" i="16"/>
  <c r="N88" i="16"/>
  <c r="S38" i="15"/>
  <c r="R14" i="16"/>
  <c r="N95" i="16"/>
  <c r="N58" i="16"/>
  <c r="P15" i="15"/>
  <c r="N81" i="16"/>
  <c r="N24" i="16"/>
  <c r="N44" i="16"/>
  <c r="T7" i="18"/>
  <c r="T6" i="18"/>
  <c r="R6" i="17"/>
  <c r="R7" i="17"/>
  <c r="R18" i="17"/>
  <c r="R19" i="17"/>
  <c r="Q30" i="16"/>
  <c r="Q118" i="16"/>
  <c r="Q36" i="16"/>
  <c r="Q124" i="16"/>
  <c r="R7" i="16"/>
  <c r="R6" i="16"/>
  <c r="M116" i="15"/>
  <c r="M115" i="15"/>
  <c r="P51" i="15"/>
  <c r="P58" i="15"/>
  <c r="P52" i="15"/>
  <c r="P59" i="15"/>
  <c r="P53" i="15"/>
  <c r="P60" i="15"/>
  <c r="P54" i="15"/>
  <c r="P61" i="15"/>
  <c r="L107" i="15"/>
  <c r="N55" i="15"/>
  <c r="L108" i="15"/>
  <c r="P74" i="15"/>
  <c r="P80" i="15"/>
  <c r="P73" i="15"/>
  <c r="P79" i="15"/>
  <c r="P76" i="15"/>
  <c r="P82" i="15"/>
  <c r="P75" i="15"/>
  <c r="P81" i="15"/>
  <c r="M66" i="15"/>
  <c r="M69" i="15"/>
  <c r="L103" i="15"/>
  <c r="M106" i="15"/>
  <c r="M96" i="15"/>
  <c r="L106" i="15"/>
  <c r="L96" i="15"/>
  <c r="O94" i="15"/>
  <c r="O88" i="15"/>
  <c r="M99" i="15"/>
  <c r="L109" i="15"/>
  <c r="M107" i="15"/>
  <c r="M62" i="15"/>
  <c r="L122" i="15"/>
  <c r="O85" i="15"/>
  <c r="O48" i="15"/>
  <c r="O86" i="15"/>
  <c r="Q37" i="15"/>
  <c r="Q12" i="16"/>
  <c r="Q36" i="15"/>
  <c r="Q11" i="16"/>
  <c r="O95" i="15"/>
  <c r="O87" i="15"/>
  <c r="N107" i="15"/>
  <c r="Q13" i="15"/>
  <c r="Q12" i="15"/>
  <c r="Q17" i="15"/>
  <c r="Q18" i="15"/>
  <c r="Q21" i="15"/>
  <c r="Q22" i="15"/>
  <c r="R7" i="15"/>
  <c r="R6" i="15"/>
  <c r="Q46" i="15"/>
  <c r="Q44" i="15"/>
  <c r="Q47" i="15"/>
  <c r="Q54" i="15"/>
  <c r="Q61" i="15"/>
  <c r="R25" i="15"/>
  <c r="R33" i="15"/>
  <c r="R34" i="15"/>
  <c r="R29" i="15"/>
  <c r="R30" i="15"/>
  <c r="Q45" i="15"/>
  <c r="Q52" i="15"/>
  <c r="Q59" i="15"/>
  <c r="R26" i="15"/>
  <c r="M136" i="16"/>
  <c r="M138" i="16"/>
  <c r="N135" i="16"/>
  <c r="M130" i="16"/>
  <c r="M122" i="15"/>
  <c r="N75" i="18"/>
  <c r="L75" i="18"/>
  <c r="N19" i="18"/>
  <c r="M75" i="18"/>
  <c r="M127" i="9"/>
  <c r="M12" i="18"/>
  <c r="L124" i="15"/>
  <c r="N114" i="15"/>
  <c r="N65" i="15"/>
  <c r="N99" i="15"/>
  <c r="N68" i="15"/>
  <c r="O95" i="16"/>
  <c r="O58" i="16"/>
  <c r="P128" i="15"/>
  <c r="P127" i="15"/>
  <c r="P129" i="15"/>
  <c r="P130" i="15"/>
  <c r="P22" i="16"/>
  <c r="P21" i="16"/>
  <c r="P23" i="16"/>
  <c r="P20" i="16"/>
  <c r="P19" i="16"/>
  <c r="T38" i="15"/>
  <c r="S14" i="16"/>
  <c r="O72" i="16"/>
  <c r="O109" i="16"/>
  <c r="L13" i="18"/>
  <c r="O102" i="16"/>
  <c r="O65" i="16"/>
  <c r="O81" i="16"/>
  <c r="O44" i="16"/>
  <c r="O24" i="16"/>
  <c r="L12" i="18"/>
  <c r="L113" i="15"/>
  <c r="L114" i="15"/>
  <c r="N130" i="16"/>
  <c r="N136" i="16"/>
  <c r="O51" i="16"/>
  <c r="O88" i="16"/>
  <c r="O131" i="15"/>
  <c r="AA63" i="18"/>
  <c r="U6" i="18"/>
  <c r="U7" i="18"/>
  <c r="S7" i="17"/>
  <c r="S18" i="17"/>
  <c r="S19" i="17"/>
  <c r="S6" i="17"/>
  <c r="R30" i="16"/>
  <c r="R118" i="16"/>
  <c r="R36" i="16"/>
  <c r="R124" i="16"/>
  <c r="S6" i="16"/>
  <c r="S7" i="16"/>
  <c r="O68" i="15"/>
  <c r="O102" i="15"/>
  <c r="O55" i="15"/>
  <c r="O67" i="15"/>
  <c r="O101" i="15"/>
  <c r="O109" i="15"/>
  <c r="R37" i="15"/>
  <c r="R12" i="16"/>
  <c r="R36" i="15"/>
  <c r="R11" i="16"/>
  <c r="M123" i="15"/>
  <c r="P87" i="15"/>
  <c r="N94" i="15"/>
  <c r="P93" i="15"/>
  <c r="Q51" i="15"/>
  <c r="Q58" i="15"/>
  <c r="Q53" i="15"/>
  <c r="Q60" i="15"/>
  <c r="Q15" i="15"/>
  <c r="L116" i="15"/>
  <c r="P88" i="15"/>
  <c r="L115" i="15"/>
  <c r="N67" i="15"/>
  <c r="P48" i="15"/>
  <c r="Q75" i="15"/>
  <c r="Q81" i="15"/>
  <c r="Q74" i="15"/>
  <c r="Q80" i="15"/>
  <c r="Q73" i="15"/>
  <c r="Q79" i="15"/>
  <c r="Q76" i="15"/>
  <c r="Q82" i="15"/>
  <c r="O108" i="15"/>
  <c r="N62" i="15"/>
  <c r="N92" i="15"/>
  <c r="N95" i="15"/>
  <c r="L110" i="15"/>
  <c r="M110" i="15"/>
  <c r="M14" i="18"/>
  <c r="P85" i="15"/>
  <c r="P95" i="15"/>
  <c r="M113" i="15"/>
  <c r="M100" i="15"/>
  <c r="P86" i="15"/>
  <c r="R21" i="15"/>
  <c r="R22" i="15"/>
  <c r="R17" i="15"/>
  <c r="R18" i="15"/>
  <c r="R12" i="15"/>
  <c r="R13" i="15"/>
  <c r="S6" i="15"/>
  <c r="S7" i="15"/>
  <c r="N138" i="16"/>
  <c r="O135" i="16"/>
  <c r="R46" i="15"/>
  <c r="R44" i="15"/>
  <c r="R47" i="15"/>
  <c r="R54" i="15"/>
  <c r="R61" i="15"/>
  <c r="R45" i="15"/>
  <c r="R52" i="15"/>
  <c r="R59" i="15"/>
  <c r="S29" i="15"/>
  <c r="S25" i="15"/>
  <c r="S26" i="15"/>
  <c r="S33" i="15"/>
  <c r="S34" i="15"/>
  <c r="S36" i="15"/>
  <c r="S47" i="15"/>
  <c r="M124" i="15"/>
  <c r="M18" i="18"/>
  <c r="S30" i="15"/>
  <c r="Q94" i="15"/>
  <c r="O19" i="18"/>
  <c r="O75" i="18"/>
  <c r="L18" i="18"/>
  <c r="M137" i="15"/>
  <c r="N127" i="9"/>
  <c r="N102" i="15"/>
  <c r="O66" i="15"/>
  <c r="O130" i="16"/>
  <c r="O136" i="16"/>
  <c r="U38" i="15"/>
  <c r="T14" i="16"/>
  <c r="P95" i="16"/>
  <c r="P58" i="16"/>
  <c r="L14" i="18"/>
  <c r="Q129" i="15"/>
  <c r="Q128" i="15"/>
  <c r="Q130" i="15"/>
  <c r="Q127" i="15"/>
  <c r="Q20" i="16"/>
  <c r="Q23" i="16"/>
  <c r="Q22" i="16"/>
  <c r="Q21" i="16"/>
  <c r="Q19" i="16"/>
  <c r="P81" i="16"/>
  <c r="P44" i="16"/>
  <c r="P24" i="16"/>
  <c r="P65" i="16"/>
  <c r="P102" i="16"/>
  <c r="P131" i="15"/>
  <c r="L117" i="15"/>
  <c r="P72" i="16"/>
  <c r="P109" i="16"/>
  <c r="P88" i="16"/>
  <c r="P51" i="16"/>
  <c r="AB63" i="18"/>
  <c r="V7" i="18"/>
  <c r="V6" i="18"/>
  <c r="T6" i="17"/>
  <c r="T7" i="17"/>
  <c r="T18" i="17"/>
  <c r="T19" i="17"/>
  <c r="S36" i="16"/>
  <c r="S124" i="16"/>
  <c r="S30" i="16"/>
  <c r="S118" i="16"/>
  <c r="T6" i="16"/>
  <c r="T7" i="16"/>
  <c r="L133" i="15"/>
  <c r="O115" i="15"/>
  <c r="P66" i="15"/>
  <c r="P100" i="15"/>
  <c r="O116" i="15"/>
  <c r="P109" i="15"/>
  <c r="N109" i="15"/>
  <c r="N122" i="15"/>
  <c r="R51" i="15"/>
  <c r="R58" i="15"/>
  <c r="R53" i="15"/>
  <c r="R60" i="15"/>
  <c r="M114" i="15"/>
  <c r="M117" i="15"/>
  <c r="M72" i="18"/>
  <c r="M103" i="15"/>
  <c r="P68" i="15"/>
  <c r="P102" i="15"/>
  <c r="Q86" i="15"/>
  <c r="N101" i="15"/>
  <c r="O62" i="15"/>
  <c r="O122" i="15"/>
  <c r="O92" i="15"/>
  <c r="Q48" i="15"/>
  <c r="R15" i="15"/>
  <c r="R76" i="15"/>
  <c r="R82" i="15"/>
  <c r="R75" i="15"/>
  <c r="R81" i="15"/>
  <c r="R74" i="15"/>
  <c r="R80" i="15"/>
  <c r="R73" i="15"/>
  <c r="R79" i="15"/>
  <c r="P107" i="15"/>
  <c r="O93" i="15"/>
  <c r="Q87" i="15"/>
  <c r="O65" i="15"/>
  <c r="N108" i="15"/>
  <c r="N69" i="15"/>
  <c r="N106" i="15"/>
  <c r="N96" i="15"/>
  <c r="Q88" i="15"/>
  <c r="P55" i="15"/>
  <c r="P65" i="15"/>
  <c r="S37" i="15"/>
  <c r="S12" i="16"/>
  <c r="S11" i="16"/>
  <c r="Q85" i="15"/>
  <c r="S21" i="15"/>
  <c r="S22" i="15"/>
  <c r="S44" i="15"/>
  <c r="S17" i="15"/>
  <c r="S18" i="15"/>
  <c r="S12" i="15"/>
  <c r="S13" i="15"/>
  <c r="T7" i="15"/>
  <c r="T6" i="15"/>
  <c r="S45" i="15"/>
  <c r="S46" i="15"/>
  <c r="T33" i="15"/>
  <c r="T34" i="15"/>
  <c r="T29" i="15"/>
  <c r="T30" i="15"/>
  <c r="T25" i="15"/>
  <c r="T26" i="15"/>
  <c r="M20" i="18"/>
  <c r="L15" i="18"/>
  <c r="L20" i="18"/>
  <c r="P75" i="18"/>
  <c r="P19" i="18"/>
  <c r="L73" i="18"/>
  <c r="M140" i="15"/>
  <c r="M44" i="18"/>
  <c r="O127" i="9"/>
  <c r="Q131" i="15"/>
  <c r="N113" i="15"/>
  <c r="M13" i="18"/>
  <c r="N103" i="15"/>
  <c r="N13" i="18"/>
  <c r="O100" i="15"/>
  <c r="P116" i="15"/>
  <c r="N12" i="18"/>
  <c r="P67" i="15"/>
  <c r="P69" i="15"/>
  <c r="P123" i="15"/>
  <c r="Q95" i="16"/>
  <c r="Q58" i="16"/>
  <c r="L72" i="18"/>
  <c r="Q65" i="16"/>
  <c r="Q102" i="16"/>
  <c r="M133" i="15"/>
  <c r="S74" i="15"/>
  <c r="S80" i="15"/>
  <c r="S76" i="15"/>
  <c r="S82" i="15"/>
  <c r="S75" i="15"/>
  <c r="S81" i="15"/>
  <c r="S73" i="15"/>
  <c r="S79" i="15"/>
  <c r="P130" i="16"/>
  <c r="Q109" i="16"/>
  <c r="Q72" i="16"/>
  <c r="V38" i="15"/>
  <c r="U14" i="16"/>
  <c r="R130" i="15"/>
  <c r="R129" i="15"/>
  <c r="R127" i="15"/>
  <c r="R128" i="15"/>
  <c r="R23" i="16"/>
  <c r="R22" i="16"/>
  <c r="R19" i="16"/>
  <c r="R21" i="16"/>
  <c r="R20" i="16"/>
  <c r="S51" i="15"/>
  <c r="S58" i="15"/>
  <c r="S52" i="15"/>
  <c r="S59" i="15"/>
  <c r="S54" i="15"/>
  <c r="S61" i="15"/>
  <c r="P136" i="16"/>
  <c r="Q81" i="16"/>
  <c r="Q24" i="16"/>
  <c r="Q44" i="16"/>
  <c r="Q88" i="16"/>
  <c r="Q51" i="16"/>
  <c r="AC63" i="18"/>
  <c r="W7" i="18"/>
  <c r="W6" i="18"/>
  <c r="U7" i="17"/>
  <c r="U18" i="17"/>
  <c r="U19" i="17"/>
  <c r="U6" i="17"/>
  <c r="O138" i="16"/>
  <c r="P135" i="16"/>
  <c r="T36" i="16"/>
  <c r="T124" i="16"/>
  <c r="T30" i="16"/>
  <c r="T118" i="16"/>
  <c r="U6" i="16"/>
  <c r="U7" i="16"/>
  <c r="N115" i="15"/>
  <c r="P114" i="15"/>
  <c r="S15" i="15"/>
  <c r="Q67" i="15"/>
  <c r="Q101" i="15"/>
  <c r="Q108" i="15"/>
  <c r="T17" i="15"/>
  <c r="T18" i="15"/>
  <c r="T21" i="15"/>
  <c r="T22" i="15"/>
  <c r="N123" i="15"/>
  <c r="N124" i="15"/>
  <c r="P99" i="15"/>
  <c r="P94" i="15"/>
  <c r="R88" i="15"/>
  <c r="Q55" i="15"/>
  <c r="R85" i="15"/>
  <c r="R48" i="15"/>
  <c r="T12" i="15"/>
  <c r="T13" i="15"/>
  <c r="T36" i="15"/>
  <c r="T11" i="16"/>
  <c r="T37" i="15"/>
  <c r="T12" i="16"/>
  <c r="N110" i="15"/>
  <c r="N137" i="15"/>
  <c r="O69" i="15"/>
  <c r="O99" i="15"/>
  <c r="O107" i="15"/>
  <c r="R86" i="15"/>
  <c r="Q65" i="15"/>
  <c r="R95" i="15"/>
  <c r="N116" i="15"/>
  <c r="P62" i="15"/>
  <c r="P122" i="15"/>
  <c r="P92" i="15"/>
  <c r="R87" i="15"/>
  <c r="O106" i="15"/>
  <c r="O96" i="15"/>
  <c r="U6" i="15"/>
  <c r="U7" i="15"/>
  <c r="T46" i="15"/>
  <c r="T47" i="15"/>
  <c r="T45" i="15"/>
  <c r="U29" i="15"/>
  <c r="U30" i="15"/>
  <c r="U33" i="15"/>
  <c r="U34" i="15"/>
  <c r="U25" i="15"/>
  <c r="U26" i="15"/>
  <c r="T44" i="15"/>
  <c r="M15" i="18"/>
  <c r="L22" i="18"/>
  <c r="Q75" i="18"/>
  <c r="N18" i="18"/>
  <c r="Q19" i="18"/>
  <c r="L77" i="18"/>
  <c r="L81" i="18"/>
  <c r="P127" i="9"/>
  <c r="O12" i="18"/>
  <c r="T15" i="15"/>
  <c r="T23" i="16"/>
  <c r="T109" i="16"/>
  <c r="P124" i="15"/>
  <c r="T20" i="16"/>
  <c r="T88" i="16"/>
  <c r="S53" i="15"/>
  <c r="S60" i="15"/>
  <c r="Q115" i="15"/>
  <c r="N14" i="18"/>
  <c r="Q68" i="15"/>
  <c r="P101" i="15"/>
  <c r="O113" i="15"/>
  <c r="N117" i="15"/>
  <c r="O114" i="15"/>
  <c r="N44" i="18"/>
  <c r="N140" i="15"/>
  <c r="O103" i="15"/>
  <c r="Q66" i="15"/>
  <c r="Q69" i="15"/>
  <c r="P103" i="15"/>
  <c r="P13" i="18"/>
  <c r="S86" i="15"/>
  <c r="M138" i="15"/>
  <c r="M73" i="18"/>
  <c r="Q136" i="16"/>
  <c r="S48" i="15"/>
  <c r="R81" i="16"/>
  <c r="R24" i="16"/>
  <c r="R44" i="16"/>
  <c r="R131" i="15"/>
  <c r="S85" i="15"/>
  <c r="T73" i="15"/>
  <c r="T79" i="15"/>
  <c r="T75" i="15"/>
  <c r="T81" i="15"/>
  <c r="T76" i="15"/>
  <c r="T82" i="15"/>
  <c r="T88" i="15"/>
  <c r="T74" i="15"/>
  <c r="T80" i="15"/>
  <c r="Q130" i="16"/>
  <c r="R65" i="16"/>
  <c r="R102" i="16"/>
  <c r="W38" i="15"/>
  <c r="V14" i="16"/>
  <c r="S87" i="15"/>
  <c r="R95" i="16"/>
  <c r="R58" i="16"/>
  <c r="T52" i="15"/>
  <c r="T59" i="15"/>
  <c r="T54" i="15"/>
  <c r="T61" i="15"/>
  <c r="T51" i="15"/>
  <c r="T58" i="15"/>
  <c r="T53" i="15"/>
  <c r="T60" i="15"/>
  <c r="S128" i="15"/>
  <c r="S130" i="15"/>
  <c r="S129" i="15"/>
  <c r="S127" i="15"/>
  <c r="S21" i="16"/>
  <c r="S22" i="16"/>
  <c r="S19" i="16"/>
  <c r="S20" i="16"/>
  <c r="S23" i="16"/>
  <c r="S93" i="15"/>
  <c r="R51" i="16"/>
  <c r="R88" i="16"/>
  <c r="R109" i="16"/>
  <c r="R72" i="16"/>
  <c r="S88" i="15"/>
  <c r="AD63" i="18"/>
  <c r="X7" i="18"/>
  <c r="X6" i="18"/>
  <c r="V6" i="17"/>
  <c r="V7" i="17"/>
  <c r="V18" i="17"/>
  <c r="V19" i="17"/>
  <c r="U30" i="16"/>
  <c r="U118" i="16"/>
  <c r="U36" i="16"/>
  <c r="U124" i="16"/>
  <c r="V6" i="16"/>
  <c r="V7" i="16"/>
  <c r="R68" i="15"/>
  <c r="R102" i="15"/>
  <c r="O110" i="15"/>
  <c r="O14" i="18"/>
  <c r="Q99" i="15"/>
  <c r="R109" i="15"/>
  <c r="P106" i="15"/>
  <c r="P96" i="15"/>
  <c r="O123" i="15"/>
  <c r="O124" i="15"/>
  <c r="Q95" i="15"/>
  <c r="R93" i="15"/>
  <c r="P108" i="15"/>
  <c r="U12" i="15"/>
  <c r="U13" i="15"/>
  <c r="U37" i="15"/>
  <c r="U12" i="16"/>
  <c r="U36" i="15"/>
  <c r="U11" i="16"/>
  <c r="R55" i="15"/>
  <c r="Q93" i="15"/>
  <c r="U17" i="15"/>
  <c r="U18" i="15"/>
  <c r="U21" i="15"/>
  <c r="U22" i="15"/>
  <c r="U44" i="15"/>
  <c r="Q62" i="15"/>
  <c r="Q92" i="15"/>
  <c r="V6" i="15"/>
  <c r="V7" i="15"/>
  <c r="U46" i="15"/>
  <c r="U47" i="15"/>
  <c r="U45" i="15"/>
  <c r="V25" i="15"/>
  <c r="V26" i="15"/>
  <c r="V33" i="15"/>
  <c r="V34" i="15"/>
  <c r="V29" i="15"/>
  <c r="V30" i="15"/>
  <c r="T72" i="16"/>
  <c r="T22" i="16"/>
  <c r="T65" i="16"/>
  <c r="S94" i="15"/>
  <c r="S108" i="15"/>
  <c r="M22" i="18"/>
  <c r="T93" i="15"/>
  <c r="U15" i="15"/>
  <c r="U19" i="16"/>
  <c r="U81" i="16"/>
  <c r="T127" i="15"/>
  <c r="T21" i="16"/>
  <c r="T95" i="16"/>
  <c r="T130" i="15"/>
  <c r="T51" i="16"/>
  <c r="T128" i="15"/>
  <c r="T19" i="16"/>
  <c r="T129" i="15"/>
  <c r="N15" i="18"/>
  <c r="N20" i="18"/>
  <c r="O18" i="18"/>
  <c r="O20" i="18"/>
  <c r="R75" i="18"/>
  <c r="R19" i="18"/>
  <c r="P18" i="18"/>
  <c r="P20" i="18"/>
  <c r="L24" i="17"/>
  <c r="L84" i="18"/>
  <c r="P138" i="16"/>
  <c r="Q135" i="16"/>
  <c r="O137" i="15"/>
  <c r="P12" i="18"/>
  <c r="Q127" i="9"/>
  <c r="R136" i="16"/>
  <c r="R116" i="15"/>
  <c r="S66" i="15"/>
  <c r="S100" i="15"/>
  <c r="O117" i="15"/>
  <c r="O72" i="18"/>
  <c r="S95" i="15"/>
  <c r="S109" i="15"/>
  <c r="S68" i="15"/>
  <c r="S102" i="15"/>
  <c r="O13" i="18"/>
  <c r="Q100" i="15"/>
  <c r="N72" i="18"/>
  <c r="Q102" i="15"/>
  <c r="S107" i="15"/>
  <c r="S65" i="16"/>
  <c r="S102" i="16"/>
  <c r="T87" i="15"/>
  <c r="U73" i="15"/>
  <c r="U79" i="15"/>
  <c r="U75" i="15"/>
  <c r="U81" i="15"/>
  <c r="U74" i="15"/>
  <c r="U80" i="15"/>
  <c r="U76" i="15"/>
  <c r="U82" i="15"/>
  <c r="S72" i="16"/>
  <c r="S109" i="16"/>
  <c r="S95" i="16"/>
  <c r="S58" i="16"/>
  <c r="T48" i="15"/>
  <c r="T85" i="15"/>
  <c r="M141" i="15"/>
  <c r="M142" i="15"/>
  <c r="M55" i="18"/>
  <c r="U52" i="15"/>
  <c r="U59" i="15"/>
  <c r="U54" i="15"/>
  <c r="U61" i="15"/>
  <c r="U51" i="15"/>
  <c r="U58" i="15"/>
  <c r="U53" i="15"/>
  <c r="U60" i="15"/>
  <c r="T94" i="15"/>
  <c r="O133" i="15"/>
  <c r="S51" i="16"/>
  <c r="S88" i="16"/>
  <c r="T95" i="15"/>
  <c r="T86" i="15"/>
  <c r="S55" i="15"/>
  <c r="P133" i="15"/>
  <c r="S81" i="16"/>
  <c r="S44" i="16"/>
  <c r="S24" i="16"/>
  <c r="S131" i="15"/>
  <c r="X38" i="15"/>
  <c r="W14" i="16"/>
  <c r="R130" i="16"/>
  <c r="AE63" i="18"/>
  <c r="Y6" i="18"/>
  <c r="Y7" i="18"/>
  <c r="W7" i="17"/>
  <c r="W18" i="17"/>
  <c r="W19" i="17"/>
  <c r="W6" i="17"/>
  <c r="N133" i="15"/>
  <c r="V30" i="16"/>
  <c r="V118" i="16"/>
  <c r="V36" i="16"/>
  <c r="V124" i="16"/>
  <c r="W7" i="16"/>
  <c r="W6" i="16"/>
  <c r="Q122" i="15"/>
  <c r="R94" i="15"/>
  <c r="Q109" i="15"/>
  <c r="R62" i="15"/>
  <c r="R122" i="15"/>
  <c r="R92" i="15"/>
  <c r="P110" i="15"/>
  <c r="P137" i="15"/>
  <c r="R67" i="15"/>
  <c r="R101" i="15"/>
  <c r="P115" i="15"/>
  <c r="P113" i="15"/>
  <c r="Q123" i="15"/>
  <c r="R107" i="15"/>
  <c r="V21" i="15"/>
  <c r="V22" i="15"/>
  <c r="V17" i="15"/>
  <c r="V18" i="15"/>
  <c r="V13" i="15"/>
  <c r="V12" i="15"/>
  <c r="V36" i="15"/>
  <c r="V11" i="16"/>
  <c r="V37" i="15"/>
  <c r="V12" i="16"/>
  <c r="Q106" i="15"/>
  <c r="Q113" i="15"/>
  <c r="Q96" i="15"/>
  <c r="Q107" i="15"/>
  <c r="R66" i="15"/>
  <c r="R65" i="15"/>
  <c r="W7" i="15"/>
  <c r="W6" i="15"/>
  <c r="V44" i="15"/>
  <c r="V46" i="15"/>
  <c r="V47" i="15"/>
  <c r="W29" i="15"/>
  <c r="W30" i="15"/>
  <c r="W25" i="15"/>
  <c r="W26" i="15"/>
  <c r="W33" i="15"/>
  <c r="W34" i="15"/>
  <c r="V45" i="15"/>
  <c r="V52" i="15"/>
  <c r="V59" i="15"/>
  <c r="T102" i="16"/>
  <c r="S67" i="15"/>
  <c r="S101" i="15"/>
  <c r="S115" i="15"/>
  <c r="U44" i="16"/>
  <c r="U22" i="16"/>
  <c r="U102" i="16"/>
  <c r="T131" i="15"/>
  <c r="T19" i="18"/>
  <c r="U129" i="15"/>
  <c r="T58" i="16"/>
  <c r="U23" i="16"/>
  <c r="U72" i="16"/>
  <c r="U20" i="16"/>
  <c r="U88" i="16"/>
  <c r="U128" i="15"/>
  <c r="V15" i="15"/>
  <c r="V21" i="16"/>
  <c r="V58" i="16"/>
  <c r="U127" i="15"/>
  <c r="U93" i="15"/>
  <c r="U21" i="16"/>
  <c r="U58" i="16"/>
  <c r="U68" i="15"/>
  <c r="U130" i="15"/>
  <c r="U94" i="15"/>
  <c r="U108" i="15"/>
  <c r="T81" i="16"/>
  <c r="T24" i="16"/>
  <c r="T75" i="18"/>
  <c r="T44" i="16"/>
  <c r="N22" i="18"/>
  <c r="O15" i="18"/>
  <c r="N73" i="18"/>
  <c r="M74" i="18"/>
  <c r="S19" i="18"/>
  <c r="S75" i="18"/>
  <c r="Q124" i="15"/>
  <c r="Q12" i="18"/>
  <c r="R127" i="9"/>
  <c r="O44" i="18"/>
  <c r="O140" i="15"/>
  <c r="S114" i="15"/>
  <c r="T68" i="15"/>
  <c r="T102" i="15"/>
  <c r="S130" i="16"/>
  <c r="S116" i="15"/>
  <c r="P44" i="18"/>
  <c r="P140" i="15"/>
  <c r="P14" i="18"/>
  <c r="Q103" i="15"/>
  <c r="T67" i="15"/>
  <c r="T101" i="15"/>
  <c r="T107" i="15"/>
  <c r="U85" i="15"/>
  <c r="T108" i="15"/>
  <c r="T66" i="15"/>
  <c r="T100" i="15"/>
  <c r="U88" i="15"/>
  <c r="V51" i="15"/>
  <c r="V58" i="15"/>
  <c r="V53" i="15"/>
  <c r="V60" i="15"/>
  <c r="V54" i="15"/>
  <c r="V61" i="15"/>
  <c r="P138" i="15"/>
  <c r="P73" i="18"/>
  <c r="S65" i="15"/>
  <c r="S62" i="15"/>
  <c r="S122" i="15"/>
  <c r="S92" i="15"/>
  <c r="T55" i="15"/>
  <c r="U86" i="15"/>
  <c r="O138" i="15"/>
  <c r="O73" i="18"/>
  <c r="V74" i="15"/>
  <c r="V80" i="15"/>
  <c r="V76" i="15"/>
  <c r="V82" i="15"/>
  <c r="V75" i="15"/>
  <c r="V81" i="15"/>
  <c r="V87" i="15"/>
  <c r="V73" i="15"/>
  <c r="V79" i="15"/>
  <c r="Y38" i="15"/>
  <c r="X14" i="16"/>
  <c r="S136" i="16"/>
  <c r="T109" i="15"/>
  <c r="U48" i="15"/>
  <c r="U87" i="15"/>
  <c r="AF63" i="18"/>
  <c r="Z7" i="18"/>
  <c r="Z6" i="18"/>
  <c r="N138" i="15"/>
  <c r="X6" i="17"/>
  <c r="X7" i="17"/>
  <c r="X18" i="17"/>
  <c r="X19" i="17"/>
  <c r="W36" i="16"/>
  <c r="W124" i="16"/>
  <c r="W30" i="16"/>
  <c r="W118" i="16"/>
  <c r="X7" i="16"/>
  <c r="X6" i="16"/>
  <c r="R100" i="15"/>
  <c r="R114" i="15"/>
  <c r="W12" i="15"/>
  <c r="W13" i="15"/>
  <c r="W36" i="15"/>
  <c r="W11" i="16"/>
  <c r="W37" i="15"/>
  <c r="W12" i="16"/>
  <c r="Q110" i="15"/>
  <c r="Q14" i="18"/>
  <c r="P117" i="15"/>
  <c r="P72" i="18"/>
  <c r="R106" i="15"/>
  <c r="R96" i="15"/>
  <c r="R108" i="15"/>
  <c r="W21" i="15"/>
  <c r="W22" i="15"/>
  <c r="W17" i="15"/>
  <c r="W18" i="15"/>
  <c r="R69" i="15"/>
  <c r="R99" i="15"/>
  <c r="Q114" i="15"/>
  <c r="Q116" i="15"/>
  <c r="X7" i="15"/>
  <c r="X6" i="15"/>
  <c r="W46" i="15"/>
  <c r="W44" i="15"/>
  <c r="W47" i="15"/>
  <c r="W45" i="15"/>
  <c r="W52" i="15"/>
  <c r="W59" i="15"/>
  <c r="X33" i="15"/>
  <c r="X34" i="15"/>
  <c r="X29" i="15"/>
  <c r="X30" i="15"/>
  <c r="X25" i="15"/>
  <c r="X26" i="15"/>
  <c r="U67" i="15"/>
  <c r="U101" i="15"/>
  <c r="U115" i="15"/>
  <c r="U51" i="16"/>
  <c r="T136" i="16"/>
  <c r="U65" i="16"/>
  <c r="V20" i="16"/>
  <c r="V51" i="16"/>
  <c r="V95" i="16"/>
  <c r="T116" i="15"/>
  <c r="V23" i="16"/>
  <c r="V109" i="16"/>
  <c r="U109" i="16"/>
  <c r="V22" i="16"/>
  <c r="V102" i="16"/>
  <c r="W15" i="15"/>
  <c r="W23" i="16"/>
  <c r="W72" i="16"/>
  <c r="V127" i="15"/>
  <c r="V130" i="15"/>
  <c r="U131" i="15"/>
  <c r="U19" i="18"/>
  <c r="U95" i="16"/>
  <c r="U95" i="15"/>
  <c r="U109" i="15"/>
  <c r="U24" i="16"/>
  <c r="V128" i="15"/>
  <c r="V19" i="16"/>
  <c r="V129" i="15"/>
  <c r="T130" i="16"/>
  <c r="M77" i="18"/>
  <c r="M81" i="18"/>
  <c r="M24" i="17"/>
  <c r="M25" i="17"/>
  <c r="M15" i="17"/>
  <c r="M16" i="17"/>
  <c r="N12" i="17"/>
  <c r="N21" i="17"/>
  <c r="O22" i="18"/>
  <c r="P15" i="18"/>
  <c r="P22" i="18"/>
  <c r="N55" i="18"/>
  <c r="Q18" i="18"/>
  <c r="O55" i="18"/>
  <c r="Q138" i="16"/>
  <c r="R135" i="16"/>
  <c r="R12" i="18"/>
  <c r="Q137" i="15"/>
  <c r="Q44" i="18"/>
  <c r="S127" i="9"/>
  <c r="T114" i="15"/>
  <c r="T115" i="15"/>
  <c r="U102" i="15"/>
  <c r="Q13" i="18"/>
  <c r="S69" i="15"/>
  <c r="S123" i="15"/>
  <c r="S124" i="15"/>
  <c r="S99" i="15"/>
  <c r="S103" i="15"/>
  <c r="S13" i="18"/>
  <c r="Z38" i="15"/>
  <c r="Y14" i="16"/>
  <c r="P55" i="18"/>
  <c r="P141" i="15"/>
  <c r="P142" i="15"/>
  <c r="V48" i="15"/>
  <c r="U92" i="15"/>
  <c r="V85" i="15"/>
  <c r="U107" i="15"/>
  <c r="V88" i="15"/>
  <c r="T62" i="15"/>
  <c r="T92" i="15"/>
  <c r="S106" i="15"/>
  <c r="S110" i="15"/>
  <c r="S14" i="18"/>
  <c r="S96" i="15"/>
  <c r="V93" i="15"/>
  <c r="V66" i="15"/>
  <c r="V94" i="15"/>
  <c r="V67" i="15"/>
  <c r="V101" i="15"/>
  <c r="W74" i="15"/>
  <c r="W80" i="15"/>
  <c r="W76" i="15"/>
  <c r="W82" i="15"/>
  <c r="W73" i="15"/>
  <c r="W79" i="15"/>
  <c r="W75" i="15"/>
  <c r="W81" i="15"/>
  <c r="W51" i="15"/>
  <c r="W58" i="15"/>
  <c r="W54" i="15"/>
  <c r="W61" i="15"/>
  <c r="V86" i="15"/>
  <c r="T65" i="15"/>
  <c r="V95" i="15"/>
  <c r="U66" i="15"/>
  <c r="U100" i="15"/>
  <c r="U55" i="15"/>
  <c r="AG63" i="18"/>
  <c r="AA7" i="18"/>
  <c r="AA6" i="18"/>
  <c r="N141" i="15"/>
  <c r="N142" i="15"/>
  <c r="O141" i="15"/>
  <c r="O142" i="15"/>
  <c r="Y7" i="17"/>
  <c r="Y18" i="17"/>
  <c r="Y19" i="17"/>
  <c r="Y6" i="17"/>
  <c r="X36" i="16"/>
  <c r="X124" i="16"/>
  <c r="X30" i="16"/>
  <c r="X118" i="16"/>
  <c r="Y7" i="16"/>
  <c r="Y6" i="16"/>
  <c r="Q133" i="15"/>
  <c r="Q117" i="15"/>
  <c r="Q72" i="18"/>
  <c r="R103" i="15"/>
  <c r="R13" i="18"/>
  <c r="X12" i="15"/>
  <c r="X13" i="15"/>
  <c r="X36" i="15"/>
  <c r="X11" i="16"/>
  <c r="X37" i="15"/>
  <c r="X12" i="16"/>
  <c r="R115" i="15"/>
  <c r="R113" i="15"/>
  <c r="R110" i="15"/>
  <c r="R14" i="18"/>
  <c r="X17" i="15"/>
  <c r="X18" i="15"/>
  <c r="X21" i="15"/>
  <c r="X22" i="15"/>
  <c r="X44" i="15"/>
  <c r="R123" i="15"/>
  <c r="R124" i="15"/>
  <c r="Y6" i="15"/>
  <c r="Y7" i="15"/>
  <c r="X45" i="15"/>
  <c r="X46" i="15"/>
  <c r="X47" i="15"/>
  <c r="X54" i="15"/>
  <c r="X61" i="15"/>
  <c r="Y33" i="15"/>
  <c r="Y34" i="15"/>
  <c r="Y29" i="15"/>
  <c r="Y25" i="15"/>
  <c r="Y26" i="15"/>
  <c r="W20" i="16"/>
  <c r="W88" i="16"/>
  <c r="W21" i="16"/>
  <c r="W58" i="16"/>
  <c r="V88" i="16"/>
  <c r="V72" i="16"/>
  <c r="U130" i="16"/>
  <c r="U136" i="16"/>
  <c r="W128" i="15"/>
  <c r="W19" i="16"/>
  <c r="W81" i="16"/>
  <c r="Y30" i="15"/>
  <c r="X15" i="15"/>
  <c r="X22" i="16"/>
  <c r="X65" i="16"/>
  <c r="W109" i="16"/>
  <c r="W129" i="15"/>
  <c r="W22" i="16"/>
  <c r="W65" i="16"/>
  <c r="W127" i="15"/>
  <c r="W130" i="15"/>
  <c r="V131" i="15"/>
  <c r="V19" i="18"/>
  <c r="V65" i="16"/>
  <c r="V81" i="16"/>
  <c r="Q140" i="15"/>
  <c r="V24" i="16"/>
  <c r="V75" i="18"/>
  <c r="U75" i="18"/>
  <c r="W66" i="15"/>
  <c r="T122" i="15"/>
  <c r="V44" i="16"/>
  <c r="M83" i="18"/>
  <c r="M84" i="18"/>
  <c r="Q20" i="18"/>
  <c r="Q15" i="18"/>
  <c r="R18" i="18"/>
  <c r="R20" i="18"/>
  <c r="Q73" i="18"/>
  <c r="O74" i="18"/>
  <c r="S18" i="18"/>
  <c r="S20" i="18"/>
  <c r="N74" i="18"/>
  <c r="P74" i="18"/>
  <c r="M58" i="18"/>
  <c r="T127" i="9"/>
  <c r="R137" i="15"/>
  <c r="S12" i="18"/>
  <c r="S15" i="18"/>
  <c r="S137" i="15"/>
  <c r="S44" i="18"/>
  <c r="N14" i="17"/>
  <c r="U114" i="15"/>
  <c r="V68" i="15"/>
  <c r="V102" i="15"/>
  <c r="R15" i="18"/>
  <c r="W51" i="16"/>
  <c r="U116" i="15"/>
  <c r="W53" i="15"/>
  <c r="W60" i="15"/>
  <c r="S133" i="15"/>
  <c r="S113" i="15"/>
  <c r="S117" i="15"/>
  <c r="S72" i="18"/>
  <c r="N79" i="18"/>
  <c r="N29" i="18"/>
  <c r="V109" i="15"/>
  <c r="U65" i="15"/>
  <c r="V55" i="15"/>
  <c r="U62" i="15"/>
  <c r="X73" i="15"/>
  <c r="X79" i="15"/>
  <c r="X75" i="15"/>
  <c r="X81" i="15"/>
  <c r="X74" i="15"/>
  <c r="X80" i="15"/>
  <c r="X86" i="15"/>
  <c r="X76" i="15"/>
  <c r="X82" i="15"/>
  <c r="X88" i="15"/>
  <c r="U96" i="15"/>
  <c r="U106" i="15"/>
  <c r="U110" i="15"/>
  <c r="U14" i="18"/>
  <c r="V107" i="15"/>
  <c r="W85" i="15"/>
  <c r="V108" i="15"/>
  <c r="V115" i="15"/>
  <c r="T69" i="15"/>
  <c r="T123" i="15"/>
  <c r="T99" i="15"/>
  <c r="T103" i="15"/>
  <c r="T13" i="18"/>
  <c r="V100" i="15"/>
  <c r="W88" i="15"/>
  <c r="AA38" i="15"/>
  <c r="Z14" i="16"/>
  <c r="W87" i="15"/>
  <c r="W95" i="15"/>
  <c r="X52" i="15"/>
  <c r="X59" i="15"/>
  <c r="X51" i="15"/>
  <c r="X58" i="15"/>
  <c r="W48" i="15"/>
  <c r="W86" i="15"/>
  <c r="T106" i="15"/>
  <c r="T110" i="15"/>
  <c r="T96" i="15"/>
  <c r="AH63" i="18"/>
  <c r="AB7" i="18"/>
  <c r="AB6" i="18"/>
  <c r="Z7" i="17"/>
  <c r="Z18" i="17"/>
  <c r="Z19" i="17"/>
  <c r="Z6" i="17"/>
  <c r="Y30" i="16"/>
  <c r="Y118" i="16"/>
  <c r="Y36" i="16"/>
  <c r="Y124" i="16"/>
  <c r="Z7" i="16"/>
  <c r="Z6" i="16"/>
  <c r="Q138" i="15"/>
  <c r="Y17" i="15"/>
  <c r="Y18" i="15"/>
  <c r="Y21" i="15"/>
  <c r="Y22" i="15"/>
  <c r="Y12" i="15"/>
  <c r="Y13" i="15"/>
  <c r="Y37" i="15"/>
  <c r="Y12" i="16"/>
  <c r="Y36" i="15"/>
  <c r="Y11" i="16"/>
  <c r="R117" i="15"/>
  <c r="R72" i="18"/>
  <c r="Z7" i="15"/>
  <c r="Z6" i="15"/>
  <c r="Y44" i="15"/>
  <c r="Y45" i="15"/>
  <c r="W95" i="16"/>
  <c r="Y46" i="15"/>
  <c r="Y53" i="15"/>
  <c r="Y60" i="15"/>
  <c r="Z25" i="15"/>
  <c r="Z26" i="15"/>
  <c r="Z33" i="15"/>
  <c r="Z34" i="15"/>
  <c r="Z29" i="15"/>
  <c r="Z30" i="15"/>
  <c r="V136" i="16"/>
  <c r="Y47" i="15"/>
  <c r="X129" i="15"/>
  <c r="W131" i="15"/>
  <c r="W19" i="18"/>
  <c r="X20" i="16"/>
  <c r="X51" i="16"/>
  <c r="Y15" i="15"/>
  <c r="Y20" i="16"/>
  <c r="Y88" i="16"/>
  <c r="X102" i="16"/>
  <c r="X21" i="16"/>
  <c r="X58" i="16"/>
  <c r="X127" i="15"/>
  <c r="R22" i="18"/>
  <c r="X128" i="15"/>
  <c r="X23" i="16"/>
  <c r="X72" i="16"/>
  <c r="X130" i="15"/>
  <c r="X19" i="16"/>
  <c r="X81" i="16"/>
  <c r="W44" i="16"/>
  <c r="W130" i="16"/>
  <c r="W24" i="16"/>
  <c r="W75" i="18"/>
  <c r="V130" i="16"/>
  <c r="W102" i="16"/>
  <c r="W136" i="16"/>
  <c r="T124" i="15"/>
  <c r="T18" i="18"/>
  <c r="T20" i="18"/>
  <c r="Q22" i="18"/>
  <c r="U122" i="15"/>
  <c r="W67" i="15"/>
  <c r="W101" i="15"/>
  <c r="S22" i="18"/>
  <c r="S138" i="15"/>
  <c r="N80" i="18"/>
  <c r="R138" i="16"/>
  <c r="S135" i="16"/>
  <c r="T12" i="18"/>
  <c r="T137" i="15"/>
  <c r="T140" i="15"/>
  <c r="R140" i="15"/>
  <c r="R44" i="18"/>
  <c r="U12" i="18"/>
  <c r="U137" i="15"/>
  <c r="U44" i="18"/>
  <c r="N23" i="17"/>
  <c r="U127" i="9"/>
  <c r="V114" i="15"/>
  <c r="V116" i="15"/>
  <c r="S140" i="15"/>
  <c r="S73" i="18"/>
  <c r="X53" i="15"/>
  <c r="X60" i="15"/>
  <c r="W93" i="15"/>
  <c r="W107" i="15"/>
  <c r="W68" i="15"/>
  <c r="W102" i="15"/>
  <c r="T113" i="15"/>
  <c r="T117" i="15"/>
  <c r="T72" i="18"/>
  <c r="T14" i="18"/>
  <c r="X95" i="15"/>
  <c r="X109" i="15"/>
  <c r="AB38" i="15"/>
  <c r="AA14" i="16"/>
  <c r="U69" i="15"/>
  <c r="U99" i="15"/>
  <c r="Y52" i="15"/>
  <c r="Y59" i="15"/>
  <c r="Y51" i="15"/>
  <c r="Y58" i="15"/>
  <c r="Y73" i="15"/>
  <c r="Y79" i="15"/>
  <c r="Y75" i="15"/>
  <c r="Y81" i="15"/>
  <c r="Y76" i="15"/>
  <c r="Y82" i="15"/>
  <c r="Y74" i="15"/>
  <c r="Y80" i="15"/>
  <c r="X66" i="15"/>
  <c r="X100" i="15"/>
  <c r="X93" i="15"/>
  <c r="X107" i="15"/>
  <c r="W100" i="15"/>
  <c r="X48" i="15"/>
  <c r="X87" i="15"/>
  <c r="Q141" i="15"/>
  <c r="Q142" i="15"/>
  <c r="Q55" i="18"/>
  <c r="W55" i="15"/>
  <c r="W109" i="15"/>
  <c r="X85" i="15"/>
  <c r="V65" i="15"/>
  <c r="V62" i="15"/>
  <c r="V122" i="15"/>
  <c r="V92" i="15"/>
  <c r="AI63" i="18"/>
  <c r="AC6" i="18"/>
  <c r="AC7" i="18"/>
  <c r="AA7" i="17"/>
  <c r="AA18" i="17"/>
  <c r="AA19" i="17"/>
  <c r="AA6" i="17"/>
  <c r="Z30" i="16"/>
  <c r="Z118" i="16"/>
  <c r="Z36" i="16"/>
  <c r="Z124" i="16"/>
  <c r="AA7" i="16"/>
  <c r="AA6" i="16"/>
  <c r="R133" i="15"/>
  <c r="Z13" i="15"/>
  <c r="Z12" i="15"/>
  <c r="Z36" i="15"/>
  <c r="Z11" i="16"/>
  <c r="Z37" i="15"/>
  <c r="Z12" i="16"/>
  <c r="Z21" i="15"/>
  <c r="Z22" i="15"/>
  <c r="Z17" i="15"/>
  <c r="Z18" i="15"/>
  <c r="AA6" i="15"/>
  <c r="AA7" i="15"/>
  <c r="Z45" i="15"/>
  <c r="Z44" i="15"/>
  <c r="Z47" i="15"/>
  <c r="AA29" i="15"/>
  <c r="AA30" i="15"/>
  <c r="AA25" i="15"/>
  <c r="AA33" i="15"/>
  <c r="AA34" i="15"/>
  <c r="Z46" i="15"/>
  <c r="X88" i="16"/>
  <c r="Y128" i="15"/>
  <c r="Z15" i="15"/>
  <c r="Z23" i="16"/>
  <c r="Z72" i="16"/>
  <c r="X95" i="16"/>
  <c r="Y130" i="15"/>
  <c r="Y21" i="16"/>
  <c r="Y95" i="16"/>
  <c r="Y51" i="16"/>
  <c r="Y129" i="15"/>
  <c r="Y19" i="16"/>
  <c r="Y81" i="16"/>
  <c r="Y22" i="16"/>
  <c r="Y102" i="16"/>
  <c r="Y127" i="15"/>
  <c r="Y23" i="16"/>
  <c r="Y72" i="16"/>
  <c r="X131" i="15"/>
  <c r="X19" i="18"/>
  <c r="T133" i="15"/>
  <c r="T138" i="15"/>
  <c r="X109" i="16"/>
  <c r="X44" i="16"/>
  <c r="AA26" i="15"/>
  <c r="X24" i="16"/>
  <c r="X75" i="18"/>
  <c r="W94" i="15"/>
  <c r="W108" i="15"/>
  <c r="Y66" i="15"/>
  <c r="Y67" i="15"/>
  <c r="U123" i="15"/>
  <c r="U124" i="15"/>
  <c r="U18" i="18"/>
  <c r="Q74" i="18"/>
  <c r="S55" i="18"/>
  <c r="T15" i="18"/>
  <c r="S138" i="16"/>
  <c r="T135" i="16"/>
  <c r="V127" i="9"/>
  <c r="T44" i="18"/>
  <c r="U140" i="15"/>
  <c r="X67" i="15"/>
  <c r="X101" i="15"/>
  <c r="X94" i="15"/>
  <c r="X108" i="15"/>
  <c r="W114" i="15"/>
  <c r="Y54" i="15"/>
  <c r="Y61" i="15"/>
  <c r="W116" i="15"/>
  <c r="X114" i="15"/>
  <c r="U103" i="15"/>
  <c r="U13" i="18"/>
  <c r="U15" i="18"/>
  <c r="U113" i="15"/>
  <c r="U117" i="15"/>
  <c r="U72" i="18"/>
  <c r="X68" i="15"/>
  <c r="X102" i="15"/>
  <c r="X116" i="15"/>
  <c r="Z74" i="15"/>
  <c r="Z80" i="15"/>
  <c r="Z76" i="15"/>
  <c r="Z82" i="15"/>
  <c r="Z73" i="15"/>
  <c r="Z79" i="15"/>
  <c r="Z75" i="15"/>
  <c r="Z81" i="15"/>
  <c r="Z87" i="15"/>
  <c r="Y85" i="15"/>
  <c r="R73" i="18"/>
  <c r="V96" i="15"/>
  <c r="V106" i="15"/>
  <c r="V110" i="15"/>
  <c r="Y86" i="15"/>
  <c r="Y48" i="15"/>
  <c r="AC38" i="15"/>
  <c r="AB14" i="16"/>
  <c r="Z51" i="15"/>
  <c r="Z58" i="15"/>
  <c r="Z53" i="15"/>
  <c r="Z60" i="15"/>
  <c r="Z52" i="15"/>
  <c r="Z59" i="15"/>
  <c r="Z54" i="15"/>
  <c r="Z61" i="15"/>
  <c r="W65" i="15"/>
  <c r="W62" i="15"/>
  <c r="W122" i="15"/>
  <c r="W92" i="15"/>
  <c r="Y88" i="15"/>
  <c r="V69" i="15"/>
  <c r="V123" i="15"/>
  <c r="V124" i="15"/>
  <c r="V99" i="15"/>
  <c r="V103" i="15"/>
  <c r="V13" i="18"/>
  <c r="X55" i="15"/>
  <c r="X65" i="15"/>
  <c r="Y87" i="15"/>
  <c r="AJ63" i="18"/>
  <c r="AD6" i="18"/>
  <c r="AD7" i="18"/>
  <c r="AB6" i="17"/>
  <c r="AB7" i="17"/>
  <c r="AB18" i="17"/>
  <c r="AB19" i="17"/>
  <c r="AA36" i="16"/>
  <c r="AA30" i="16"/>
  <c r="AA118" i="16"/>
  <c r="AB7" i="16"/>
  <c r="AB6" i="16"/>
  <c r="R138" i="15"/>
  <c r="AA12" i="15"/>
  <c r="AA13" i="15"/>
  <c r="AA36" i="15"/>
  <c r="AA11" i="16"/>
  <c r="AA37" i="15"/>
  <c r="AA12" i="16"/>
  <c r="AA21" i="15"/>
  <c r="AA22" i="15"/>
  <c r="AA17" i="15"/>
  <c r="AA18" i="15"/>
  <c r="AB7" i="15"/>
  <c r="AB6" i="15"/>
  <c r="X136" i="16"/>
  <c r="AA47" i="15"/>
  <c r="AA46" i="15"/>
  <c r="AA53" i="15"/>
  <c r="AA60" i="15"/>
  <c r="AA45" i="15"/>
  <c r="AA52" i="15"/>
  <c r="AA59" i="15"/>
  <c r="AA44" i="15"/>
  <c r="AA51" i="15"/>
  <c r="AA58" i="15"/>
  <c r="AB33" i="15"/>
  <c r="AB34" i="15"/>
  <c r="AB29" i="15"/>
  <c r="AB30" i="15"/>
  <c r="AB25" i="15"/>
  <c r="AB26" i="15"/>
  <c r="Z130" i="15"/>
  <c r="Z22" i="16"/>
  <c r="Z65" i="16"/>
  <c r="AA15" i="15"/>
  <c r="AA21" i="16"/>
  <c r="AA95" i="16"/>
  <c r="Z109" i="16"/>
  <c r="Z127" i="15"/>
  <c r="Z129" i="15"/>
  <c r="T73" i="18"/>
  <c r="Z20" i="16"/>
  <c r="Z51" i="16"/>
  <c r="Z21" i="16"/>
  <c r="Z95" i="16"/>
  <c r="Z128" i="15"/>
  <c r="Z19" i="16"/>
  <c r="Z81" i="16"/>
  <c r="Y58" i="16"/>
  <c r="Y65" i="16"/>
  <c r="Y44" i="16"/>
  <c r="U133" i="15"/>
  <c r="U73" i="18"/>
  <c r="Y131" i="15"/>
  <c r="Y19" i="18"/>
  <c r="Y24" i="16"/>
  <c r="Y75" i="18"/>
  <c r="X130" i="16"/>
  <c r="Y93" i="15"/>
  <c r="Y107" i="15"/>
  <c r="Y109" i="16"/>
  <c r="Y136" i="16"/>
  <c r="W115" i="15"/>
  <c r="T22" i="18"/>
  <c r="Y68" i="15"/>
  <c r="Y102" i="15"/>
  <c r="U20" i="18"/>
  <c r="U22" i="18"/>
  <c r="R55" i="18"/>
  <c r="V18" i="18"/>
  <c r="V20" i="18"/>
  <c r="T138" i="16"/>
  <c r="U135" i="16"/>
  <c r="V12" i="18"/>
  <c r="V137" i="15"/>
  <c r="V140" i="15"/>
  <c r="W127" i="9"/>
  <c r="AA124" i="16"/>
  <c r="X115" i="15"/>
  <c r="X69" i="15"/>
  <c r="X123" i="15"/>
  <c r="Y94" i="15"/>
  <c r="Y108" i="15"/>
  <c r="V113" i="15"/>
  <c r="V117" i="15"/>
  <c r="V72" i="18"/>
  <c r="V133" i="15"/>
  <c r="V14" i="18"/>
  <c r="Z68" i="15"/>
  <c r="Y55" i="15"/>
  <c r="Y65" i="15"/>
  <c r="W106" i="15"/>
  <c r="W110" i="15"/>
  <c r="W14" i="18"/>
  <c r="W96" i="15"/>
  <c r="Z66" i="15"/>
  <c r="X99" i="15"/>
  <c r="X103" i="15"/>
  <c r="X13" i="18"/>
  <c r="Y100" i="15"/>
  <c r="Z85" i="15"/>
  <c r="X62" i="15"/>
  <c r="X122" i="15"/>
  <c r="X92" i="15"/>
  <c r="AA54" i="15"/>
  <c r="AA61" i="15"/>
  <c r="Y101" i="15"/>
  <c r="Z94" i="15"/>
  <c r="AD38" i="15"/>
  <c r="AC14" i="16"/>
  <c r="T55" i="18"/>
  <c r="T141" i="15"/>
  <c r="T142" i="15"/>
  <c r="Z88" i="15"/>
  <c r="AA74" i="15"/>
  <c r="AA80" i="15"/>
  <c r="AA76" i="15"/>
  <c r="AA82" i="15"/>
  <c r="AA75" i="15"/>
  <c r="AA81" i="15"/>
  <c r="AA73" i="15"/>
  <c r="AA79" i="15"/>
  <c r="W69" i="15"/>
  <c r="W99" i="15"/>
  <c r="W103" i="15"/>
  <c r="W13" i="18"/>
  <c r="Z48" i="15"/>
  <c r="Z86" i="15"/>
  <c r="AK63" i="18"/>
  <c r="AE7" i="18"/>
  <c r="AE6" i="18"/>
  <c r="AC7" i="17"/>
  <c r="AC18" i="17"/>
  <c r="AC19" i="17"/>
  <c r="AC6" i="17"/>
  <c r="AB36" i="16"/>
  <c r="AB124" i="16"/>
  <c r="AB30" i="16"/>
  <c r="AC6" i="16"/>
  <c r="AC7" i="16"/>
  <c r="R141" i="15"/>
  <c r="R142" i="15"/>
  <c r="S141" i="15"/>
  <c r="S142" i="15"/>
  <c r="AB12" i="15"/>
  <c r="AB13" i="15"/>
  <c r="AB36" i="15"/>
  <c r="AB11" i="16"/>
  <c r="AB37" i="15"/>
  <c r="AB12" i="16"/>
  <c r="AB17" i="15"/>
  <c r="AB18" i="15"/>
  <c r="AB21" i="15"/>
  <c r="AB22" i="15"/>
  <c r="AC6" i="15"/>
  <c r="AC7" i="15"/>
  <c r="AA128" i="15"/>
  <c r="AB47" i="15"/>
  <c r="AA22" i="16"/>
  <c r="AA65" i="16"/>
  <c r="AA20" i="16"/>
  <c r="AA51" i="16"/>
  <c r="Z44" i="16"/>
  <c r="AB45" i="15"/>
  <c r="AB52" i="15"/>
  <c r="AB59" i="15"/>
  <c r="AC29" i="15"/>
  <c r="AC30" i="15"/>
  <c r="AC33" i="15"/>
  <c r="AC34" i="15"/>
  <c r="AC25" i="15"/>
  <c r="AB44" i="15"/>
  <c r="Z102" i="16"/>
  <c r="AB46" i="15"/>
  <c r="AB53" i="15"/>
  <c r="AB60" i="15"/>
  <c r="AA129" i="15"/>
  <c r="AA23" i="16"/>
  <c r="AA72" i="16"/>
  <c r="AA130" i="15"/>
  <c r="U138" i="15"/>
  <c r="U55" i="18"/>
  <c r="AA19" i="16"/>
  <c r="AA81" i="16"/>
  <c r="Z131" i="15"/>
  <c r="Z19" i="18"/>
  <c r="AB15" i="15"/>
  <c r="AB20" i="16"/>
  <c r="AB51" i="16"/>
  <c r="AA127" i="15"/>
  <c r="Z88" i="16"/>
  <c r="Z58" i="16"/>
  <c r="Z24" i="16"/>
  <c r="Y130" i="16"/>
  <c r="Y114" i="15"/>
  <c r="AC26" i="15"/>
  <c r="Y95" i="15"/>
  <c r="Y109" i="15"/>
  <c r="V44" i="18"/>
  <c r="W123" i="15"/>
  <c r="W124" i="15"/>
  <c r="W18" i="18"/>
  <c r="W20" i="18"/>
  <c r="V138" i="15"/>
  <c r="V55" i="18"/>
  <c r="T74" i="18"/>
  <c r="S74" i="18"/>
  <c r="R74" i="18"/>
  <c r="V15" i="18"/>
  <c r="U138" i="16"/>
  <c r="V135" i="16"/>
  <c r="W12" i="18"/>
  <c r="W15" i="18"/>
  <c r="W137" i="15"/>
  <c r="W140" i="15"/>
  <c r="X127" i="9"/>
  <c r="AA102" i="16"/>
  <c r="AA58" i="16"/>
  <c r="AB118" i="16"/>
  <c r="AA44" i="16"/>
  <c r="AA94" i="15"/>
  <c r="X124" i="15"/>
  <c r="X133" i="15"/>
  <c r="Y69" i="15"/>
  <c r="Y123" i="15"/>
  <c r="Z93" i="15"/>
  <c r="Z107" i="15"/>
  <c r="V73" i="18"/>
  <c r="Y115" i="15"/>
  <c r="Z100" i="15"/>
  <c r="Y99" i="15"/>
  <c r="Y103" i="15"/>
  <c r="Y13" i="18"/>
  <c r="Z67" i="15"/>
  <c r="Z101" i="15"/>
  <c r="W113" i="15"/>
  <c r="W117" i="15"/>
  <c r="W72" i="18"/>
  <c r="AB73" i="15"/>
  <c r="AB79" i="15"/>
  <c r="AB75" i="15"/>
  <c r="AB81" i="15"/>
  <c r="AB76" i="15"/>
  <c r="AB82" i="15"/>
  <c r="AB88" i="15"/>
  <c r="AB74" i="15"/>
  <c r="AB80" i="15"/>
  <c r="Z55" i="15"/>
  <c r="Z65" i="15"/>
  <c r="AA87" i="15"/>
  <c r="Z95" i="15"/>
  <c r="AE38" i="15"/>
  <c r="AD14" i="16"/>
  <c r="Y62" i="15"/>
  <c r="Y92" i="15"/>
  <c r="AA66" i="15"/>
  <c r="AA88" i="15"/>
  <c r="Z102" i="15"/>
  <c r="AA48" i="15"/>
  <c r="AB54" i="15"/>
  <c r="AB61" i="15"/>
  <c r="AB51" i="15"/>
  <c r="AB58" i="15"/>
  <c r="AA85" i="15"/>
  <c r="AA86" i="15"/>
  <c r="Z108" i="15"/>
  <c r="AA68" i="15"/>
  <c r="X96" i="15"/>
  <c r="X106" i="15"/>
  <c r="X113" i="15"/>
  <c r="X117" i="15"/>
  <c r="X72" i="18"/>
  <c r="AL63" i="18"/>
  <c r="AF7" i="18"/>
  <c r="AF6" i="18"/>
  <c r="AD6" i="17"/>
  <c r="AD7" i="17"/>
  <c r="AD18" i="17"/>
  <c r="AD19" i="17"/>
  <c r="AC30" i="16"/>
  <c r="AC118" i="16"/>
  <c r="AC36" i="16"/>
  <c r="AC124" i="16"/>
  <c r="AD7" i="16"/>
  <c r="AD6" i="16"/>
  <c r="AC12" i="15"/>
  <c r="AC13" i="15"/>
  <c r="AC36" i="15"/>
  <c r="AC11" i="16"/>
  <c r="AC37" i="15"/>
  <c r="AC12" i="16"/>
  <c r="AC17" i="15"/>
  <c r="AC18" i="15"/>
  <c r="AC21" i="15"/>
  <c r="AC22" i="15"/>
  <c r="AD6" i="15"/>
  <c r="AD7" i="15"/>
  <c r="AA88" i="16"/>
  <c r="AC45" i="15"/>
  <c r="Z136" i="16"/>
  <c r="AC46" i="15"/>
  <c r="AC53" i="15"/>
  <c r="AC60" i="15"/>
  <c r="AC44" i="15"/>
  <c r="AB21" i="16"/>
  <c r="AB58" i="16"/>
  <c r="AB127" i="15"/>
  <c r="AA109" i="16"/>
  <c r="AA136" i="16"/>
  <c r="AC47" i="15"/>
  <c r="AD25" i="15"/>
  <c r="AD26" i="15"/>
  <c r="AD33" i="15"/>
  <c r="AD34" i="15"/>
  <c r="AD29" i="15"/>
  <c r="AA131" i="15"/>
  <c r="AB23" i="16"/>
  <c r="AB72" i="16"/>
  <c r="Z75" i="18"/>
  <c r="U141" i="15"/>
  <c r="U142" i="15"/>
  <c r="U74" i="18"/>
  <c r="AB130" i="15"/>
  <c r="Z130" i="16"/>
  <c r="AB128" i="15"/>
  <c r="AB129" i="15"/>
  <c r="AB131" i="15"/>
  <c r="AB19" i="16"/>
  <c r="AB81" i="16"/>
  <c r="AB22" i="16"/>
  <c r="AB102" i="16"/>
  <c r="AA24" i="16"/>
  <c r="AA75" i="18"/>
  <c r="AB88" i="16"/>
  <c r="AC15" i="15"/>
  <c r="AC129" i="15"/>
  <c r="Y116" i="15"/>
  <c r="AD30" i="15"/>
  <c r="Y122" i="15"/>
  <c r="Y124" i="15"/>
  <c r="Y18" i="18"/>
  <c r="AB67" i="15"/>
  <c r="V22" i="18"/>
  <c r="AB93" i="15"/>
  <c r="V141" i="15"/>
  <c r="V142" i="15"/>
  <c r="V74" i="18"/>
  <c r="W22" i="18"/>
  <c r="AA19" i="18"/>
  <c r="X18" i="18"/>
  <c r="X20" i="18"/>
  <c r="V138" i="16"/>
  <c r="W135" i="16"/>
  <c r="X12" i="18"/>
  <c r="Y127" i="9"/>
  <c r="AA130" i="16"/>
  <c r="AA67" i="15"/>
  <c r="AA101" i="15"/>
  <c r="AB95" i="16"/>
  <c r="Z114" i="15"/>
  <c r="W44" i="18"/>
  <c r="AA93" i="15"/>
  <c r="AA107" i="15"/>
  <c r="Z115" i="15"/>
  <c r="Z69" i="15"/>
  <c r="Z123" i="15"/>
  <c r="Z99" i="15"/>
  <c r="Z103" i="15"/>
  <c r="Z13" i="18"/>
  <c r="W133" i="15"/>
  <c r="AC127" i="15"/>
  <c r="AC130" i="15"/>
  <c r="AB95" i="15"/>
  <c r="AA102" i="15"/>
  <c r="AA108" i="15"/>
  <c r="AB86" i="15"/>
  <c r="X138" i="15"/>
  <c r="X73" i="18"/>
  <c r="AC19" i="16"/>
  <c r="AC81" i="16"/>
  <c r="AA55" i="15"/>
  <c r="AA65" i="15"/>
  <c r="AC52" i="15"/>
  <c r="AC59" i="15"/>
  <c r="AC51" i="15"/>
  <c r="AC58" i="15"/>
  <c r="AB109" i="16"/>
  <c r="AC73" i="15"/>
  <c r="AC79" i="15"/>
  <c r="AC75" i="15"/>
  <c r="AC81" i="15"/>
  <c r="AC74" i="15"/>
  <c r="AC80" i="15"/>
  <c r="AC76" i="15"/>
  <c r="AC82" i="15"/>
  <c r="AC21" i="16"/>
  <c r="AC95" i="16"/>
  <c r="AA95" i="15"/>
  <c r="Y106" i="15"/>
  <c r="Y110" i="15"/>
  <c r="Y14" i="18"/>
  <c r="Y96" i="15"/>
  <c r="AF38" i="15"/>
  <c r="AE14" i="16"/>
  <c r="Z62" i="15"/>
  <c r="Z122" i="15"/>
  <c r="Z92" i="15"/>
  <c r="AC23" i="16"/>
  <c r="AC72" i="16"/>
  <c r="AB85" i="15"/>
  <c r="AC22" i="16"/>
  <c r="AC102" i="16"/>
  <c r="X110" i="15"/>
  <c r="X14" i="18"/>
  <c r="AC20" i="16"/>
  <c r="AC51" i="16"/>
  <c r="AA100" i="15"/>
  <c r="AB48" i="15"/>
  <c r="Z109" i="15"/>
  <c r="Z116" i="15"/>
  <c r="AB87" i="15"/>
  <c r="AM63" i="18"/>
  <c r="AG7" i="18"/>
  <c r="AG6" i="18"/>
  <c r="AE7" i="17"/>
  <c r="AE18" i="17"/>
  <c r="AE19" i="17"/>
  <c r="AE6" i="17"/>
  <c r="AD30" i="16"/>
  <c r="AD118" i="16"/>
  <c r="AD36" i="16"/>
  <c r="AD124" i="16"/>
  <c r="AE7" i="16"/>
  <c r="AE6" i="16"/>
  <c r="AD21" i="15"/>
  <c r="AD22" i="15"/>
  <c r="AD17" i="15"/>
  <c r="AD18" i="15"/>
  <c r="AD13" i="15"/>
  <c r="AD12" i="15"/>
  <c r="AD36" i="15"/>
  <c r="AD11" i="16"/>
  <c r="AD37" i="15"/>
  <c r="AD12" i="16"/>
  <c r="AD15" i="15"/>
  <c r="AD21" i="16"/>
  <c r="AE7" i="15"/>
  <c r="AE6" i="15"/>
  <c r="AC128" i="15"/>
  <c r="AB65" i="16"/>
  <c r="AD46" i="15"/>
  <c r="AD53" i="15"/>
  <c r="AD60" i="15"/>
  <c r="AD47" i="15"/>
  <c r="AD45" i="15"/>
  <c r="AD52" i="15"/>
  <c r="AD59" i="15"/>
  <c r="AA69" i="15"/>
  <c r="AA123" i="15"/>
  <c r="AB24" i="16"/>
  <c r="AB75" i="18"/>
  <c r="AE29" i="15"/>
  <c r="AE30" i="15"/>
  <c r="AE25" i="15"/>
  <c r="AE26" i="15"/>
  <c r="AE33" i="15"/>
  <c r="AE34" i="15"/>
  <c r="AD44" i="15"/>
  <c r="AD51" i="15"/>
  <c r="AD58" i="15"/>
  <c r="AB44" i="16"/>
  <c r="Y133" i="15"/>
  <c r="Y138" i="15"/>
  <c r="AC93" i="15"/>
  <c r="AC67" i="15"/>
  <c r="Y20" i="18"/>
  <c r="AB19" i="18"/>
  <c r="X15" i="18"/>
  <c r="W138" i="16"/>
  <c r="X135" i="16"/>
  <c r="Z124" i="15"/>
  <c r="Z133" i="15"/>
  <c r="Y12" i="18"/>
  <c r="Y137" i="15"/>
  <c r="Z127" i="9"/>
  <c r="X137" i="15"/>
  <c r="X140" i="15"/>
  <c r="AB130" i="16"/>
  <c r="AC58" i="16"/>
  <c r="AD22" i="16"/>
  <c r="AD65" i="16"/>
  <c r="AC109" i="16"/>
  <c r="AA115" i="15"/>
  <c r="AB136" i="16"/>
  <c r="AC88" i="16"/>
  <c r="Y113" i="15"/>
  <c r="Y117" i="15"/>
  <c r="Y72" i="18"/>
  <c r="AA114" i="15"/>
  <c r="AB94" i="15"/>
  <c r="AB108" i="15"/>
  <c r="AC65" i="16"/>
  <c r="AC54" i="15"/>
  <c r="AC61" i="15"/>
  <c r="AE15" i="15"/>
  <c r="AC24" i="16"/>
  <c r="Y15" i="18"/>
  <c r="AB68" i="15"/>
  <c r="AB102" i="15"/>
  <c r="AB66" i="15"/>
  <c r="AB100" i="15"/>
  <c r="W73" i="18"/>
  <c r="W138" i="15"/>
  <c r="AB107" i="15"/>
  <c r="AC44" i="16"/>
  <c r="AB101" i="15"/>
  <c r="AC86" i="15"/>
  <c r="AA62" i="15"/>
  <c r="AA122" i="15"/>
  <c r="AA92" i="15"/>
  <c r="AD128" i="15"/>
  <c r="AD130" i="15"/>
  <c r="AD129" i="15"/>
  <c r="AD127" i="15"/>
  <c r="AG38" i="15"/>
  <c r="AF14" i="16"/>
  <c r="AC87" i="15"/>
  <c r="AC48" i="15"/>
  <c r="X55" i="18"/>
  <c r="AC88" i="15"/>
  <c r="AD20" i="16"/>
  <c r="AD74" i="15"/>
  <c r="AD80" i="15"/>
  <c r="AD76" i="15"/>
  <c r="AD82" i="15"/>
  <c r="AD75" i="15"/>
  <c r="AD81" i="15"/>
  <c r="AD87" i="15"/>
  <c r="AD73" i="15"/>
  <c r="AD79" i="15"/>
  <c r="AD23" i="16"/>
  <c r="AD109" i="16"/>
  <c r="AD19" i="16"/>
  <c r="AD81" i="16"/>
  <c r="AB65" i="15"/>
  <c r="AB55" i="15"/>
  <c r="Z96" i="15"/>
  <c r="Z106" i="15"/>
  <c r="Z110" i="15"/>
  <c r="Z14" i="18"/>
  <c r="AA109" i="15"/>
  <c r="AA116" i="15"/>
  <c r="AC85" i="15"/>
  <c r="AA99" i="15"/>
  <c r="AA103" i="15"/>
  <c r="AA13" i="18"/>
  <c r="AB109" i="15"/>
  <c r="AC131" i="15"/>
  <c r="AN63" i="18"/>
  <c r="AH7" i="18"/>
  <c r="AH6" i="18"/>
  <c r="AF6" i="17"/>
  <c r="AF7" i="17"/>
  <c r="AF18" i="17"/>
  <c r="AF19" i="17"/>
  <c r="AD58" i="16"/>
  <c r="AD95" i="16"/>
  <c r="AE36" i="16"/>
  <c r="AE30" i="16"/>
  <c r="AE118" i="16"/>
  <c r="AF7" i="16"/>
  <c r="AF6" i="16"/>
  <c r="AE21" i="15"/>
  <c r="AE22" i="15"/>
  <c r="AE17" i="15"/>
  <c r="AE18" i="15"/>
  <c r="AE12" i="15"/>
  <c r="AE13" i="15"/>
  <c r="AE36" i="15"/>
  <c r="AE11" i="16"/>
  <c r="AE37" i="15"/>
  <c r="AE12" i="16"/>
  <c r="AF7" i="15"/>
  <c r="AF6" i="15"/>
  <c r="AE47" i="15"/>
  <c r="AE45" i="15"/>
  <c r="AE44" i="15"/>
  <c r="AE51" i="15"/>
  <c r="AE58" i="15"/>
  <c r="AA124" i="15"/>
  <c r="AA133" i="15"/>
  <c r="AE46" i="15"/>
  <c r="AF33" i="15"/>
  <c r="AF34" i="15"/>
  <c r="AF29" i="15"/>
  <c r="AF30" i="15"/>
  <c r="AF25" i="15"/>
  <c r="AF26" i="15"/>
  <c r="Y73" i="18"/>
  <c r="Y140" i="15"/>
  <c r="X44" i="18"/>
  <c r="X22" i="18"/>
  <c r="AC95" i="15"/>
  <c r="AC109" i="15"/>
  <c r="Y22" i="18"/>
  <c r="AC130" i="16"/>
  <c r="AC75" i="18"/>
  <c r="Z18" i="18"/>
  <c r="AC19" i="18"/>
  <c r="X141" i="15"/>
  <c r="X142" i="15"/>
  <c r="X138" i="16"/>
  <c r="Y135" i="16"/>
  <c r="Z12" i="18"/>
  <c r="Z15" i="18"/>
  <c r="Z137" i="15"/>
  <c r="Z140" i="15"/>
  <c r="AA127" i="9"/>
  <c r="AD102" i="16"/>
  <c r="AC136" i="16"/>
  <c r="AE124" i="16"/>
  <c r="AD72" i="16"/>
  <c r="AE21" i="16"/>
  <c r="AE95" i="16"/>
  <c r="AE20" i="16"/>
  <c r="AE51" i="16"/>
  <c r="AB116" i="15"/>
  <c r="AD24" i="16"/>
  <c r="AD44" i="16"/>
  <c r="AB114" i="15"/>
  <c r="Y44" i="18"/>
  <c r="AD88" i="16"/>
  <c r="AB115" i="15"/>
  <c r="AE23" i="16"/>
  <c r="AE72" i="16"/>
  <c r="AE19" i="16"/>
  <c r="AE81" i="16"/>
  <c r="AD51" i="16"/>
  <c r="Z113" i="15"/>
  <c r="Z117" i="15"/>
  <c r="Z72" i="18"/>
  <c r="AC66" i="15"/>
  <c r="AC100" i="15"/>
  <c r="AD54" i="15"/>
  <c r="AD61" i="15"/>
  <c r="AE22" i="16"/>
  <c r="AE65" i="16"/>
  <c r="AB69" i="15"/>
  <c r="AC94" i="15"/>
  <c r="AC108" i="15"/>
  <c r="AC101" i="15"/>
  <c r="W55" i="18"/>
  <c r="W141" i="15"/>
  <c r="W142" i="15"/>
  <c r="AA106" i="15"/>
  <c r="AA110" i="15"/>
  <c r="AA14" i="18"/>
  <c r="AA96" i="15"/>
  <c r="AB99" i="15"/>
  <c r="AB103" i="15"/>
  <c r="AB13" i="18"/>
  <c r="AD88" i="15"/>
  <c r="AD131" i="15"/>
  <c r="AC107" i="15"/>
  <c r="AE54" i="15"/>
  <c r="AE61" i="15"/>
  <c r="AE52" i="15"/>
  <c r="AE59" i="15"/>
  <c r="AD86" i="15"/>
  <c r="AD94" i="15"/>
  <c r="AC55" i="15"/>
  <c r="AC92" i="15"/>
  <c r="AE128" i="15"/>
  <c r="AE130" i="15"/>
  <c r="AE127" i="15"/>
  <c r="AE129" i="15"/>
  <c r="AD93" i="15"/>
  <c r="AE74" i="15"/>
  <c r="AE80" i="15"/>
  <c r="AE76" i="15"/>
  <c r="AE82" i="15"/>
  <c r="AE73" i="15"/>
  <c r="AE79" i="15"/>
  <c r="AE75" i="15"/>
  <c r="AE81" i="15"/>
  <c r="AB62" i="15"/>
  <c r="AB122" i="15"/>
  <c r="AB92" i="15"/>
  <c r="AD85" i="15"/>
  <c r="Z138" i="15"/>
  <c r="Z73" i="18"/>
  <c r="AD48" i="15"/>
  <c r="Y55" i="18"/>
  <c r="Y141" i="15"/>
  <c r="AH38" i="15"/>
  <c r="AG14" i="16"/>
  <c r="AO63" i="18"/>
  <c r="AI6" i="18"/>
  <c r="AI7" i="18"/>
  <c r="AG7" i="17"/>
  <c r="AG18" i="17"/>
  <c r="AG19" i="17"/>
  <c r="AG6" i="17"/>
  <c r="AF36" i="16"/>
  <c r="AF124" i="16"/>
  <c r="AF30" i="16"/>
  <c r="AF118" i="16"/>
  <c r="AG6" i="16"/>
  <c r="AG7" i="16"/>
  <c r="AF17" i="15"/>
  <c r="AF18" i="15"/>
  <c r="AF21" i="15"/>
  <c r="AF22" i="15"/>
  <c r="AF12" i="15"/>
  <c r="AF13" i="15"/>
  <c r="AF36" i="15"/>
  <c r="AF11" i="16"/>
  <c r="AF37" i="15"/>
  <c r="AF12" i="16"/>
  <c r="AF15" i="15"/>
  <c r="AF20" i="16"/>
  <c r="AG6" i="15"/>
  <c r="AG7" i="15"/>
  <c r="AA18" i="18"/>
  <c r="AA20" i="18"/>
  <c r="AF44" i="15"/>
  <c r="AF47" i="15"/>
  <c r="AG33" i="15"/>
  <c r="AG34" i="15"/>
  <c r="AG29" i="15"/>
  <c r="AG30" i="15"/>
  <c r="AG25" i="15"/>
  <c r="AF46" i="15"/>
  <c r="AF53" i="15"/>
  <c r="AF60" i="15"/>
  <c r="AF45" i="15"/>
  <c r="Y142" i="15"/>
  <c r="Y74" i="18"/>
  <c r="AG26" i="15"/>
  <c r="AC68" i="15"/>
  <c r="AC102" i="15"/>
  <c r="AC116" i="15"/>
  <c r="AD136" i="16"/>
  <c r="AB123" i="15"/>
  <c r="AB124" i="15"/>
  <c r="AB133" i="15"/>
  <c r="Z20" i="18"/>
  <c r="Z22" i="18"/>
  <c r="W74" i="18"/>
  <c r="AD19" i="18"/>
  <c r="AD75" i="18"/>
  <c r="X74" i="18"/>
  <c r="Y138" i="16"/>
  <c r="Z135" i="16"/>
  <c r="AA12" i="18"/>
  <c r="AA15" i="18"/>
  <c r="AA137" i="15"/>
  <c r="AA140" i="15"/>
  <c r="AC115" i="15"/>
  <c r="AB127" i="9"/>
  <c r="AE102" i="16"/>
  <c r="AE58" i="16"/>
  <c r="AE88" i="16"/>
  <c r="AD130" i="16"/>
  <c r="AD68" i="15"/>
  <c r="AD102" i="15"/>
  <c r="AD95" i="15"/>
  <c r="AD109" i="15"/>
  <c r="AE109" i="16"/>
  <c r="AC114" i="15"/>
  <c r="AA113" i="15"/>
  <c r="AA117" i="15"/>
  <c r="AA72" i="18"/>
  <c r="AE24" i="16"/>
  <c r="AF23" i="16"/>
  <c r="AF72" i="16"/>
  <c r="AE44" i="16"/>
  <c r="AE53" i="15"/>
  <c r="AE60" i="15"/>
  <c r="AF22" i="16"/>
  <c r="AF102" i="16"/>
  <c r="Z44" i="18"/>
  <c r="AD107" i="15"/>
  <c r="AI38" i="15"/>
  <c r="AH14" i="16"/>
  <c r="Z55" i="18"/>
  <c r="Z141" i="15"/>
  <c r="Z142" i="15"/>
  <c r="AB106" i="15"/>
  <c r="AB110" i="15"/>
  <c r="AB14" i="18"/>
  <c r="AB96" i="15"/>
  <c r="AE88" i="15"/>
  <c r="AD66" i="15"/>
  <c r="AD100" i="15"/>
  <c r="AE131" i="15"/>
  <c r="AE48" i="15"/>
  <c r="AF54" i="15"/>
  <c r="AF61" i="15"/>
  <c r="AF51" i="15"/>
  <c r="AF58" i="15"/>
  <c r="AE85" i="15"/>
  <c r="AF21" i="16"/>
  <c r="AF58" i="16"/>
  <c r="AC62" i="15"/>
  <c r="AE86" i="15"/>
  <c r="AC65" i="15"/>
  <c r="AE93" i="15"/>
  <c r="AC106" i="15"/>
  <c r="AC110" i="15"/>
  <c r="AC14" i="18"/>
  <c r="AC96" i="15"/>
  <c r="AD108" i="15"/>
  <c r="AA138" i="15"/>
  <c r="AA73" i="18"/>
  <c r="AF73" i="15"/>
  <c r="AF79" i="15"/>
  <c r="AF75" i="15"/>
  <c r="AF81" i="15"/>
  <c r="AF74" i="15"/>
  <c r="AF80" i="15"/>
  <c r="AF76" i="15"/>
  <c r="AF82" i="15"/>
  <c r="AF88" i="15"/>
  <c r="AF127" i="15"/>
  <c r="AF129" i="15"/>
  <c r="AF130" i="15"/>
  <c r="AF128" i="15"/>
  <c r="AF19" i="16"/>
  <c r="AF81" i="16"/>
  <c r="AD55" i="15"/>
  <c r="AD65" i="15"/>
  <c r="AE87" i="15"/>
  <c r="AD67" i="15"/>
  <c r="AD101" i="15"/>
  <c r="AE95" i="15"/>
  <c r="AP63" i="18"/>
  <c r="AJ6" i="18"/>
  <c r="AJ7" i="18"/>
  <c r="AH7" i="17"/>
  <c r="AH18" i="17"/>
  <c r="AH19" i="17"/>
  <c r="AH6" i="17"/>
  <c r="AF51" i="16"/>
  <c r="AF88" i="16"/>
  <c r="AG30" i="16"/>
  <c r="AG118" i="16"/>
  <c r="AG36" i="16"/>
  <c r="AG124" i="16"/>
  <c r="AH7" i="16"/>
  <c r="AH6" i="16"/>
  <c r="AG17" i="15"/>
  <c r="AG18" i="15"/>
  <c r="AG21" i="15"/>
  <c r="AG22" i="15"/>
  <c r="AG15" i="15"/>
  <c r="AG19" i="16"/>
  <c r="AG81" i="16"/>
  <c r="AG12" i="15"/>
  <c r="AG13" i="15"/>
  <c r="AG36" i="15"/>
  <c r="AG11" i="16"/>
  <c r="AG37" i="15"/>
  <c r="AG12" i="16"/>
  <c r="AH7" i="15"/>
  <c r="AH6" i="15"/>
  <c r="AA22" i="18"/>
  <c r="AG47" i="15"/>
  <c r="AG46" i="15"/>
  <c r="AG44" i="15"/>
  <c r="AG45" i="15"/>
  <c r="AG52" i="15"/>
  <c r="AG59" i="15"/>
  <c r="AH25" i="15"/>
  <c r="AH26" i="15"/>
  <c r="AH33" i="15"/>
  <c r="AH34" i="15"/>
  <c r="AH29" i="15"/>
  <c r="AH30" i="15"/>
  <c r="AE130" i="16"/>
  <c r="AE94" i="15"/>
  <c r="AE108" i="15"/>
  <c r="AC122" i="15"/>
  <c r="AE19" i="18"/>
  <c r="Z74" i="18"/>
  <c r="AE75" i="18"/>
  <c r="AB18" i="18"/>
  <c r="Z138" i="16"/>
  <c r="AA135" i="16"/>
  <c r="AC12" i="18"/>
  <c r="AC137" i="15"/>
  <c r="AB12" i="18"/>
  <c r="AB15" i="18"/>
  <c r="AB137" i="15"/>
  <c r="AB44" i="18"/>
  <c r="AC127" i="9"/>
  <c r="AE136" i="16"/>
  <c r="AF109" i="16"/>
  <c r="AF95" i="16"/>
  <c r="AF65" i="16"/>
  <c r="AD115" i="15"/>
  <c r="AA44" i="18"/>
  <c r="AD116" i="15"/>
  <c r="AD114" i="15"/>
  <c r="AG20" i="16"/>
  <c r="AG88" i="16"/>
  <c r="AF24" i="16"/>
  <c r="AF131" i="15"/>
  <c r="AD69" i="15"/>
  <c r="AD123" i="15"/>
  <c r="AF52" i="15"/>
  <c r="AF59" i="15"/>
  <c r="AE66" i="15"/>
  <c r="AE100" i="15"/>
  <c r="AB113" i="15"/>
  <c r="AB117" i="15"/>
  <c r="AB72" i="18"/>
  <c r="AE68" i="15"/>
  <c r="AE102" i="15"/>
  <c r="AE107" i="15"/>
  <c r="AE109" i="15"/>
  <c r="AF48" i="15"/>
  <c r="AD62" i="15"/>
  <c r="AD122" i="15"/>
  <c r="AD92" i="15"/>
  <c r="AF67" i="15"/>
  <c r="AG53" i="15"/>
  <c r="AG60" i="15"/>
  <c r="AG51" i="15"/>
  <c r="AG58" i="15"/>
  <c r="AF85" i="15"/>
  <c r="AG73" i="15"/>
  <c r="AG79" i="15"/>
  <c r="AG75" i="15"/>
  <c r="AG81" i="15"/>
  <c r="AG76" i="15"/>
  <c r="AG82" i="15"/>
  <c r="AG74" i="15"/>
  <c r="AG80" i="15"/>
  <c r="AG23" i="16"/>
  <c r="AG109" i="16"/>
  <c r="AG22" i="16"/>
  <c r="AG65" i="16"/>
  <c r="AF44" i="16"/>
  <c r="AF86" i="15"/>
  <c r="AA55" i="18"/>
  <c r="AA141" i="15"/>
  <c r="AA142" i="15"/>
  <c r="AF95" i="15"/>
  <c r="AE55" i="15"/>
  <c r="AG127" i="15"/>
  <c r="AG129" i="15"/>
  <c r="AG130" i="15"/>
  <c r="AG128" i="15"/>
  <c r="AG21" i="16"/>
  <c r="AG95" i="16"/>
  <c r="AF87" i="15"/>
  <c r="AC69" i="15"/>
  <c r="AC99" i="15"/>
  <c r="AB138" i="15"/>
  <c r="AB73" i="18"/>
  <c r="AD99" i="15"/>
  <c r="AD103" i="15"/>
  <c r="AD13" i="18"/>
  <c r="AJ38" i="15"/>
  <c r="AI14" i="16"/>
  <c r="AQ63" i="18"/>
  <c r="AK7" i="18"/>
  <c r="AK6" i="18"/>
  <c r="AI7" i="17"/>
  <c r="AI18" i="17"/>
  <c r="AI19" i="17"/>
  <c r="AI6" i="17"/>
  <c r="AG44" i="16"/>
  <c r="AH30" i="16"/>
  <c r="AH118" i="16"/>
  <c r="AH36" i="16"/>
  <c r="AH124" i="16"/>
  <c r="AI7" i="16"/>
  <c r="AI6" i="16"/>
  <c r="AH21" i="15"/>
  <c r="AH22" i="15"/>
  <c r="AH17" i="15"/>
  <c r="AH18" i="15"/>
  <c r="AH13" i="15"/>
  <c r="AH12" i="15"/>
  <c r="AH36" i="15"/>
  <c r="AH11" i="16"/>
  <c r="AH37" i="15"/>
  <c r="AH12" i="16"/>
  <c r="AH15" i="15"/>
  <c r="AH21" i="16"/>
  <c r="AI7" i="15"/>
  <c r="AI6" i="15"/>
  <c r="AH46" i="15"/>
  <c r="AH45" i="15"/>
  <c r="AH47" i="15"/>
  <c r="AH54" i="15"/>
  <c r="AH61" i="15"/>
  <c r="AD124" i="15"/>
  <c r="AD133" i="15"/>
  <c r="AI29" i="15"/>
  <c r="AI25" i="15"/>
  <c r="AI26" i="15"/>
  <c r="AI33" i="15"/>
  <c r="AI34" i="15"/>
  <c r="AH44" i="15"/>
  <c r="AH51" i="15"/>
  <c r="AH58" i="15"/>
  <c r="AI30" i="15"/>
  <c r="AE67" i="15"/>
  <c r="AE101" i="15"/>
  <c r="AE115" i="15"/>
  <c r="AF66" i="15"/>
  <c r="AF100" i="15"/>
  <c r="AG66" i="15"/>
  <c r="AG67" i="15"/>
  <c r="AC123" i="15"/>
  <c r="AC124" i="15"/>
  <c r="AC18" i="18"/>
  <c r="AB20" i="18"/>
  <c r="AB22" i="18"/>
  <c r="AF19" i="18"/>
  <c r="AF75" i="18"/>
  <c r="AA74" i="18"/>
  <c r="AA138" i="16"/>
  <c r="AB135" i="16"/>
  <c r="AB140" i="15"/>
  <c r="AD127" i="9"/>
  <c r="AE114" i="15"/>
  <c r="AF136" i="16"/>
  <c r="AF130" i="16"/>
  <c r="AG51" i="16"/>
  <c r="AG58" i="16"/>
  <c r="AC140" i="15"/>
  <c r="AC44" i="18"/>
  <c r="AE116" i="15"/>
  <c r="AG102" i="16"/>
  <c r="AG136" i="16"/>
  <c r="AG24" i="16"/>
  <c r="AH23" i="16"/>
  <c r="AH72" i="16"/>
  <c r="AH22" i="16"/>
  <c r="AH65" i="16"/>
  <c r="AG72" i="16"/>
  <c r="AG54" i="15"/>
  <c r="AG61" i="15"/>
  <c r="AG131" i="15"/>
  <c r="AC103" i="15"/>
  <c r="AC13" i="18"/>
  <c r="AC15" i="18"/>
  <c r="AC113" i="15"/>
  <c r="AC117" i="15"/>
  <c r="AC72" i="18"/>
  <c r="AB55" i="18"/>
  <c r="AB141" i="15"/>
  <c r="AF94" i="15"/>
  <c r="AE65" i="15"/>
  <c r="AE62" i="15"/>
  <c r="AE92" i="15"/>
  <c r="AG85" i="15"/>
  <c r="AF65" i="15"/>
  <c r="AF55" i="15"/>
  <c r="AD96" i="15"/>
  <c r="AD106" i="15"/>
  <c r="AD110" i="15"/>
  <c r="AD14" i="18"/>
  <c r="AH19" i="16"/>
  <c r="AH81" i="16"/>
  <c r="AF101" i="15"/>
  <c r="AF68" i="15"/>
  <c r="AF102" i="15"/>
  <c r="AG86" i="15"/>
  <c r="AH74" i="15"/>
  <c r="AH80" i="15"/>
  <c r="AH76" i="15"/>
  <c r="AH82" i="15"/>
  <c r="AH73" i="15"/>
  <c r="AH79" i="15"/>
  <c r="AH75" i="15"/>
  <c r="AH81" i="15"/>
  <c r="AH87" i="15"/>
  <c r="AG87" i="15"/>
  <c r="AH53" i="15"/>
  <c r="AH60" i="15"/>
  <c r="AH52" i="15"/>
  <c r="AH59" i="15"/>
  <c r="AH128" i="15"/>
  <c r="AH130" i="15"/>
  <c r="AH129" i="15"/>
  <c r="AH127" i="15"/>
  <c r="AH20" i="16"/>
  <c r="AH88" i="16"/>
  <c r="AK38" i="15"/>
  <c r="AJ14" i="16"/>
  <c r="AF109" i="15"/>
  <c r="AG88" i="15"/>
  <c r="AG48" i="15"/>
  <c r="AR63" i="18"/>
  <c r="AL7" i="18"/>
  <c r="AL6" i="18"/>
  <c r="AJ6" i="17"/>
  <c r="AJ7" i="17"/>
  <c r="AJ18" i="17"/>
  <c r="AJ19" i="17"/>
  <c r="AH58" i="16"/>
  <c r="AH95" i="16"/>
  <c r="AI36" i="16"/>
  <c r="AI124" i="16"/>
  <c r="AI30" i="16"/>
  <c r="AI118" i="16"/>
  <c r="AJ7" i="16"/>
  <c r="AJ6" i="16"/>
  <c r="AI15" i="15"/>
  <c r="AI20" i="16"/>
  <c r="AI21" i="15"/>
  <c r="AI22" i="15"/>
  <c r="AI17" i="15"/>
  <c r="AI18" i="15"/>
  <c r="AI12" i="15"/>
  <c r="AI13" i="15"/>
  <c r="AI36" i="15"/>
  <c r="AI11" i="16"/>
  <c r="AI37" i="15"/>
  <c r="AI12" i="16"/>
  <c r="AJ7" i="15"/>
  <c r="AJ6" i="15"/>
  <c r="AI47" i="15"/>
  <c r="AD18" i="18"/>
  <c r="AD20" i="18"/>
  <c r="AI45" i="15"/>
  <c r="AI52" i="15"/>
  <c r="AI59" i="15"/>
  <c r="AJ33" i="15"/>
  <c r="AJ34" i="15"/>
  <c r="AJ29" i="15"/>
  <c r="AJ30" i="15"/>
  <c r="AJ25" i="15"/>
  <c r="AI44" i="15"/>
  <c r="AI51" i="15"/>
  <c r="AI58" i="15"/>
  <c r="AI46" i="15"/>
  <c r="AF93" i="15"/>
  <c r="AF107" i="15"/>
  <c r="AB142" i="15"/>
  <c r="AB74" i="18"/>
  <c r="AJ26" i="15"/>
  <c r="AC133" i="15"/>
  <c r="AC73" i="18"/>
  <c r="AE122" i="15"/>
  <c r="AG68" i="15"/>
  <c r="AG102" i="15"/>
  <c r="AC20" i="18"/>
  <c r="AC22" i="18"/>
  <c r="AG75" i="18"/>
  <c r="AG19" i="18"/>
  <c r="AB138" i="16"/>
  <c r="AC135" i="16"/>
  <c r="AD12" i="18"/>
  <c r="AD15" i="18"/>
  <c r="AD22" i="18"/>
  <c r="AD137" i="15"/>
  <c r="AD44" i="18"/>
  <c r="AE127" i="9"/>
  <c r="AH102" i="16"/>
  <c r="AG130" i="16"/>
  <c r="AH109" i="16"/>
  <c r="AH44" i="16"/>
  <c r="AH51" i="16"/>
  <c r="AG94" i="15"/>
  <c r="AG108" i="15"/>
  <c r="AH24" i="16"/>
  <c r="AI22" i="16"/>
  <c r="AI102" i="16"/>
  <c r="AF116" i="15"/>
  <c r="AD113" i="15"/>
  <c r="AD117" i="15"/>
  <c r="AD72" i="18"/>
  <c r="AF69" i="15"/>
  <c r="AF123" i="15"/>
  <c r="AF99" i="15"/>
  <c r="AF103" i="15"/>
  <c r="AF13" i="18"/>
  <c r="AG100" i="15"/>
  <c r="AH94" i="15"/>
  <c r="AH108" i="15"/>
  <c r="AH67" i="15"/>
  <c r="AH101" i="15"/>
  <c r="AG101" i="15"/>
  <c r="AH88" i="15"/>
  <c r="AD138" i="15"/>
  <c r="AD73" i="18"/>
  <c r="AG93" i="15"/>
  <c r="AF108" i="15"/>
  <c r="AF115" i="15"/>
  <c r="AG55" i="15"/>
  <c r="AH95" i="15"/>
  <c r="AI128" i="15"/>
  <c r="AI130" i="15"/>
  <c r="AI129" i="15"/>
  <c r="AI127" i="15"/>
  <c r="AI21" i="16"/>
  <c r="AI95" i="16"/>
  <c r="AL38" i="15"/>
  <c r="AK14" i="16"/>
  <c r="AH66" i="15"/>
  <c r="AH85" i="15"/>
  <c r="AE69" i="15"/>
  <c r="AE99" i="15"/>
  <c r="AE103" i="15"/>
  <c r="AE13" i="18"/>
  <c r="AI23" i="16"/>
  <c r="AI72" i="16"/>
  <c r="AI74" i="15"/>
  <c r="AI80" i="15"/>
  <c r="AI86" i="15"/>
  <c r="AI76" i="15"/>
  <c r="AI82" i="15"/>
  <c r="AI75" i="15"/>
  <c r="AI81" i="15"/>
  <c r="AI73" i="15"/>
  <c r="AI79" i="15"/>
  <c r="AI19" i="16"/>
  <c r="AI81" i="16"/>
  <c r="AH131" i="15"/>
  <c r="AH48" i="15"/>
  <c r="AH86" i="15"/>
  <c r="AF62" i="15"/>
  <c r="AF122" i="15"/>
  <c r="AF92" i="15"/>
  <c r="AE106" i="15"/>
  <c r="AE110" i="15"/>
  <c r="AE14" i="18"/>
  <c r="AE96" i="15"/>
  <c r="AS63" i="18"/>
  <c r="AM7" i="18"/>
  <c r="AM6" i="18"/>
  <c r="AK7" i="17"/>
  <c r="AK18" i="17"/>
  <c r="AK19" i="17"/>
  <c r="AK6" i="17"/>
  <c r="AI51" i="16"/>
  <c r="AI88" i="16"/>
  <c r="AJ36" i="16"/>
  <c r="AJ124" i="16"/>
  <c r="AJ30" i="16"/>
  <c r="AJ118" i="16"/>
  <c r="AK6" i="16"/>
  <c r="AK7" i="16"/>
  <c r="AJ12" i="15"/>
  <c r="AJ13" i="15"/>
  <c r="AJ36" i="15"/>
  <c r="AJ11" i="16"/>
  <c r="AJ37" i="15"/>
  <c r="AJ12" i="16"/>
  <c r="AJ15" i="15"/>
  <c r="AJ19" i="16"/>
  <c r="AJ81" i="16"/>
  <c r="AJ17" i="15"/>
  <c r="AJ18" i="15"/>
  <c r="AJ21" i="15"/>
  <c r="AJ22" i="15"/>
  <c r="AJ44" i="15"/>
  <c r="AK6" i="15"/>
  <c r="AK7" i="15"/>
  <c r="AJ47" i="15"/>
  <c r="AJ46" i="15"/>
  <c r="AF114" i="15"/>
  <c r="AJ45" i="15"/>
  <c r="AK29" i="15"/>
  <c r="AK33" i="15"/>
  <c r="AK34" i="15"/>
  <c r="AK25" i="15"/>
  <c r="AK26" i="15"/>
  <c r="AC138" i="15"/>
  <c r="AC141" i="15"/>
  <c r="AC142" i="15"/>
  <c r="AK30" i="15"/>
  <c r="AI93" i="15"/>
  <c r="AD140" i="15"/>
  <c r="AG95" i="15"/>
  <c r="AG109" i="15"/>
  <c r="AE123" i="15"/>
  <c r="AE124" i="15"/>
  <c r="AE133" i="15"/>
  <c r="AH19" i="18"/>
  <c r="AH75" i="18"/>
  <c r="AC138" i="16"/>
  <c r="AD135" i="16"/>
  <c r="AF127" i="9"/>
  <c r="AE12" i="18"/>
  <c r="AE15" i="18"/>
  <c r="AE137" i="15"/>
  <c r="AE140" i="15"/>
  <c r="AH136" i="16"/>
  <c r="AH130" i="16"/>
  <c r="AI109" i="16"/>
  <c r="AI136" i="16"/>
  <c r="AF124" i="15"/>
  <c r="AF133" i="15"/>
  <c r="AI58" i="16"/>
  <c r="AI24" i="16"/>
  <c r="AH115" i="15"/>
  <c r="AI65" i="16"/>
  <c r="AI54" i="15"/>
  <c r="AI61" i="15"/>
  <c r="AI131" i="15"/>
  <c r="AI53" i="15"/>
  <c r="AI60" i="15"/>
  <c r="AG115" i="15"/>
  <c r="AE113" i="15"/>
  <c r="AE117" i="15"/>
  <c r="AE72" i="18"/>
  <c r="AH68" i="15"/>
  <c r="AH102" i="15"/>
  <c r="AH109" i="15"/>
  <c r="AJ73" i="15"/>
  <c r="AJ79" i="15"/>
  <c r="AJ75" i="15"/>
  <c r="AJ81" i="15"/>
  <c r="AJ76" i="15"/>
  <c r="AJ82" i="15"/>
  <c r="AJ88" i="15"/>
  <c r="AJ74" i="15"/>
  <c r="AJ80" i="15"/>
  <c r="AJ127" i="15"/>
  <c r="AJ129" i="15"/>
  <c r="AJ128" i="15"/>
  <c r="AJ130" i="15"/>
  <c r="AJ21" i="16"/>
  <c r="AJ20" i="16"/>
  <c r="AJ51" i="16"/>
  <c r="AI48" i="15"/>
  <c r="AJ23" i="16"/>
  <c r="AJ109" i="16"/>
  <c r="AI44" i="16"/>
  <c r="AH93" i="15"/>
  <c r="AI85" i="15"/>
  <c r="AM38" i="15"/>
  <c r="AL14" i="16"/>
  <c r="AG62" i="15"/>
  <c r="AG92" i="15"/>
  <c r="AD55" i="18"/>
  <c r="AF106" i="15"/>
  <c r="AF110" i="15"/>
  <c r="AF14" i="18"/>
  <c r="AF96" i="15"/>
  <c r="AI88" i="15"/>
  <c r="AG107" i="15"/>
  <c r="AG114" i="15"/>
  <c r="AJ54" i="15"/>
  <c r="AJ61" i="15"/>
  <c r="AJ51" i="15"/>
  <c r="AJ58" i="15"/>
  <c r="AJ53" i="15"/>
  <c r="AJ60" i="15"/>
  <c r="AJ22" i="16"/>
  <c r="AJ102" i="16"/>
  <c r="AH100" i="15"/>
  <c r="AH55" i="15"/>
  <c r="AH65" i="15"/>
  <c r="AI87" i="15"/>
  <c r="AG65" i="15"/>
  <c r="AT63" i="18"/>
  <c r="AN7" i="18"/>
  <c r="AN6" i="18"/>
  <c r="AL6" i="17"/>
  <c r="AL7" i="17"/>
  <c r="AL18" i="17"/>
  <c r="AL19" i="17"/>
  <c r="AK30" i="16"/>
  <c r="AK118" i="16"/>
  <c r="AK36" i="16"/>
  <c r="AK124" i="16"/>
  <c r="AL7" i="16"/>
  <c r="AL6" i="16"/>
  <c r="AJ44" i="16"/>
  <c r="AK12" i="15"/>
  <c r="AK13" i="15"/>
  <c r="AK36" i="15"/>
  <c r="AK11" i="16"/>
  <c r="AK37" i="15"/>
  <c r="AK12" i="16"/>
  <c r="AK15" i="15"/>
  <c r="AK19" i="16"/>
  <c r="AK81" i="16"/>
  <c r="AK17" i="15"/>
  <c r="AK18" i="15"/>
  <c r="AK21" i="15"/>
  <c r="AK22" i="15"/>
  <c r="AK44" i="15"/>
  <c r="AL6" i="15"/>
  <c r="AL7" i="15"/>
  <c r="AK47" i="15"/>
  <c r="AK46" i="15"/>
  <c r="AC55" i="18"/>
  <c r="AL25" i="15"/>
  <c r="AL26" i="15"/>
  <c r="AL33" i="15"/>
  <c r="AL34" i="15"/>
  <c r="AL29" i="15"/>
  <c r="AL30" i="15"/>
  <c r="AK45" i="15"/>
  <c r="AD141" i="15"/>
  <c r="AD142" i="15"/>
  <c r="AD74" i="18"/>
  <c r="AG116" i="15"/>
  <c r="AG122" i="15"/>
  <c r="AI68" i="15"/>
  <c r="AI102" i="15"/>
  <c r="AE18" i="18"/>
  <c r="AE20" i="18"/>
  <c r="AE22" i="18"/>
  <c r="AF18" i="18"/>
  <c r="AF20" i="18"/>
  <c r="AE138" i="15"/>
  <c r="AE55" i="18"/>
  <c r="AI19" i="18"/>
  <c r="AI75" i="18"/>
  <c r="AC74" i="18"/>
  <c r="AD138" i="16"/>
  <c r="AE135" i="16"/>
  <c r="AF12" i="18"/>
  <c r="AF15" i="18"/>
  <c r="AF137" i="15"/>
  <c r="AF140" i="15"/>
  <c r="AG127" i="9"/>
  <c r="AI130" i="16"/>
  <c r="AJ72" i="16"/>
  <c r="AJ65" i="16"/>
  <c r="AJ24" i="16"/>
  <c r="AK23" i="16"/>
  <c r="AK72" i="16"/>
  <c r="AJ95" i="16"/>
  <c r="AK22" i="16"/>
  <c r="AK65" i="16"/>
  <c r="AJ58" i="16"/>
  <c r="AI94" i="15"/>
  <c r="AI108" i="15"/>
  <c r="AK21" i="16"/>
  <c r="AK58" i="16"/>
  <c r="AF113" i="15"/>
  <c r="AF117" i="15"/>
  <c r="AF72" i="18"/>
  <c r="AH116" i="15"/>
  <c r="AE73" i="18"/>
  <c r="AJ52" i="15"/>
  <c r="AJ59" i="15"/>
  <c r="AJ88" i="16"/>
  <c r="AH69" i="15"/>
  <c r="AH123" i="15"/>
  <c r="AI66" i="15"/>
  <c r="AI100" i="15"/>
  <c r="AE44" i="18"/>
  <c r="AI55" i="15"/>
  <c r="AK73" i="15"/>
  <c r="AK79" i="15"/>
  <c r="AK75" i="15"/>
  <c r="AK81" i="15"/>
  <c r="AK74" i="15"/>
  <c r="AK80" i="15"/>
  <c r="AK76" i="15"/>
  <c r="AK82" i="15"/>
  <c r="AH62" i="15"/>
  <c r="AH122" i="15"/>
  <c r="AH92" i="15"/>
  <c r="AH107" i="15"/>
  <c r="AH114" i="15"/>
  <c r="AJ85" i="15"/>
  <c r="AK127" i="15"/>
  <c r="AK129" i="15"/>
  <c r="AK128" i="15"/>
  <c r="AK130" i="15"/>
  <c r="AK20" i="16"/>
  <c r="AI107" i="15"/>
  <c r="AJ95" i="15"/>
  <c r="AG96" i="15"/>
  <c r="AG106" i="15"/>
  <c r="AG110" i="15"/>
  <c r="AG14" i="18"/>
  <c r="AH99" i="15"/>
  <c r="AH103" i="15"/>
  <c r="AH13" i="18"/>
  <c r="AJ86" i="15"/>
  <c r="AK52" i="15"/>
  <c r="AK59" i="15"/>
  <c r="AK51" i="15"/>
  <c r="AK58" i="15"/>
  <c r="AK53" i="15"/>
  <c r="AK60" i="15"/>
  <c r="AJ67" i="15"/>
  <c r="AF138" i="15"/>
  <c r="AF73" i="18"/>
  <c r="AJ131" i="15"/>
  <c r="AJ87" i="15"/>
  <c r="AG69" i="15"/>
  <c r="AG99" i="15"/>
  <c r="AG103" i="15"/>
  <c r="AG13" i="18"/>
  <c r="AJ48" i="15"/>
  <c r="AN38" i="15"/>
  <c r="AM14" i="16"/>
  <c r="AU63" i="18"/>
  <c r="AO7" i="18"/>
  <c r="AO6" i="18"/>
  <c r="AM7" i="17"/>
  <c r="AM18" i="17"/>
  <c r="AM19" i="17"/>
  <c r="AM6" i="17"/>
  <c r="AL30" i="16"/>
  <c r="AL118" i="16"/>
  <c r="AL36" i="16"/>
  <c r="AM7" i="16"/>
  <c r="AM6" i="16"/>
  <c r="AK44" i="16"/>
  <c r="AL15" i="15"/>
  <c r="AL23" i="16"/>
  <c r="AL13" i="15"/>
  <c r="AL12" i="15"/>
  <c r="AL36" i="15"/>
  <c r="AL11" i="16"/>
  <c r="AL37" i="15"/>
  <c r="AL12" i="16"/>
  <c r="AL21" i="15"/>
  <c r="AL22" i="15"/>
  <c r="AL17" i="15"/>
  <c r="AL18" i="15"/>
  <c r="AM7" i="15"/>
  <c r="AM6" i="15"/>
  <c r="AL46" i="15"/>
  <c r="AL47" i="15"/>
  <c r="AL45" i="15"/>
  <c r="AL44" i="15"/>
  <c r="AL51" i="15"/>
  <c r="AL58" i="15"/>
  <c r="AM29" i="15"/>
  <c r="AM30" i="15"/>
  <c r="AM25" i="15"/>
  <c r="AM26" i="15"/>
  <c r="AM33" i="15"/>
  <c r="AM34" i="15"/>
  <c r="AI95" i="15"/>
  <c r="AI109" i="15"/>
  <c r="AF22" i="18"/>
  <c r="AK102" i="16"/>
  <c r="AG123" i="15"/>
  <c r="AG124" i="15"/>
  <c r="AG18" i="18"/>
  <c r="AK66" i="15"/>
  <c r="AH124" i="15"/>
  <c r="AH133" i="15"/>
  <c r="AJ66" i="15"/>
  <c r="AJ100" i="15"/>
  <c r="AK67" i="15"/>
  <c r="AE141" i="15"/>
  <c r="AE142" i="15"/>
  <c r="AE74" i="18"/>
  <c r="AJ19" i="18"/>
  <c r="AJ75" i="18"/>
  <c r="AE138" i="16"/>
  <c r="AF135" i="16"/>
  <c r="AG12" i="18"/>
  <c r="AG15" i="18"/>
  <c r="AG137" i="15"/>
  <c r="AG140" i="15"/>
  <c r="AH127" i="9"/>
  <c r="AI31" i="16"/>
  <c r="AI119" i="16"/>
  <c r="AI24" i="18"/>
  <c r="AK95" i="16"/>
  <c r="AJ130" i="16"/>
  <c r="AK109" i="16"/>
  <c r="AL124" i="16"/>
  <c r="AF44" i="18"/>
  <c r="AK24" i="16"/>
  <c r="AJ136" i="16"/>
  <c r="AL22" i="16"/>
  <c r="AL102" i="16"/>
  <c r="AI67" i="15"/>
  <c r="AI101" i="15"/>
  <c r="AI115" i="15"/>
  <c r="AI114" i="15"/>
  <c r="AK54" i="15"/>
  <c r="AK61" i="15"/>
  <c r="AG113" i="15"/>
  <c r="AG117" i="15"/>
  <c r="AG72" i="18"/>
  <c r="AJ68" i="15"/>
  <c r="AJ102" i="15"/>
  <c r="AJ94" i="15"/>
  <c r="AJ108" i="15"/>
  <c r="AJ65" i="15"/>
  <c r="AJ55" i="15"/>
  <c r="AH106" i="15"/>
  <c r="AH110" i="15"/>
  <c r="AH14" i="18"/>
  <c r="AH96" i="15"/>
  <c r="AK88" i="16"/>
  <c r="AK131" i="15"/>
  <c r="AK85" i="15"/>
  <c r="AL128" i="15"/>
  <c r="AL130" i="15"/>
  <c r="AL127" i="15"/>
  <c r="AL129" i="15"/>
  <c r="AL20" i="16"/>
  <c r="AL51" i="16"/>
  <c r="AK51" i="16"/>
  <c r="AK130" i="16"/>
  <c r="AO38" i="15"/>
  <c r="AN14" i="16"/>
  <c r="AK48" i="15"/>
  <c r="AK88" i="15"/>
  <c r="AL74" i="15"/>
  <c r="AL80" i="15"/>
  <c r="AL76" i="15"/>
  <c r="AL82" i="15"/>
  <c r="AL75" i="15"/>
  <c r="AL81" i="15"/>
  <c r="AL87" i="15"/>
  <c r="AL73" i="15"/>
  <c r="AL79" i="15"/>
  <c r="AJ101" i="15"/>
  <c r="AK87" i="15"/>
  <c r="AL53" i="15"/>
  <c r="AL60" i="15"/>
  <c r="AL54" i="15"/>
  <c r="AL61" i="15"/>
  <c r="AL52" i="15"/>
  <c r="AL59" i="15"/>
  <c r="AF55" i="18"/>
  <c r="AF141" i="15"/>
  <c r="AF142" i="15"/>
  <c r="AJ109" i="15"/>
  <c r="AL21" i="16"/>
  <c r="AL58" i="16"/>
  <c r="AL19" i="16"/>
  <c r="AL81" i="16"/>
  <c r="AK86" i="15"/>
  <c r="AI65" i="15"/>
  <c r="AI62" i="15"/>
  <c r="AI92" i="15"/>
  <c r="AV63" i="18"/>
  <c r="AP7" i="18"/>
  <c r="AP6" i="18"/>
  <c r="AN6" i="17"/>
  <c r="AN7" i="17"/>
  <c r="AN18" i="17"/>
  <c r="AN19" i="17"/>
  <c r="AL72" i="16"/>
  <c r="AL109" i="16"/>
  <c r="AM36" i="16"/>
  <c r="AM124" i="16"/>
  <c r="AM30" i="16"/>
  <c r="AM118" i="16"/>
  <c r="AN6" i="16"/>
  <c r="AN7" i="16"/>
  <c r="AM15" i="15"/>
  <c r="AM21" i="15"/>
  <c r="AM22" i="15"/>
  <c r="AM17" i="15"/>
  <c r="AM18" i="15"/>
  <c r="AM12" i="15"/>
  <c r="AM13" i="15"/>
  <c r="AM36" i="15"/>
  <c r="AM11" i="16"/>
  <c r="AM37" i="15"/>
  <c r="AM12" i="16"/>
  <c r="AN7" i="15"/>
  <c r="AN6" i="15"/>
  <c r="AM31" i="16"/>
  <c r="AM119" i="16"/>
  <c r="AM24" i="18"/>
  <c r="AI37" i="16"/>
  <c r="AI125" i="16"/>
  <c r="AI99" i="18"/>
  <c r="AM46" i="15"/>
  <c r="AH37" i="16"/>
  <c r="AH125" i="16"/>
  <c r="AH99" i="18"/>
  <c r="AM37" i="16"/>
  <c r="AM125" i="16"/>
  <c r="AM99" i="18"/>
  <c r="AK37" i="16"/>
  <c r="AK125" i="16"/>
  <c r="AK99" i="18"/>
  <c r="AM45" i="15"/>
  <c r="AK31" i="16"/>
  <c r="AK119" i="16"/>
  <c r="AK24" i="18"/>
  <c r="AM47" i="15"/>
  <c r="AN33" i="15"/>
  <c r="AN34" i="15"/>
  <c r="AN29" i="15"/>
  <c r="AN30" i="15"/>
  <c r="AN25" i="15"/>
  <c r="AN26" i="15"/>
  <c r="AM44" i="15"/>
  <c r="AM51" i="15"/>
  <c r="AM58" i="15"/>
  <c r="AJ93" i="15"/>
  <c r="AJ107" i="15"/>
  <c r="AI116" i="15"/>
  <c r="AG44" i="18"/>
  <c r="AH18" i="18"/>
  <c r="AH20" i="18"/>
  <c r="AK68" i="15"/>
  <c r="AK102" i="15"/>
  <c r="AG133" i="15"/>
  <c r="AI122" i="15"/>
  <c r="AG20" i="18"/>
  <c r="AG22" i="18"/>
  <c r="AF74" i="18"/>
  <c r="AK19" i="18"/>
  <c r="AK75" i="18"/>
  <c r="AF138" i="16"/>
  <c r="AG135" i="16"/>
  <c r="AK136" i="16"/>
  <c r="AC37" i="16"/>
  <c r="AC125" i="16"/>
  <c r="AC99" i="18"/>
  <c r="AD31" i="16"/>
  <c r="AD119" i="16"/>
  <c r="AD24" i="18"/>
  <c r="AH12" i="18"/>
  <c r="AH15" i="18"/>
  <c r="AH22" i="18"/>
  <c r="AH137" i="15"/>
  <c r="AH44" i="18"/>
  <c r="AG37" i="16"/>
  <c r="AG125" i="16"/>
  <c r="AG99" i="18"/>
  <c r="AE37" i="16"/>
  <c r="AE125" i="16"/>
  <c r="AE99" i="18"/>
  <c r="N37" i="16"/>
  <c r="N125" i="16"/>
  <c r="N99" i="18"/>
  <c r="M37" i="16"/>
  <c r="M125" i="16"/>
  <c r="M99" i="18"/>
  <c r="M31" i="16"/>
  <c r="M119" i="16"/>
  <c r="M24" i="18"/>
  <c r="N31" i="16"/>
  <c r="N119" i="16"/>
  <c r="N24" i="18"/>
  <c r="L37" i="16"/>
  <c r="L31" i="16"/>
  <c r="Q31" i="16"/>
  <c r="Q119" i="16"/>
  <c r="Q24" i="18"/>
  <c r="O37" i="16"/>
  <c r="O125" i="16"/>
  <c r="O99" i="18"/>
  <c r="O31" i="16"/>
  <c r="O119" i="16"/>
  <c r="O24" i="18"/>
  <c r="P31" i="16"/>
  <c r="P119" i="16"/>
  <c r="P24" i="18"/>
  <c r="R37" i="16"/>
  <c r="R125" i="16"/>
  <c r="R99" i="18"/>
  <c r="S31" i="16"/>
  <c r="S119" i="16"/>
  <c r="S24" i="18"/>
  <c r="Q37" i="16"/>
  <c r="Q125" i="16"/>
  <c r="Q99" i="18"/>
  <c r="P37" i="16"/>
  <c r="P125" i="16"/>
  <c r="P99" i="18"/>
  <c r="R31" i="16"/>
  <c r="R119" i="16"/>
  <c r="R24" i="18"/>
  <c r="S37" i="16"/>
  <c r="S125" i="16"/>
  <c r="S99" i="18"/>
  <c r="U31" i="16"/>
  <c r="U119" i="16"/>
  <c r="U24" i="18"/>
  <c r="T37" i="16"/>
  <c r="T125" i="16"/>
  <c r="T99" i="18"/>
  <c r="W37" i="16"/>
  <c r="W125" i="16"/>
  <c r="W99" i="18"/>
  <c r="T31" i="16"/>
  <c r="T119" i="16"/>
  <c r="T24" i="18"/>
  <c r="V31" i="16"/>
  <c r="V119" i="16"/>
  <c r="V24" i="18"/>
  <c r="U37" i="16"/>
  <c r="U125" i="16"/>
  <c r="U99" i="18"/>
  <c r="W31" i="16"/>
  <c r="W119" i="16"/>
  <c r="W24" i="18"/>
  <c r="V37" i="16"/>
  <c r="V125" i="16"/>
  <c r="V99" i="18"/>
  <c r="Z31" i="16"/>
  <c r="Z119" i="16"/>
  <c r="Z24" i="18"/>
  <c r="X31" i="16"/>
  <c r="X119" i="16"/>
  <c r="X24" i="18"/>
  <c r="X37" i="16"/>
  <c r="X125" i="16"/>
  <c r="X99" i="18"/>
  <c r="AA31" i="16"/>
  <c r="AA119" i="16"/>
  <c r="AA24" i="18"/>
  <c r="Y31" i="16"/>
  <c r="Y119" i="16"/>
  <c r="Y24" i="18"/>
  <c r="Y37" i="16"/>
  <c r="Y125" i="16"/>
  <c r="Y99" i="18"/>
  <c r="Z37" i="16"/>
  <c r="Z125" i="16"/>
  <c r="Z99" i="18"/>
  <c r="AA37" i="16"/>
  <c r="AA125" i="16"/>
  <c r="AA99" i="18"/>
  <c r="AB37" i="16"/>
  <c r="AB125" i="16"/>
  <c r="AB99" i="18"/>
  <c r="AB31" i="16"/>
  <c r="AB119" i="16"/>
  <c r="AB24" i="18"/>
  <c r="AF31" i="16"/>
  <c r="AF119" i="16"/>
  <c r="AF24" i="18"/>
  <c r="AL31" i="16"/>
  <c r="AL119" i="16"/>
  <c r="AL24" i="18"/>
  <c r="AF37" i="16"/>
  <c r="AF125" i="16"/>
  <c r="AF99" i="18"/>
  <c r="AH31" i="16"/>
  <c r="AH119" i="16"/>
  <c r="AH24" i="18"/>
  <c r="AC31" i="16"/>
  <c r="AC119" i="16"/>
  <c r="AC24" i="18"/>
  <c r="AJ37" i="16"/>
  <c r="AJ125" i="16"/>
  <c r="AJ99" i="18"/>
  <c r="AL37" i="16"/>
  <c r="AL125" i="16"/>
  <c r="AL99" i="18"/>
  <c r="AE31" i="16"/>
  <c r="AE119" i="16"/>
  <c r="AE24" i="18"/>
  <c r="AG31" i="16"/>
  <c r="AG119" i="16"/>
  <c r="AG24" i="18"/>
  <c r="AD37" i="16"/>
  <c r="AD125" i="16"/>
  <c r="AD99" i="18"/>
  <c r="AJ31" i="16"/>
  <c r="AJ119" i="16"/>
  <c r="AJ24" i="18"/>
  <c r="AL65" i="16"/>
  <c r="AL88" i="16"/>
  <c r="AL44" i="16"/>
  <c r="AJ115" i="15"/>
  <c r="AJ69" i="15"/>
  <c r="AJ123" i="15"/>
  <c r="AJ116" i="15"/>
  <c r="AK100" i="15"/>
  <c r="AH113" i="15"/>
  <c r="AH117" i="15"/>
  <c r="AH72" i="18"/>
  <c r="AK93" i="15"/>
  <c r="AK107" i="15"/>
  <c r="AM128" i="15"/>
  <c r="AM130" i="15"/>
  <c r="AM127" i="15"/>
  <c r="AM129" i="15"/>
  <c r="AM21" i="16"/>
  <c r="AM58" i="16"/>
  <c r="AL48" i="15"/>
  <c r="AH138" i="15"/>
  <c r="AH73" i="18"/>
  <c r="AM20" i="16"/>
  <c r="AM51" i="16"/>
  <c r="AL95" i="16"/>
  <c r="AL93" i="15"/>
  <c r="AK101" i="15"/>
  <c r="AM74" i="15"/>
  <c r="AM80" i="15"/>
  <c r="AM76" i="15"/>
  <c r="AM82" i="15"/>
  <c r="AM73" i="15"/>
  <c r="AM79" i="15"/>
  <c r="AM75" i="15"/>
  <c r="AM81" i="15"/>
  <c r="AL24" i="16"/>
  <c r="AM23" i="16"/>
  <c r="AM109" i="16"/>
  <c r="AM19" i="16"/>
  <c r="AM81" i="16"/>
  <c r="AJ99" i="15"/>
  <c r="AJ103" i="15"/>
  <c r="AJ13" i="18"/>
  <c r="AL68" i="15"/>
  <c r="AK94" i="15"/>
  <c r="AL88" i="15"/>
  <c r="AK55" i="15"/>
  <c r="AK92" i="15"/>
  <c r="AL131" i="15"/>
  <c r="AJ62" i="15"/>
  <c r="AJ122" i="15"/>
  <c r="AJ92" i="15"/>
  <c r="AL85" i="15"/>
  <c r="AI106" i="15"/>
  <c r="AI110" i="15"/>
  <c r="AI14" i="18"/>
  <c r="AI96" i="15"/>
  <c r="AP38" i="15"/>
  <c r="AO14" i="16"/>
  <c r="AM54" i="15"/>
  <c r="AM61" i="15"/>
  <c r="AM52" i="15"/>
  <c r="AM59" i="15"/>
  <c r="AM22" i="16"/>
  <c r="AM102" i="16"/>
  <c r="AI69" i="15"/>
  <c r="AI99" i="15"/>
  <c r="AI103" i="15"/>
  <c r="AI13" i="18"/>
  <c r="AL94" i="15"/>
  <c r="AL86" i="15"/>
  <c r="AW63" i="18"/>
  <c r="AQ7" i="18"/>
  <c r="AQ6" i="18"/>
  <c r="AO7" i="17"/>
  <c r="AO18" i="17"/>
  <c r="AO19" i="17"/>
  <c r="AO6" i="17"/>
  <c r="AN36" i="16"/>
  <c r="AN37" i="16"/>
  <c r="AN125" i="16"/>
  <c r="AN99" i="18"/>
  <c r="AN30" i="16"/>
  <c r="AN118" i="16"/>
  <c r="AN31" i="16"/>
  <c r="AN119" i="16"/>
  <c r="AN24" i="18"/>
  <c r="AO6" i="16"/>
  <c r="AO7" i="16"/>
  <c r="AN12" i="15"/>
  <c r="AN13" i="15"/>
  <c r="AN36" i="15"/>
  <c r="AN11" i="16"/>
  <c r="AN37" i="15"/>
  <c r="AN12" i="16"/>
  <c r="AN15" i="15"/>
  <c r="AN21" i="16"/>
  <c r="AN17" i="15"/>
  <c r="AN18" i="15"/>
  <c r="AN21" i="15"/>
  <c r="AN22" i="15"/>
  <c r="AN44" i="15"/>
  <c r="AO6" i="15"/>
  <c r="AO7" i="15"/>
  <c r="AJ114" i="15"/>
  <c r="AN46" i="15"/>
  <c r="AN45" i="15"/>
  <c r="AO33" i="15"/>
  <c r="AO34" i="15"/>
  <c r="AO29" i="15"/>
  <c r="AO25" i="15"/>
  <c r="AO26" i="15"/>
  <c r="AN47" i="15"/>
  <c r="AN54" i="15"/>
  <c r="AN61" i="15"/>
  <c r="AO30" i="15"/>
  <c r="AK95" i="15"/>
  <c r="AK109" i="15"/>
  <c r="AM66" i="15"/>
  <c r="AI123" i="15"/>
  <c r="AI124" i="15"/>
  <c r="AI133" i="15"/>
  <c r="AG73" i="18"/>
  <c r="AG138" i="15"/>
  <c r="AJ124" i="15"/>
  <c r="AJ133" i="15"/>
  <c r="AL136" i="16"/>
  <c r="AL19" i="18"/>
  <c r="AL75" i="18"/>
  <c r="AG138" i="16"/>
  <c r="AH135" i="16"/>
  <c r="AI12" i="18"/>
  <c r="AI15" i="18"/>
  <c r="AI137" i="15"/>
  <c r="L119" i="16"/>
  <c r="L32" i="16"/>
  <c r="M29" i="16"/>
  <c r="M32" i="16"/>
  <c r="N29" i="16"/>
  <c r="N32" i="16"/>
  <c r="O29" i="16"/>
  <c r="O32" i="16"/>
  <c r="P29" i="16"/>
  <c r="P32" i="16"/>
  <c r="Q29" i="16"/>
  <c r="Q32" i="16"/>
  <c r="R29" i="16"/>
  <c r="R32" i="16"/>
  <c r="S29" i="16"/>
  <c r="S32" i="16"/>
  <c r="T29" i="16"/>
  <c r="T32" i="16"/>
  <c r="U29" i="16"/>
  <c r="U32" i="16"/>
  <c r="V29" i="16"/>
  <c r="V32" i="16"/>
  <c r="W29" i="16"/>
  <c r="W32" i="16"/>
  <c r="X29" i="16"/>
  <c r="X32" i="16"/>
  <c r="Y29" i="16"/>
  <c r="Y32" i="16"/>
  <c r="Z29" i="16"/>
  <c r="Z32" i="16"/>
  <c r="AA29" i="16"/>
  <c r="AA32" i="16"/>
  <c r="AB29" i="16"/>
  <c r="AB32" i="16"/>
  <c r="AC29" i="16"/>
  <c r="AC32" i="16"/>
  <c r="AD29" i="16"/>
  <c r="AD32" i="16"/>
  <c r="AE29" i="16"/>
  <c r="AE32" i="16"/>
  <c r="AF29" i="16"/>
  <c r="AF32" i="16"/>
  <c r="AG29" i="16"/>
  <c r="AG32" i="16"/>
  <c r="AH29" i="16"/>
  <c r="AH32" i="16"/>
  <c r="AI29" i="16"/>
  <c r="AI32" i="16"/>
  <c r="AJ29" i="16"/>
  <c r="AJ32" i="16"/>
  <c r="AK29" i="16"/>
  <c r="AK32" i="16"/>
  <c r="AL29" i="16"/>
  <c r="AL32" i="16"/>
  <c r="AM29" i="16"/>
  <c r="AM32" i="16"/>
  <c r="AN29" i="16"/>
  <c r="AN32" i="16"/>
  <c r="AO29" i="16"/>
  <c r="L125" i="16"/>
  <c r="L38" i="16"/>
  <c r="M35" i="16"/>
  <c r="M38" i="16"/>
  <c r="N35" i="16"/>
  <c r="N38" i="16"/>
  <c r="O35" i="16"/>
  <c r="O38" i="16"/>
  <c r="P35" i="16"/>
  <c r="P38" i="16"/>
  <c r="Q35" i="16"/>
  <c r="Q38" i="16"/>
  <c r="R35" i="16"/>
  <c r="R38" i="16"/>
  <c r="S35" i="16"/>
  <c r="S38" i="16"/>
  <c r="T35" i="16"/>
  <c r="T38" i="16"/>
  <c r="U35" i="16"/>
  <c r="U38" i="16"/>
  <c r="V35" i="16"/>
  <c r="V38" i="16"/>
  <c r="W35" i="16"/>
  <c r="W38" i="16"/>
  <c r="X35" i="16"/>
  <c r="X38" i="16"/>
  <c r="Y35" i="16"/>
  <c r="Y38" i="16"/>
  <c r="Z35" i="16"/>
  <c r="Z38" i="16"/>
  <c r="AA35" i="16"/>
  <c r="AA38" i="16"/>
  <c r="AB35" i="16"/>
  <c r="AB38" i="16"/>
  <c r="AC35" i="16"/>
  <c r="AC38" i="16"/>
  <c r="AD35" i="16"/>
  <c r="AD38" i="16"/>
  <c r="AE35" i="16"/>
  <c r="AE38" i="16"/>
  <c r="AF35" i="16"/>
  <c r="AF38" i="16"/>
  <c r="AG35" i="16"/>
  <c r="AG38" i="16"/>
  <c r="AH35" i="16"/>
  <c r="AH38" i="16"/>
  <c r="AI35" i="16"/>
  <c r="AI38" i="16"/>
  <c r="AJ35" i="16"/>
  <c r="AJ38" i="16"/>
  <c r="AK35" i="16"/>
  <c r="AK38" i="16"/>
  <c r="AL35" i="16"/>
  <c r="AL38" i="16"/>
  <c r="AM35" i="16"/>
  <c r="AM38" i="16"/>
  <c r="AN35" i="16"/>
  <c r="AN38" i="16"/>
  <c r="AO35" i="16"/>
  <c r="AL130" i="16"/>
  <c r="AN124" i="16"/>
  <c r="AM65" i="16"/>
  <c r="AM88" i="16"/>
  <c r="AN19" i="16"/>
  <c r="AN81" i="16"/>
  <c r="AK116" i="15"/>
  <c r="AH140" i="15"/>
  <c r="AM72" i="16"/>
  <c r="AM95" i="16"/>
  <c r="AK62" i="15"/>
  <c r="AN22" i="16"/>
  <c r="AN102" i="16"/>
  <c r="AN20" i="16"/>
  <c r="AN51" i="16"/>
  <c r="AM44" i="16"/>
  <c r="AM53" i="15"/>
  <c r="AM60" i="15"/>
  <c r="AI113" i="15"/>
  <c r="AI117" i="15"/>
  <c r="AI72" i="18"/>
  <c r="AL95" i="15"/>
  <c r="AL109" i="15"/>
  <c r="AI140" i="15"/>
  <c r="AK65" i="15"/>
  <c r="AK69" i="15"/>
  <c r="AK123" i="15"/>
  <c r="AK114" i="15"/>
  <c r="AL107" i="15"/>
  <c r="AN52" i="15"/>
  <c r="AN59" i="15"/>
  <c r="AN51" i="15"/>
  <c r="AN58" i="15"/>
  <c r="AN73" i="15"/>
  <c r="AN79" i="15"/>
  <c r="AN75" i="15"/>
  <c r="AN81" i="15"/>
  <c r="AN74" i="15"/>
  <c r="AN80" i="15"/>
  <c r="AN86" i="15"/>
  <c r="AN76" i="15"/>
  <c r="AN82" i="15"/>
  <c r="AN88" i="15"/>
  <c r="AL102" i="15"/>
  <c r="AM86" i="15"/>
  <c r="AN127" i="15"/>
  <c r="AN129" i="15"/>
  <c r="AN130" i="15"/>
  <c r="AN128" i="15"/>
  <c r="AN23" i="16"/>
  <c r="AN72" i="16"/>
  <c r="AM24" i="16"/>
  <c r="AM68" i="15"/>
  <c r="AJ106" i="15"/>
  <c r="AJ110" i="15"/>
  <c r="AJ14" i="18"/>
  <c r="AJ96" i="15"/>
  <c r="AK106" i="15"/>
  <c r="AK108" i="15"/>
  <c r="AM87" i="15"/>
  <c r="AH55" i="18"/>
  <c r="AL108" i="15"/>
  <c r="AM48" i="15"/>
  <c r="AM88" i="15"/>
  <c r="AL55" i="15"/>
  <c r="AL66" i="15"/>
  <c r="AL100" i="15"/>
  <c r="AL67" i="15"/>
  <c r="AL101" i="15"/>
  <c r="AQ38" i="15"/>
  <c r="AP14" i="16"/>
  <c r="AM85" i="15"/>
  <c r="AM131" i="15"/>
  <c r="AX63" i="18"/>
  <c r="AR7" i="18"/>
  <c r="AR6" i="18"/>
  <c r="AP7" i="17"/>
  <c r="AP18" i="17"/>
  <c r="AP19" i="17"/>
  <c r="AP6" i="17"/>
  <c r="AN58" i="16"/>
  <c r="AN95" i="16"/>
  <c r="AO30" i="16"/>
  <c r="AO118" i="16"/>
  <c r="AO31" i="16"/>
  <c r="AO119" i="16"/>
  <c r="AO24" i="18"/>
  <c r="AO36" i="16"/>
  <c r="AO124" i="16"/>
  <c r="AO37" i="16"/>
  <c r="AO125" i="16"/>
  <c r="AO99" i="18"/>
  <c r="AP7" i="16"/>
  <c r="AP6" i="16"/>
  <c r="AO15" i="15"/>
  <c r="AO23" i="16"/>
  <c r="AO12" i="15"/>
  <c r="AO13" i="15"/>
  <c r="AO36" i="15"/>
  <c r="AO11" i="16"/>
  <c r="AO37" i="15"/>
  <c r="AO12" i="16"/>
  <c r="AO17" i="15"/>
  <c r="AO18" i="15"/>
  <c r="AO21" i="15"/>
  <c r="AO22" i="15"/>
  <c r="AO44" i="15"/>
  <c r="AP7" i="15"/>
  <c r="AP6" i="15"/>
  <c r="AO45" i="15"/>
  <c r="AO46" i="15"/>
  <c r="AP25" i="15"/>
  <c r="AP26" i="15"/>
  <c r="AP33" i="15"/>
  <c r="AP34" i="15"/>
  <c r="AP29" i="15"/>
  <c r="AO47" i="15"/>
  <c r="AO54" i="15"/>
  <c r="AO61" i="15"/>
  <c r="L126" i="16"/>
  <c r="M123" i="16"/>
  <c r="M126" i="16"/>
  <c r="N123" i="16"/>
  <c r="N126" i="16"/>
  <c r="O123" i="16"/>
  <c r="O126" i="16"/>
  <c r="P123" i="16"/>
  <c r="P126" i="16"/>
  <c r="Q123" i="16"/>
  <c r="Q126" i="16"/>
  <c r="R123" i="16"/>
  <c r="R126" i="16"/>
  <c r="S123" i="16"/>
  <c r="S126" i="16"/>
  <c r="T123" i="16"/>
  <c r="T126" i="16"/>
  <c r="U123" i="16"/>
  <c r="U126" i="16"/>
  <c r="V123" i="16"/>
  <c r="V126" i="16"/>
  <c r="W123" i="16"/>
  <c r="W126" i="16"/>
  <c r="X123" i="16"/>
  <c r="X126" i="16"/>
  <c r="Y123" i="16"/>
  <c r="Y126" i="16"/>
  <c r="Z123" i="16"/>
  <c r="Z126" i="16"/>
  <c r="AA123" i="16"/>
  <c r="AA126" i="16"/>
  <c r="AB123" i="16"/>
  <c r="AB126" i="16"/>
  <c r="AC123" i="16"/>
  <c r="AC126" i="16"/>
  <c r="AD123" i="16"/>
  <c r="AD126" i="16"/>
  <c r="AE123" i="16"/>
  <c r="AE126" i="16"/>
  <c r="AF123" i="16"/>
  <c r="AF126" i="16"/>
  <c r="AG123" i="16"/>
  <c r="AG126" i="16"/>
  <c r="AH123" i="16"/>
  <c r="AH126" i="16"/>
  <c r="AI123" i="16"/>
  <c r="AI126" i="16"/>
  <c r="AJ123" i="16"/>
  <c r="AJ126" i="16"/>
  <c r="AK123" i="16"/>
  <c r="AK126" i="16"/>
  <c r="AL123" i="16"/>
  <c r="AL126" i="16"/>
  <c r="AM123" i="16"/>
  <c r="AM126" i="16"/>
  <c r="AN123" i="16"/>
  <c r="AN126" i="16"/>
  <c r="AO123" i="16"/>
  <c r="AO126" i="16"/>
  <c r="AP123" i="16"/>
  <c r="L99" i="18"/>
  <c r="AK96" i="15"/>
  <c r="AK12" i="18"/>
  <c r="AP30" i="15"/>
  <c r="AJ18" i="18"/>
  <c r="AJ20" i="18"/>
  <c r="AM94" i="15"/>
  <c r="AM108" i="15"/>
  <c r="AK122" i="15"/>
  <c r="AK124" i="15"/>
  <c r="AG141" i="15"/>
  <c r="AG142" i="15"/>
  <c r="AG74" i="18"/>
  <c r="AG55" i="18"/>
  <c r="AI18" i="18"/>
  <c r="AI20" i="18"/>
  <c r="AI22" i="18"/>
  <c r="AN95" i="15"/>
  <c r="AN109" i="15"/>
  <c r="AH141" i="15"/>
  <c r="AH142" i="15"/>
  <c r="AN65" i="16"/>
  <c r="AM75" i="18"/>
  <c r="AM19" i="18"/>
  <c r="AH138" i="16"/>
  <c r="AI135" i="16"/>
  <c r="AK110" i="15"/>
  <c r="AK14" i="18"/>
  <c r="AM136" i="16"/>
  <c r="L24" i="18"/>
  <c r="L120" i="16"/>
  <c r="M117" i="16"/>
  <c r="M120" i="16"/>
  <c r="AJ12" i="18"/>
  <c r="AJ15" i="18"/>
  <c r="AJ137" i="15"/>
  <c r="AM130" i="16"/>
  <c r="AN44" i="16"/>
  <c r="AL114" i="15"/>
  <c r="AN88" i="16"/>
  <c r="AL116" i="15"/>
  <c r="AN53" i="15"/>
  <c r="AN60" i="15"/>
  <c r="AL115" i="15"/>
  <c r="AI44" i="18"/>
  <c r="AK115" i="15"/>
  <c r="AK99" i="15"/>
  <c r="AJ113" i="15"/>
  <c r="AJ117" i="15"/>
  <c r="AJ72" i="18"/>
  <c r="AO22" i="16"/>
  <c r="AO65" i="16"/>
  <c r="AR38" i="15"/>
  <c r="AQ14" i="16"/>
  <c r="AN131" i="15"/>
  <c r="AM100" i="15"/>
  <c r="AN93" i="15"/>
  <c r="AN109" i="16"/>
  <c r="AL65" i="15"/>
  <c r="AL62" i="15"/>
  <c r="AL122" i="15"/>
  <c r="AL92" i="15"/>
  <c r="AM102" i="15"/>
  <c r="AI138" i="15"/>
  <c r="AI73" i="18"/>
  <c r="AM93" i="15"/>
  <c r="AN48" i="15"/>
  <c r="AO127" i="15"/>
  <c r="AO129" i="15"/>
  <c r="AO130" i="15"/>
  <c r="AO128" i="15"/>
  <c r="AO21" i="16"/>
  <c r="AO58" i="16"/>
  <c r="AN85" i="15"/>
  <c r="AN24" i="16"/>
  <c r="AO20" i="16"/>
  <c r="AO51" i="16"/>
  <c r="AO52" i="15"/>
  <c r="AO59" i="15"/>
  <c r="AO53" i="15"/>
  <c r="AO60" i="15"/>
  <c r="AO51" i="15"/>
  <c r="AO58" i="15"/>
  <c r="AO73" i="15"/>
  <c r="AO79" i="15"/>
  <c r="AO75" i="15"/>
  <c r="AO81" i="15"/>
  <c r="AO76" i="15"/>
  <c r="AO82" i="15"/>
  <c r="AO74" i="15"/>
  <c r="AO80" i="15"/>
  <c r="AO19" i="16"/>
  <c r="AO81" i="16"/>
  <c r="AJ138" i="15"/>
  <c r="AJ73" i="18"/>
  <c r="AM95" i="15"/>
  <c r="AM55" i="15"/>
  <c r="AN87" i="15"/>
  <c r="AY63" i="18"/>
  <c r="AS7" i="18"/>
  <c r="AS6" i="18"/>
  <c r="AQ7" i="17"/>
  <c r="AQ18" i="17"/>
  <c r="AQ19" i="17"/>
  <c r="AQ6" i="17"/>
  <c r="AO72" i="16"/>
  <c r="AO109" i="16"/>
  <c r="AO32" i="16"/>
  <c r="AP29" i="16"/>
  <c r="AO38" i="16"/>
  <c r="AP35" i="16"/>
  <c r="AP30" i="16"/>
  <c r="AP118" i="16"/>
  <c r="AP31" i="16"/>
  <c r="AP119" i="16"/>
  <c r="AP24" i="18"/>
  <c r="AP37" i="16"/>
  <c r="AP125" i="16"/>
  <c r="AP99" i="18"/>
  <c r="AP36" i="16"/>
  <c r="AP124" i="16"/>
  <c r="AQ7" i="16"/>
  <c r="AQ6" i="16"/>
  <c r="AP21" i="15"/>
  <c r="AP22" i="15"/>
  <c r="AP17" i="15"/>
  <c r="AP18" i="15"/>
  <c r="AP15" i="15"/>
  <c r="AP21" i="16"/>
  <c r="AP13" i="15"/>
  <c r="AP12" i="15"/>
  <c r="AP36" i="15"/>
  <c r="AP11" i="16"/>
  <c r="AP37" i="15"/>
  <c r="AP12" i="16"/>
  <c r="AQ6" i="15"/>
  <c r="AQ7" i="15"/>
  <c r="AP45" i="15"/>
  <c r="AP44" i="15"/>
  <c r="AP47" i="15"/>
  <c r="AQ29" i="15"/>
  <c r="AQ30" i="15"/>
  <c r="AQ25" i="15"/>
  <c r="AQ26" i="15"/>
  <c r="AQ33" i="15"/>
  <c r="AQ34" i="15"/>
  <c r="AP46" i="15"/>
  <c r="AJ22" i="18"/>
  <c r="AM67" i="15"/>
  <c r="AM101" i="15"/>
  <c r="AM115" i="15"/>
  <c r="AK137" i="15"/>
  <c r="AK44" i="18"/>
  <c r="AN130" i="16"/>
  <c r="AN75" i="18"/>
  <c r="AK18" i="18"/>
  <c r="AH74" i="18"/>
  <c r="AN19" i="18"/>
  <c r="AI138" i="16"/>
  <c r="AJ135" i="16"/>
  <c r="L27" i="18"/>
  <c r="L31" i="18"/>
  <c r="L33" i="18"/>
  <c r="L98" i="18"/>
  <c r="L107" i="18"/>
  <c r="M48" i="18"/>
  <c r="N117" i="16"/>
  <c r="N120" i="16"/>
  <c r="AO88" i="16"/>
  <c r="AP126" i="16"/>
  <c r="AQ123" i="16"/>
  <c r="AN136" i="16"/>
  <c r="AP19" i="16"/>
  <c r="AP81" i="16"/>
  <c r="AO102" i="16"/>
  <c r="AO44" i="16"/>
  <c r="AO130" i="16"/>
  <c r="AN67" i="15"/>
  <c r="AN101" i="15"/>
  <c r="AN94" i="15"/>
  <c r="AN108" i="15"/>
  <c r="AO24" i="16"/>
  <c r="AK133" i="15"/>
  <c r="AJ44" i="18"/>
  <c r="AO131" i="15"/>
  <c r="AP23" i="16"/>
  <c r="AP109" i="16"/>
  <c r="AO95" i="16"/>
  <c r="AN68" i="15"/>
  <c r="AN102" i="15"/>
  <c r="AN116" i="15"/>
  <c r="AJ140" i="15"/>
  <c r="AN66" i="15"/>
  <c r="AN100" i="15"/>
  <c r="AK103" i="15"/>
  <c r="AK13" i="18"/>
  <c r="AK15" i="18"/>
  <c r="AK113" i="15"/>
  <c r="AK117" i="15"/>
  <c r="AK72" i="18"/>
  <c r="AO88" i="15"/>
  <c r="AQ15" i="15"/>
  <c r="AJ55" i="18"/>
  <c r="AJ141" i="15"/>
  <c r="AO94" i="15"/>
  <c r="AL69" i="15"/>
  <c r="AL99" i="15"/>
  <c r="AL103" i="15"/>
  <c r="AL13" i="18"/>
  <c r="AP128" i="15"/>
  <c r="AP130" i="15"/>
  <c r="AP129" i="15"/>
  <c r="AP127" i="15"/>
  <c r="AO85" i="15"/>
  <c r="AO55" i="15"/>
  <c r="AN55" i="15"/>
  <c r="AO66" i="15"/>
  <c r="AN107" i="15"/>
  <c r="AP51" i="15"/>
  <c r="AP58" i="15"/>
  <c r="AP53" i="15"/>
  <c r="AP60" i="15"/>
  <c r="AP52" i="15"/>
  <c r="AP59" i="15"/>
  <c r="AP54" i="15"/>
  <c r="AP61" i="15"/>
  <c r="AM65" i="15"/>
  <c r="AM62" i="15"/>
  <c r="AM122" i="15"/>
  <c r="AM92" i="15"/>
  <c r="AO95" i="15"/>
  <c r="AO87" i="15"/>
  <c r="AI55" i="18"/>
  <c r="AI141" i="15"/>
  <c r="AI142" i="15"/>
  <c r="AS38" i="15"/>
  <c r="AR14" i="16"/>
  <c r="AP20" i="16"/>
  <c r="AP51" i="16"/>
  <c r="AM109" i="15"/>
  <c r="AM116" i="15"/>
  <c r="AP74" i="15"/>
  <c r="AP80" i="15"/>
  <c r="AP76" i="15"/>
  <c r="AP82" i="15"/>
  <c r="AP73" i="15"/>
  <c r="AP79" i="15"/>
  <c r="AP75" i="15"/>
  <c r="AP81" i="15"/>
  <c r="AP87" i="15"/>
  <c r="AP22" i="16"/>
  <c r="AP65" i="16"/>
  <c r="AO86" i="15"/>
  <c r="AO48" i="15"/>
  <c r="AM107" i="15"/>
  <c r="AM114" i="15"/>
  <c r="AL96" i="15"/>
  <c r="AL106" i="15"/>
  <c r="AL110" i="15"/>
  <c r="AL14" i="18"/>
  <c r="AZ63" i="18"/>
  <c r="AT7" i="18"/>
  <c r="AT6" i="18"/>
  <c r="AR6" i="17"/>
  <c r="AR7" i="17"/>
  <c r="AR18" i="17"/>
  <c r="AR19" i="17"/>
  <c r="AP58" i="16"/>
  <c r="AP95" i="16"/>
  <c r="AP38" i="16"/>
  <c r="AQ35" i="16"/>
  <c r="AP32" i="16"/>
  <c r="AQ29" i="16"/>
  <c r="AQ36" i="16"/>
  <c r="AQ124" i="16"/>
  <c r="AQ37" i="16"/>
  <c r="AQ125" i="16"/>
  <c r="AQ99" i="18"/>
  <c r="AQ30" i="16"/>
  <c r="AQ118" i="16"/>
  <c r="AQ31" i="16"/>
  <c r="AQ119" i="16"/>
  <c r="AQ24" i="18"/>
  <c r="AR7" i="16"/>
  <c r="AR6" i="16"/>
  <c r="AQ17" i="15"/>
  <c r="AQ18" i="15"/>
  <c r="AQ21" i="15"/>
  <c r="AQ22" i="15"/>
  <c r="AQ36" i="15"/>
  <c r="AQ44" i="15"/>
  <c r="AQ12" i="15"/>
  <c r="AQ13" i="15"/>
  <c r="AQ11" i="16"/>
  <c r="AQ37" i="15"/>
  <c r="AQ12" i="16"/>
  <c r="AR7" i="15"/>
  <c r="AR6" i="15"/>
  <c r="AQ46" i="15"/>
  <c r="AQ45" i="15"/>
  <c r="AQ47" i="15"/>
  <c r="AR33" i="15"/>
  <c r="AR34" i="15"/>
  <c r="AR29" i="15"/>
  <c r="AR30" i="15"/>
  <c r="AR25" i="15"/>
  <c r="AR26" i="15"/>
  <c r="AK140" i="15"/>
  <c r="AL123" i="15"/>
  <c r="AL124" i="15"/>
  <c r="AL18" i="18"/>
  <c r="AL20" i="18"/>
  <c r="AK20" i="18"/>
  <c r="AK22" i="18"/>
  <c r="AK138" i="15"/>
  <c r="AK55" i="18"/>
  <c r="AO75" i="18"/>
  <c r="AI74" i="18"/>
  <c r="AO19" i="18"/>
  <c r="AJ138" i="16"/>
  <c r="AK135" i="16"/>
  <c r="L35" i="18"/>
  <c r="L86" i="18"/>
  <c r="L97" i="18"/>
  <c r="L101" i="18"/>
  <c r="L103" i="18"/>
  <c r="AL12" i="18"/>
  <c r="AL15" i="18"/>
  <c r="AL137" i="15"/>
  <c r="AL44" i="18"/>
  <c r="AK73" i="18"/>
  <c r="O117" i="16"/>
  <c r="O120" i="16"/>
  <c r="N48" i="18"/>
  <c r="AP44" i="16"/>
  <c r="AO136" i="16"/>
  <c r="AP72" i="16"/>
  <c r="AQ126" i="16"/>
  <c r="AR123" i="16"/>
  <c r="AP88" i="16"/>
  <c r="AN115" i="15"/>
  <c r="AJ142" i="15"/>
  <c r="AP24" i="16"/>
  <c r="AO93" i="15"/>
  <c r="AO107" i="15"/>
  <c r="AN114" i="15"/>
  <c r="AO68" i="15"/>
  <c r="AO102" i="15"/>
  <c r="AL113" i="15"/>
  <c r="AL117" i="15"/>
  <c r="AL72" i="18"/>
  <c r="AO67" i="15"/>
  <c r="AO101" i="15"/>
  <c r="AO109" i="15"/>
  <c r="AO108" i="15"/>
  <c r="AQ128" i="15"/>
  <c r="AQ130" i="15"/>
  <c r="AQ129" i="15"/>
  <c r="AQ127" i="15"/>
  <c r="AQ22" i="16"/>
  <c r="AQ65" i="16"/>
  <c r="AQ23" i="16"/>
  <c r="AQ72" i="16"/>
  <c r="AQ21" i="16"/>
  <c r="AQ95" i="16"/>
  <c r="AQ20" i="16"/>
  <c r="AQ51" i="16"/>
  <c r="AQ19" i="16"/>
  <c r="AQ81" i="16"/>
  <c r="AP88" i="15"/>
  <c r="AQ74" i="15"/>
  <c r="AQ80" i="15"/>
  <c r="AQ76" i="15"/>
  <c r="AQ82" i="15"/>
  <c r="AQ75" i="15"/>
  <c r="AQ81" i="15"/>
  <c r="AQ73" i="15"/>
  <c r="AQ79" i="15"/>
  <c r="AP86" i="15"/>
  <c r="AM69" i="15"/>
  <c r="AM123" i="15"/>
  <c r="AM124" i="15"/>
  <c r="AM99" i="15"/>
  <c r="AM103" i="15"/>
  <c r="AM13" i="18"/>
  <c r="AP131" i="15"/>
  <c r="AP102" i="16"/>
  <c r="AO65" i="15"/>
  <c r="AT38" i="15"/>
  <c r="AS14" i="16"/>
  <c r="AP68" i="15"/>
  <c r="AQ51" i="15"/>
  <c r="AQ58" i="15"/>
  <c r="AQ54" i="15"/>
  <c r="AQ61" i="15"/>
  <c r="AQ52" i="15"/>
  <c r="AQ59" i="15"/>
  <c r="AP94" i="15"/>
  <c r="AP108" i="15"/>
  <c r="AP48" i="15"/>
  <c r="AN62" i="15"/>
  <c r="AN92" i="15"/>
  <c r="AO100" i="15"/>
  <c r="AP85" i="15"/>
  <c r="AM106" i="15"/>
  <c r="AM96" i="15"/>
  <c r="AP66" i="15"/>
  <c r="AN65" i="15"/>
  <c r="BA63" i="18"/>
  <c r="AU7" i="18"/>
  <c r="AU6" i="18"/>
  <c r="AS7" i="17"/>
  <c r="AS18" i="17"/>
  <c r="AS19" i="17"/>
  <c r="AS6" i="17"/>
  <c r="AQ32" i="16"/>
  <c r="AR29" i="16"/>
  <c r="AQ38" i="16"/>
  <c r="AR35" i="16"/>
  <c r="AR36" i="16"/>
  <c r="AR124" i="16"/>
  <c r="AR37" i="16"/>
  <c r="AR125" i="16"/>
  <c r="AR99" i="18"/>
  <c r="AR31" i="16"/>
  <c r="AR119" i="16"/>
  <c r="AR24" i="18"/>
  <c r="AR30" i="16"/>
  <c r="AR118" i="16"/>
  <c r="AS6" i="16"/>
  <c r="AS7" i="16"/>
  <c r="AR17" i="15"/>
  <c r="AR18" i="15"/>
  <c r="AR21" i="15"/>
  <c r="AR22" i="15"/>
  <c r="AR12" i="15"/>
  <c r="AR13" i="15"/>
  <c r="AR36" i="15"/>
  <c r="AR11" i="16"/>
  <c r="AR37" i="15"/>
  <c r="AR12" i="16"/>
  <c r="AR15" i="15"/>
  <c r="AR23" i="16"/>
  <c r="AS6" i="15"/>
  <c r="AS7" i="15"/>
  <c r="AR45" i="15"/>
  <c r="AR46" i="15"/>
  <c r="AR44" i="15"/>
  <c r="AR47" i="15"/>
  <c r="AR54" i="15"/>
  <c r="AR61" i="15"/>
  <c r="AS29" i="15"/>
  <c r="AS30" i="15"/>
  <c r="AS33" i="15"/>
  <c r="AS34" i="15"/>
  <c r="AS25" i="15"/>
  <c r="AS26" i="15"/>
  <c r="AL133" i="15"/>
  <c r="AL138" i="15"/>
  <c r="AL140" i="15"/>
  <c r="AN122" i="15"/>
  <c r="AP130" i="16"/>
  <c r="L37" i="18"/>
  <c r="L12" i="19"/>
  <c r="AL22" i="18"/>
  <c r="AK141" i="15"/>
  <c r="AK142" i="15"/>
  <c r="AP19" i="18"/>
  <c r="AP75" i="18"/>
  <c r="AM18" i="18"/>
  <c r="AM20" i="18"/>
  <c r="AJ74" i="18"/>
  <c r="AK138" i="16"/>
  <c r="AL135" i="16"/>
  <c r="AM12" i="18"/>
  <c r="P117" i="16"/>
  <c r="P120" i="16"/>
  <c r="O48" i="18"/>
  <c r="AP136" i="16"/>
  <c r="AQ109" i="16"/>
  <c r="AR126" i="16"/>
  <c r="AS123" i="16"/>
  <c r="AQ44" i="16"/>
  <c r="AR21" i="16"/>
  <c r="AR58" i="16"/>
  <c r="AQ58" i="16"/>
  <c r="AO116" i="15"/>
  <c r="AQ102" i="16"/>
  <c r="AQ131" i="15"/>
  <c r="AO115" i="15"/>
  <c r="AR20" i="16"/>
  <c r="AR88" i="16"/>
  <c r="AQ24" i="16"/>
  <c r="AQ88" i="16"/>
  <c r="AQ53" i="15"/>
  <c r="AQ60" i="15"/>
  <c r="AO114" i="15"/>
  <c r="AO69" i="15"/>
  <c r="AO123" i="15"/>
  <c r="AO99" i="15"/>
  <c r="AO103" i="15"/>
  <c r="AO13" i="18"/>
  <c r="AM110" i="15"/>
  <c r="AM14" i="18"/>
  <c r="AP67" i="15"/>
  <c r="AP101" i="15"/>
  <c r="AP115" i="15"/>
  <c r="AP100" i="15"/>
  <c r="AP93" i="15"/>
  <c r="AP107" i="15"/>
  <c r="AP95" i="15"/>
  <c r="AP109" i="15"/>
  <c r="AM113" i="15"/>
  <c r="AM117" i="15"/>
  <c r="AM72" i="18"/>
  <c r="AR73" i="15"/>
  <c r="AR79" i="15"/>
  <c r="AR75" i="15"/>
  <c r="AR81" i="15"/>
  <c r="AR76" i="15"/>
  <c r="AR82" i="15"/>
  <c r="AR88" i="15"/>
  <c r="AR74" i="15"/>
  <c r="AR80" i="15"/>
  <c r="AN69" i="15"/>
  <c r="AN123" i="15"/>
  <c r="AN99" i="15"/>
  <c r="AN103" i="15"/>
  <c r="AN13" i="18"/>
  <c r="AQ93" i="15"/>
  <c r="AQ66" i="15"/>
  <c r="AQ88" i="15"/>
  <c r="AN96" i="15"/>
  <c r="AN106" i="15"/>
  <c r="AN110" i="15"/>
  <c r="AN14" i="18"/>
  <c r="AQ85" i="15"/>
  <c r="AQ48" i="15"/>
  <c r="AU38" i="15"/>
  <c r="AT14" i="16"/>
  <c r="AM133" i="15"/>
  <c r="AQ87" i="15"/>
  <c r="AP102" i="15"/>
  <c r="AR127" i="15"/>
  <c r="AR129" i="15"/>
  <c r="AR128" i="15"/>
  <c r="AR130" i="15"/>
  <c r="AR22" i="16"/>
  <c r="AR102" i="16"/>
  <c r="AR52" i="15"/>
  <c r="AR59" i="15"/>
  <c r="AR51" i="15"/>
  <c r="AR58" i="15"/>
  <c r="AR53" i="15"/>
  <c r="AR60" i="15"/>
  <c r="AR19" i="16"/>
  <c r="AR81" i="16"/>
  <c r="AP55" i="15"/>
  <c r="AQ95" i="15"/>
  <c r="AO62" i="15"/>
  <c r="AO122" i="15"/>
  <c r="AO92" i="15"/>
  <c r="AQ86" i="15"/>
  <c r="BB63" i="18"/>
  <c r="AV6" i="18"/>
  <c r="AV7" i="18"/>
  <c r="AT6" i="17"/>
  <c r="AT7" i="17"/>
  <c r="AT18" i="17"/>
  <c r="AT19" i="17"/>
  <c r="AR72" i="16"/>
  <c r="AR109" i="16"/>
  <c r="AR32" i="16"/>
  <c r="AS29" i="16"/>
  <c r="AR38" i="16"/>
  <c r="AS35" i="16"/>
  <c r="AS30" i="16"/>
  <c r="AS118" i="16"/>
  <c r="AS31" i="16"/>
  <c r="AS119" i="16"/>
  <c r="AS24" i="18"/>
  <c r="AS36" i="16"/>
  <c r="AS124" i="16"/>
  <c r="AS37" i="16"/>
  <c r="AS125" i="16"/>
  <c r="AS99" i="18"/>
  <c r="AT7" i="16"/>
  <c r="AT6" i="16"/>
  <c r="AS15" i="15"/>
  <c r="AS21" i="16"/>
  <c r="AS17" i="15"/>
  <c r="AS18" i="15"/>
  <c r="AS21" i="15"/>
  <c r="AS22" i="15"/>
  <c r="AS12" i="15"/>
  <c r="AS13" i="15"/>
  <c r="AS36" i="15"/>
  <c r="AS11" i="16"/>
  <c r="AS37" i="15"/>
  <c r="AS12" i="16"/>
  <c r="AT6" i="15"/>
  <c r="AT7" i="15"/>
  <c r="AS45" i="15"/>
  <c r="AS47" i="15"/>
  <c r="AT25" i="15"/>
  <c r="AT26" i="15"/>
  <c r="AT33" i="15"/>
  <c r="AT34" i="15"/>
  <c r="AT29" i="15"/>
  <c r="AT30" i="15"/>
  <c r="AS44" i="15"/>
  <c r="AS51" i="15"/>
  <c r="AS58" i="15"/>
  <c r="AS46" i="15"/>
  <c r="AM15" i="18"/>
  <c r="AM22" i="18"/>
  <c r="AL73" i="18"/>
  <c r="AN124" i="15"/>
  <c r="AN133" i="15"/>
  <c r="L20" i="19"/>
  <c r="L14" i="19"/>
  <c r="AL141" i="15"/>
  <c r="AL142" i="15"/>
  <c r="AQ75" i="18"/>
  <c r="AQ19" i="18"/>
  <c r="AK74" i="18"/>
  <c r="L87" i="18"/>
  <c r="L91" i="18"/>
  <c r="L38" i="18"/>
  <c r="AL138" i="16"/>
  <c r="AM135" i="16"/>
  <c r="Q117" i="16"/>
  <c r="Q120" i="16"/>
  <c r="P48" i="18"/>
  <c r="AN12" i="18"/>
  <c r="AN15" i="18"/>
  <c r="AN137" i="15"/>
  <c r="AN44" i="18"/>
  <c r="AO124" i="15"/>
  <c r="AO133" i="15"/>
  <c r="AM137" i="15"/>
  <c r="AR95" i="16"/>
  <c r="AR136" i="16"/>
  <c r="AS126" i="16"/>
  <c r="AT123" i="16"/>
  <c r="AQ130" i="16"/>
  <c r="AQ136" i="16"/>
  <c r="AR51" i="16"/>
  <c r="AS23" i="16"/>
  <c r="AS72" i="16"/>
  <c r="AL55" i="18"/>
  <c r="AR44" i="16"/>
  <c r="AR65" i="16"/>
  <c r="AS20" i="16"/>
  <c r="AS51" i="16"/>
  <c r="AQ67" i="15"/>
  <c r="AQ101" i="15"/>
  <c r="AQ94" i="15"/>
  <c r="AQ108" i="15"/>
  <c r="AS19" i="16"/>
  <c r="AS81" i="16"/>
  <c r="AQ68" i="15"/>
  <c r="AQ102" i="15"/>
  <c r="AP116" i="15"/>
  <c r="AP114" i="15"/>
  <c r="AN113" i="15"/>
  <c r="AN117" i="15"/>
  <c r="AN72" i="18"/>
  <c r="AQ109" i="15"/>
  <c r="AQ107" i="15"/>
  <c r="AP62" i="15"/>
  <c r="AP122" i="15"/>
  <c r="AP92" i="15"/>
  <c r="AR48" i="15"/>
  <c r="AR131" i="15"/>
  <c r="AV38" i="15"/>
  <c r="AU14" i="16"/>
  <c r="AR85" i="15"/>
  <c r="AS52" i="15"/>
  <c r="AS59" i="15"/>
  <c r="AQ100" i="15"/>
  <c r="AP65" i="15"/>
  <c r="AR95" i="15"/>
  <c r="AQ55" i="15"/>
  <c r="AR86" i="15"/>
  <c r="AS73" i="15"/>
  <c r="AS79" i="15"/>
  <c r="AS75" i="15"/>
  <c r="AS81" i="15"/>
  <c r="AS74" i="15"/>
  <c r="AS80" i="15"/>
  <c r="AS76" i="15"/>
  <c r="AS82" i="15"/>
  <c r="AR66" i="15"/>
  <c r="AM138" i="15"/>
  <c r="AM73" i="18"/>
  <c r="AS127" i="15"/>
  <c r="AS129" i="15"/>
  <c r="AS128" i="15"/>
  <c r="AS130" i="15"/>
  <c r="AS22" i="16"/>
  <c r="AS102" i="16"/>
  <c r="AR24" i="16"/>
  <c r="AO106" i="15"/>
  <c r="AO110" i="15"/>
  <c r="AO14" i="18"/>
  <c r="AO96" i="15"/>
  <c r="AR67" i="15"/>
  <c r="AR87" i="15"/>
  <c r="BC63" i="18"/>
  <c r="AW7" i="18"/>
  <c r="AW6" i="18"/>
  <c r="AU7" i="17"/>
  <c r="AU18" i="17"/>
  <c r="AU19" i="17"/>
  <c r="AU6" i="17"/>
  <c r="AS58" i="16"/>
  <c r="AS95" i="16"/>
  <c r="AS38" i="16"/>
  <c r="AT35" i="16"/>
  <c r="AS32" i="16"/>
  <c r="AT29" i="16"/>
  <c r="AT30" i="16"/>
  <c r="AT118" i="16"/>
  <c r="AT31" i="16"/>
  <c r="AT119" i="16"/>
  <c r="AT24" i="18"/>
  <c r="AT36" i="16"/>
  <c r="AT124" i="16"/>
  <c r="AT37" i="16"/>
  <c r="AU7" i="16"/>
  <c r="AU6" i="16"/>
  <c r="AT13" i="15"/>
  <c r="AT12" i="15"/>
  <c r="AT36" i="15"/>
  <c r="AT11" i="16"/>
  <c r="AT37" i="15"/>
  <c r="AT12" i="16"/>
  <c r="AT21" i="15"/>
  <c r="AT22" i="15"/>
  <c r="AT17" i="15"/>
  <c r="AT18" i="15"/>
  <c r="AT15" i="15"/>
  <c r="AT20" i="16"/>
  <c r="AU6" i="15"/>
  <c r="AU7" i="15"/>
  <c r="AT47" i="15"/>
  <c r="AT44" i="15"/>
  <c r="AT46" i="15"/>
  <c r="AT53" i="15"/>
  <c r="AT60" i="15"/>
  <c r="AT45" i="15"/>
  <c r="AT52" i="15"/>
  <c r="AT59" i="15"/>
  <c r="AU29" i="15"/>
  <c r="AU30" i="15"/>
  <c r="AU25" i="15"/>
  <c r="AU26" i="15"/>
  <c r="AU33" i="15"/>
  <c r="AU34" i="15"/>
  <c r="AN18" i="18"/>
  <c r="AN20" i="18"/>
  <c r="AN22" i="18"/>
  <c r="AR19" i="18"/>
  <c r="AN73" i="18"/>
  <c r="AR75" i="18"/>
  <c r="AL74" i="18"/>
  <c r="AO18" i="18"/>
  <c r="AO20" i="18"/>
  <c r="AM138" i="16"/>
  <c r="AN135" i="16"/>
  <c r="AO12" i="18"/>
  <c r="AO15" i="18"/>
  <c r="AO137" i="15"/>
  <c r="AO44" i="18"/>
  <c r="AM140" i="15"/>
  <c r="AM44" i="18"/>
  <c r="Q48" i="18"/>
  <c r="R117" i="16"/>
  <c r="R120" i="16"/>
  <c r="AS109" i="16"/>
  <c r="AS88" i="16"/>
  <c r="AT38" i="16"/>
  <c r="AU35" i="16"/>
  <c r="AT125" i="16"/>
  <c r="AQ116" i="15"/>
  <c r="AR130" i="16"/>
  <c r="AT19" i="16"/>
  <c r="AT81" i="16"/>
  <c r="AN140" i="15"/>
  <c r="AU15" i="15"/>
  <c r="AR94" i="15"/>
  <c r="AR108" i="15"/>
  <c r="AO113" i="15"/>
  <c r="AO117" i="15"/>
  <c r="AO72" i="18"/>
  <c r="AQ114" i="15"/>
  <c r="AQ115" i="15"/>
  <c r="AT23" i="16"/>
  <c r="AT72" i="16"/>
  <c r="AS53" i="15"/>
  <c r="AS60" i="15"/>
  <c r="AS44" i="16"/>
  <c r="AS65" i="16"/>
  <c r="AS54" i="15"/>
  <c r="AS61" i="15"/>
  <c r="AN138" i="15"/>
  <c r="AR93" i="15"/>
  <c r="AT51" i="15"/>
  <c r="AT58" i="15"/>
  <c r="AT54" i="15"/>
  <c r="AT61" i="15"/>
  <c r="AS88" i="15"/>
  <c r="AR109" i="15"/>
  <c r="AP106" i="15"/>
  <c r="AP110" i="15"/>
  <c r="AP14" i="18"/>
  <c r="AP96" i="15"/>
  <c r="AS24" i="16"/>
  <c r="AS131" i="15"/>
  <c r="AM55" i="18"/>
  <c r="AM141" i="15"/>
  <c r="AS86" i="15"/>
  <c r="AR100" i="15"/>
  <c r="AR68" i="15"/>
  <c r="AR102" i="15"/>
  <c r="AT128" i="15"/>
  <c r="AT130" i="15"/>
  <c r="AT129" i="15"/>
  <c r="AT127" i="15"/>
  <c r="AT22" i="16"/>
  <c r="AT65" i="16"/>
  <c r="AR101" i="15"/>
  <c r="AS87" i="15"/>
  <c r="AQ65" i="15"/>
  <c r="AQ62" i="15"/>
  <c r="AQ122" i="15"/>
  <c r="AQ92" i="15"/>
  <c r="AP69" i="15"/>
  <c r="AP123" i="15"/>
  <c r="AP124" i="15"/>
  <c r="AP99" i="15"/>
  <c r="AP103" i="15"/>
  <c r="AP13" i="18"/>
  <c r="AS48" i="15"/>
  <c r="AW38" i="15"/>
  <c r="AV14" i="16"/>
  <c r="AT74" i="15"/>
  <c r="AT80" i="15"/>
  <c r="AT76" i="15"/>
  <c r="AT82" i="15"/>
  <c r="AT75" i="15"/>
  <c r="AT81" i="15"/>
  <c r="AT87" i="15"/>
  <c r="AT73" i="15"/>
  <c r="AT79" i="15"/>
  <c r="AT21" i="16"/>
  <c r="AT58" i="16"/>
  <c r="AS85" i="15"/>
  <c r="AS93" i="15"/>
  <c r="AR55" i="15"/>
  <c r="AO138" i="15"/>
  <c r="AO73" i="18"/>
  <c r="BD63" i="18"/>
  <c r="AX7" i="18"/>
  <c r="AX6" i="18"/>
  <c r="AV6" i="17"/>
  <c r="AV7" i="17"/>
  <c r="AV18" i="17"/>
  <c r="AV19" i="17"/>
  <c r="AT51" i="16"/>
  <c r="AT88" i="16"/>
  <c r="AT32" i="16"/>
  <c r="AU29" i="16"/>
  <c r="AU36" i="16"/>
  <c r="AU124" i="16"/>
  <c r="AU30" i="16"/>
  <c r="AU118" i="16"/>
  <c r="AU31" i="16"/>
  <c r="AU119" i="16"/>
  <c r="AU24" i="18"/>
  <c r="AU37" i="16"/>
  <c r="AU125" i="16"/>
  <c r="AU99" i="18"/>
  <c r="AV7" i="16"/>
  <c r="AV6" i="16"/>
  <c r="AU12" i="15"/>
  <c r="AU13" i="15"/>
  <c r="AU36" i="15"/>
  <c r="AU11" i="16"/>
  <c r="AU37" i="15"/>
  <c r="AU12" i="16"/>
  <c r="AU17" i="15"/>
  <c r="AU18" i="15"/>
  <c r="AU21" i="15"/>
  <c r="AU22" i="15"/>
  <c r="AV7" i="15"/>
  <c r="AV6" i="15"/>
  <c r="AU47" i="15"/>
  <c r="AU44" i="15"/>
  <c r="AU46" i="15"/>
  <c r="AU45" i="15"/>
  <c r="AU52" i="15"/>
  <c r="AU59" i="15"/>
  <c r="AV33" i="15"/>
  <c r="AV34" i="15"/>
  <c r="AV29" i="15"/>
  <c r="AV25" i="15"/>
  <c r="AT126" i="16"/>
  <c r="AU123" i="16"/>
  <c r="AU126" i="16"/>
  <c r="AV123" i="16"/>
  <c r="AT99" i="18"/>
  <c r="AV30" i="15"/>
  <c r="AV26" i="15"/>
  <c r="AM142" i="15"/>
  <c r="AM74" i="18"/>
  <c r="AO22" i="18"/>
  <c r="AS75" i="18"/>
  <c r="AN141" i="15"/>
  <c r="AN142" i="15"/>
  <c r="AP18" i="18"/>
  <c r="AP20" i="18"/>
  <c r="AS19" i="18"/>
  <c r="AN138" i="16"/>
  <c r="AO135" i="16"/>
  <c r="AS136" i="16"/>
  <c r="S117" i="16"/>
  <c r="S120" i="16"/>
  <c r="R48" i="18"/>
  <c r="AP12" i="18"/>
  <c r="AP15" i="18"/>
  <c r="AP137" i="15"/>
  <c r="AP140" i="15"/>
  <c r="AT109" i="16"/>
  <c r="AT44" i="16"/>
  <c r="AS68" i="15"/>
  <c r="AS102" i="15"/>
  <c r="AS67" i="15"/>
  <c r="AS101" i="15"/>
  <c r="AU22" i="16"/>
  <c r="AU65" i="16"/>
  <c r="AU23" i="16"/>
  <c r="AU109" i="16"/>
  <c r="AU19" i="16"/>
  <c r="AU81" i="16"/>
  <c r="AU21" i="16"/>
  <c r="AU58" i="16"/>
  <c r="AU20" i="16"/>
  <c r="AU51" i="16"/>
  <c r="AR115" i="15"/>
  <c r="AO140" i="15"/>
  <c r="AR116" i="15"/>
  <c r="AS95" i="15"/>
  <c r="AS109" i="15"/>
  <c r="AS94" i="15"/>
  <c r="AS108" i="15"/>
  <c r="AS130" i="16"/>
  <c r="AN55" i="18"/>
  <c r="AT102" i="16"/>
  <c r="AS66" i="15"/>
  <c r="AS100" i="15"/>
  <c r="AP113" i="15"/>
  <c r="AP117" i="15"/>
  <c r="AP72" i="18"/>
  <c r="AR107" i="15"/>
  <c r="AR114" i="15"/>
  <c r="AP133" i="15"/>
  <c r="AS107" i="15"/>
  <c r="AU74" i="15"/>
  <c r="AU80" i="15"/>
  <c r="AU76" i="15"/>
  <c r="AU82" i="15"/>
  <c r="AU73" i="15"/>
  <c r="AU79" i="15"/>
  <c r="AU75" i="15"/>
  <c r="AU81" i="15"/>
  <c r="AT85" i="15"/>
  <c r="AX38" i="15"/>
  <c r="AW14" i="16"/>
  <c r="AS55" i="15"/>
  <c r="AS65" i="15"/>
  <c r="AQ69" i="15"/>
  <c r="AQ99" i="15"/>
  <c r="AQ103" i="15"/>
  <c r="AQ13" i="18"/>
  <c r="AU128" i="15"/>
  <c r="AU130" i="15"/>
  <c r="AU127" i="15"/>
  <c r="AU129" i="15"/>
  <c r="AT66" i="15"/>
  <c r="AU51" i="15"/>
  <c r="AU58" i="15"/>
  <c r="AU54" i="15"/>
  <c r="AU61" i="15"/>
  <c r="AO55" i="18"/>
  <c r="AO141" i="15"/>
  <c r="AR62" i="15"/>
  <c r="AR122" i="15"/>
  <c r="AR92" i="15"/>
  <c r="AT86" i="15"/>
  <c r="AQ106" i="15"/>
  <c r="AQ110" i="15"/>
  <c r="AQ14" i="18"/>
  <c r="AQ96" i="15"/>
  <c r="AT48" i="15"/>
  <c r="AT95" i="16"/>
  <c r="AT131" i="15"/>
  <c r="AT68" i="15"/>
  <c r="AT24" i="16"/>
  <c r="AR65" i="15"/>
  <c r="AT88" i="15"/>
  <c r="AT94" i="15"/>
  <c r="BE63" i="18"/>
  <c r="AY7" i="18"/>
  <c r="AY6" i="18"/>
  <c r="AW7" i="17"/>
  <c r="AW18" i="17"/>
  <c r="AW19" i="17"/>
  <c r="AW6" i="17"/>
  <c r="AU38" i="16"/>
  <c r="AV35" i="16"/>
  <c r="AU32" i="16"/>
  <c r="AV29" i="16"/>
  <c r="AV36" i="16"/>
  <c r="AV124" i="16"/>
  <c r="AV37" i="16"/>
  <c r="AV125" i="16"/>
  <c r="AV99" i="18"/>
  <c r="AV30" i="16"/>
  <c r="AV118" i="16"/>
  <c r="AV31" i="16"/>
  <c r="AV119" i="16"/>
  <c r="AV24" i="18"/>
  <c r="AW6" i="16"/>
  <c r="AW7" i="16"/>
  <c r="AV15" i="15"/>
  <c r="AV20" i="16"/>
  <c r="AV12" i="15"/>
  <c r="AV13" i="15"/>
  <c r="AV36" i="15"/>
  <c r="AV11" i="16"/>
  <c r="AV37" i="15"/>
  <c r="AV12" i="16"/>
  <c r="AV17" i="15"/>
  <c r="AV18" i="15"/>
  <c r="AV21" i="15"/>
  <c r="AV22" i="15"/>
  <c r="AW6" i="15"/>
  <c r="AW7" i="15"/>
  <c r="AV44" i="15"/>
  <c r="AV45" i="15"/>
  <c r="AV46" i="15"/>
  <c r="AV53" i="15"/>
  <c r="AV60" i="15"/>
  <c r="AW33" i="15"/>
  <c r="AW34" i="15"/>
  <c r="AW29" i="15"/>
  <c r="AW30" i="15"/>
  <c r="AW25" i="15"/>
  <c r="AW26" i="15"/>
  <c r="AV47" i="15"/>
  <c r="AV54" i="15"/>
  <c r="AV61" i="15"/>
  <c r="AS69" i="15"/>
  <c r="AS123" i="15"/>
  <c r="AQ123" i="15"/>
  <c r="AQ124" i="15"/>
  <c r="AQ18" i="18"/>
  <c r="AQ20" i="18"/>
  <c r="AP22" i="18"/>
  <c r="AT75" i="18"/>
  <c r="AP138" i="15"/>
  <c r="AP55" i="18"/>
  <c r="AT19" i="18"/>
  <c r="AN74" i="18"/>
  <c r="AO138" i="16"/>
  <c r="AP135" i="16"/>
  <c r="AO142" i="15"/>
  <c r="AV21" i="16"/>
  <c r="AV58" i="16"/>
  <c r="AQ12" i="18"/>
  <c r="AQ15" i="18"/>
  <c r="AQ137" i="15"/>
  <c r="AQ44" i="18"/>
  <c r="S48" i="18"/>
  <c r="T117" i="16"/>
  <c r="T120" i="16"/>
  <c r="AU44" i="16"/>
  <c r="AT130" i="16"/>
  <c r="AU72" i="16"/>
  <c r="AV126" i="16"/>
  <c r="AW123" i="16"/>
  <c r="AU24" i="16"/>
  <c r="AU102" i="16"/>
  <c r="AT136" i="16"/>
  <c r="AU88" i="16"/>
  <c r="AV23" i="16"/>
  <c r="AV72" i="16"/>
  <c r="AU95" i="16"/>
  <c r="AP44" i="18"/>
  <c r="AS114" i="15"/>
  <c r="AS115" i="15"/>
  <c r="AS116" i="15"/>
  <c r="AV19" i="16"/>
  <c r="AV81" i="16"/>
  <c r="AU53" i="15"/>
  <c r="AU60" i="15"/>
  <c r="AT95" i="15"/>
  <c r="AT109" i="15"/>
  <c r="AP73" i="18"/>
  <c r="AQ113" i="15"/>
  <c r="AQ117" i="15"/>
  <c r="AQ72" i="18"/>
  <c r="AV52" i="15"/>
  <c r="AV59" i="15"/>
  <c r="AV51" i="15"/>
  <c r="AV58" i="15"/>
  <c r="AR106" i="15"/>
  <c r="AR110" i="15"/>
  <c r="AR14" i="18"/>
  <c r="AR96" i="15"/>
  <c r="AU88" i="15"/>
  <c r="AV73" i="15"/>
  <c r="AV79" i="15"/>
  <c r="AV75" i="15"/>
  <c r="AV81" i="15"/>
  <c r="AV74" i="15"/>
  <c r="AV80" i="15"/>
  <c r="AV76" i="15"/>
  <c r="AV82" i="15"/>
  <c r="AV88" i="15"/>
  <c r="AT102" i="15"/>
  <c r="AR69" i="15"/>
  <c r="AR123" i="15"/>
  <c r="AR124" i="15"/>
  <c r="AR99" i="15"/>
  <c r="AR103" i="15"/>
  <c r="AR13" i="18"/>
  <c r="AU93" i="15"/>
  <c r="AU86" i="15"/>
  <c r="AV127" i="15"/>
  <c r="AV129" i="15"/>
  <c r="AV130" i="15"/>
  <c r="AV128" i="15"/>
  <c r="AV22" i="16"/>
  <c r="AV102" i="16"/>
  <c r="AT67" i="15"/>
  <c r="AT101" i="15"/>
  <c r="AS99" i="15"/>
  <c r="AS103" i="15"/>
  <c r="AS13" i="18"/>
  <c r="AT93" i="15"/>
  <c r="AU87" i="15"/>
  <c r="AT65" i="15"/>
  <c r="AT55" i="15"/>
  <c r="AU95" i="15"/>
  <c r="AU109" i="15"/>
  <c r="AT108" i="15"/>
  <c r="AT100" i="15"/>
  <c r="AU48" i="15"/>
  <c r="AU131" i="15"/>
  <c r="AS62" i="15"/>
  <c r="AS122" i="15"/>
  <c r="AS92" i="15"/>
  <c r="AY38" i="15"/>
  <c r="AX14" i="16"/>
  <c r="AU85" i="15"/>
  <c r="BF63" i="18"/>
  <c r="AZ7" i="18"/>
  <c r="AZ6" i="18"/>
  <c r="AX7" i="17"/>
  <c r="AX18" i="17"/>
  <c r="AX19" i="17"/>
  <c r="AX6" i="17"/>
  <c r="AV51" i="16"/>
  <c r="AV88" i="16"/>
  <c r="AV32" i="16"/>
  <c r="AW29" i="16"/>
  <c r="AV38" i="16"/>
  <c r="AW35" i="16"/>
  <c r="AW30" i="16"/>
  <c r="AW118" i="16"/>
  <c r="AW31" i="16"/>
  <c r="AW119" i="16"/>
  <c r="AW24" i="18"/>
  <c r="AW37" i="16"/>
  <c r="AW125" i="16"/>
  <c r="AW99" i="18"/>
  <c r="AW36" i="16"/>
  <c r="AW124" i="16"/>
  <c r="AX6" i="16"/>
  <c r="AX7" i="16"/>
  <c r="AW17" i="15"/>
  <c r="AW18" i="15"/>
  <c r="AW21" i="15"/>
  <c r="AW22" i="15"/>
  <c r="AW12" i="15"/>
  <c r="AW13" i="15"/>
  <c r="AW36" i="15"/>
  <c r="AW11" i="16"/>
  <c r="AW37" i="15"/>
  <c r="AW12" i="16"/>
  <c r="AW15" i="15"/>
  <c r="AW19" i="16"/>
  <c r="AW81" i="16"/>
  <c r="AX7" i="15"/>
  <c r="AX6" i="15"/>
  <c r="AW47" i="15"/>
  <c r="AW44" i="15"/>
  <c r="AW45" i="15"/>
  <c r="AW52" i="15"/>
  <c r="AW59" i="15"/>
  <c r="AX25" i="15"/>
  <c r="AX26" i="15"/>
  <c r="AX33" i="15"/>
  <c r="AX34" i="15"/>
  <c r="AX29" i="15"/>
  <c r="AX30" i="15"/>
  <c r="AW46" i="15"/>
  <c r="AW53" i="15"/>
  <c r="AW60" i="15"/>
  <c r="AS124" i="15"/>
  <c r="AS18" i="18"/>
  <c r="AS20" i="18"/>
  <c r="AQ133" i="15"/>
  <c r="AQ138" i="15"/>
  <c r="AQ55" i="18"/>
  <c r="AQ22" i="18"/>
  <c r="AV95" i="16"/>
  <c r="AP141" i="15"/>
  <c r="AP142" i="15"/>
  <c r="AP74" i="18"/>
  <c r="AU19" i="18"/>
  <c r="AO74" i="18"/>
  <c r="AR18" i="18"/>
  <c r="AR20" i="18"/>
  <c r="AU75" i="18"/>
  <c r="AP138" i="16"/>
  <c r="AQ135" i="16"/>
  <c r="AR12" i="18"/>
  <c r="AR15" i="18"/>
  <c r="AR137" i="15"/>
  <c r="AR140" i="15"/>
  <c r="U117" i="16"/>
  <c r="U120" i="16"/>
  <c r="T48" i="18"/>
  <c r="AU136" i="16"/>
  <c r="AU130" i="16"/>
  <c r="AV44" i="16"/>
  <c r="AV109" i="16"/>
  <c r="AW126" i="16"/>
  <c r="AX123" i="16"/>
  <c r="AV65" i="16"/>
  <c r="AV24" i="16"/>
  <c r="AT69" i="15"/>
  <c r="AT115" i="15"/>
  <c r="AW23" i="16"/>
  <c r="AW72" i="16"/>
  <c r="AW22" i="16"/>
  <c r="AW65" i="16"/>
  <c r="AW20" i="16"/>
  <c r="AW88" i="16"/>
  <c r="AQ140" i="15"/>
  <c r="AT116" i="15"/>
  <c r="AU67" i="15"/>
  <c r="AU101" i="15"/>
  <c r="AU94" i="15"/>
  <c r="AU108" i="15"/>
  <c r="AR113" i="15"/>
  <c r="AR117" i="15"/>
  <c r="AR72" i="18"/>
  <c r="AR133" i="15"/>
  <c r="AU68" i="15"/>
  <c r="AU102" i="15"/>
  <c r="AU116" i="15"/>
  <c r="AU66" i="15"/>
  <c r="AU100" i="15"/>
  <c r="AS106" i="15"/>
  <c r="AS110" i="15"/>
  <c r="AS14" i="18"/>
  <c r="AS96" i="15"/>
  <c r="AU107" i="15"/>
  <c r="AV87" i="15"/>
  <c r="AV67" i="15"/>
  <c r="AW73" i="15"/>
  <c r="AW79" i="15"/>
  <c r="AW75" i="15"/>
  <c r="AW81" i="15"/>
  <c r="AW76" i="15"/>
  <c r="AW82" i="15"/>
  <c r="AW74" i="15"/>
  <c r="AW80" i="15"/>
  <c r="AZ38" i="15"/>
  <c r="AY14" i="16"/>
  <c r="AV48" i="15"/>
  <c r="AW127" i="15"/>
  <c r="AW129" i="15"/>
  <c r="AW130" i="15"/>
  <c r="AW128" i="15"/>
  <c r="AW21" i="16"/>
  <c r="AW95" i="16"/>
  <c r="AT62" i="15"/>
  <c r="AT122" i="15"/>
  <c r="AT92" i="15"/>
  <c r="AT107" i="15"/>
  <c r="AT114" i="15"/>
  <c r="AV131" i="15"/>
  <c r="AT99" i="15"/>
  <c r="AT103" i="15"/>
  <c r="AT13" i="18"/>
  <c r="AV85" i="15"/>
  <c r="AV95" i="15"/>
  <c r="AU55" i="15"/>
  <c r="AV86" i="15"/>
  <c r="AW51" i="15"/>
  <c r="AW58" i="15"/>
  <c r="AV66" i="15"/>
  <c r="BG63" i="18"/>
  <c r="BA7" i="18"/>
  <c r="BA6" i="18"/>
  <c r="AY7" i="17"/>
  <c r="AY18" i="17"/>
  <c r="AY19" i="17"/>
  <c r="AY6" i="17"/>
  <c r="AW32" i="16"/>
  <c r="AX29" i="16"/>
  <c r="AW38" i="16"/>
  <c r="AX35" i="16"/>
  <c r="AX30" i="16"/>
  <c r="AX31" i="16"/>
  <c r="AX119" i="16"/>
  <c r="AX24" i="18"/>
  <c r="AX37" i="16"/>
  <c r="AX125" i="16"/>
  <c r="AX99" i="18"/>
  <c r="AX36" i="16"/>
  <c r="AX124" i="16"/>
  <c r="AY7" i="16"/>
  <c r="AY6" i="16"/>
  <c r="AW44" i="16"/>
  <c r="AX13" i="15"/>
  <c r="AX12" i="15"/>
  <c r="AX36" i="15"/>
  <c r="AX11" i="16"/>
  <c r="AX37" i="15"/>
  <c r="AX12" i="16"/>
  <c r="AX15" i="15"/>
  <c r="AX21" i="16"/>
  <c r="AX21" i="15"/>
  <c r="AX22" i="15"/>
  <c r="AX17" i="15"/>
  <c r="AX18" i="15"/>
  <c r="AY7" i="15"/>
  <c r="AY6" i="15"/>
  <c r="AX44" i="15"/>
  <c r="AX45" i="15"/>
  <c r="AX46" i="15"/>
  <c r="AX53" i="15"/>
  <c r="AX60" i="15"/>
  <c r="AX47" i="15"/>
  <c r="AY29" i="15"/>
  <c r="AY30" i="15"/>
  <c r="AY25" i="15"/>
  <c r="AY26" i="15"/>
  <c r="AY33" i="15"/>
  <c r="AY34" i="15"/>
  <c r="AQ73" i="18"/>
  <c r="AS133" i="15"/>
  <c r="AS138" i="15"/>
  <c r="AV136" i="16"/>
  <c r="AT123" i="15"/>
  <c r="AT124" i="15"/>
  <c r="AT133" i="15"/>
  <c r="AQ141" i="15"/>
  <c r="AQ142" i="15"/>
  <c r="AR22" i="18"/>
  <c r="AR138" i="15"/>
  <c r="AR141" i="15"/>
  <c r="AR142" i="15"/>
  <c r="AV19" i="18"/>
  <c r="AV75" i="18"/>
  <c r="AQ138" i="16"/>
  <c r="AR135" i="16"/>
  <c r="AV130" i="16"/>
  <c r="V117" i="16"/>
  <c r="V120" i="16"/>
  <c r="U48" i="18"/>
  <c r="AS12" i="18"/>
  <c r="AS15" i="18"/>
  <c r="AS22" i="18"/>
  <c r="AS137" i="15"/>
  <c r="AS140" i="15"/>
  <c r="AW109" i="16"/>
  <c r="AW102" i="16"/>
  <c r="AW51" i="16"/>
  <c r="AX126" i="16"/>
  <c r="AY123" i="16"/>
  <c r="AX32" i="16"/>
  <c r="AY29" i="16"/>
  <c r="AX118" i="16"/>
  <c r="AW58" i="16"/>
  <c r="AW24" i="16"/>
  <c r="AR44" i="18"/>
  <c r="AR73" i="18"/>
  <c r="AS113" i="15"/>
  <c r="AS117" i="15"/>
  <c r="AS72" i="18"/>
  <c r="AW54" i="15"/>
  <c r="AU115" i="15"/>
  <c r="AV68" i="15"/>
  <c r="AV102" i="15"/>
  <c r="AU114" i="15"/>
  <c r="AV93" i="15"/>
  <c r="AV107" i="15"/>
  <c r="AV100" i="15"/>
  <c r="AV94" i="15"/>
  <c r="AV108" i="15"/>
  <c r="AX51" i="15"/>
  <c r="AX58" i="15"/>
  <c r="AX52" i="15"/>
  <c r="AX59" i="15"/>
  <c r="AX54" i="15"/>
  <c r="AX61" i="15"/>
  <c r="AW48" i="15"/>
  <c r="AT96" i="15"/>
  <c r="AT106" i="15"/>
  <c r="AT110" i="15"/>
  <c r="AT14" i="18"/>
  <c r="AX128" i="15"/>
  <c r="AX130" i="15"/>
  <c r="AX129" i="15"/>
  <c r="AX127" i="15"/>
  <c r="AX20" i="16"/>
  <c r="AX51" i="16"/>
  <c r="AW67" i="15"/>
  <c r="AV109" i="15"/>
  <c r="AW87" i="15"/>
  <c r="AY15" i="15"/>
  <c r="AX23" i="16"/>
  <c r="AX72" i="16"/>
  <c r="AX19" i="16"/>
  <c r="AX81" i="16"/>
  <c r="AV55" i="15"/>
  <c r="BA38" i="15"/>
  <c r="AZ14" i="16"/>
  <c r="AW85" i="15"/>
  <c r="AV101" i="15"/>
  <c r="AW88" i="15"/>
  <c r="AX74" i="15"/>
  <c r="AX80" i="15"/>
  <c r="AX76" i="15"/>
  <c r="AX82" i="15"/>
  <c r="AX73" i="15"/>
  <c r="AX79" i="15"/>
  <c r="AX75" i="15"/>
  <c r="AX81" i="15"/>
  <c r="AX87" i="15"/>
  <c r="AX22" i="16"/>
  <c r="AX65" i="16"/>
  <c r="AU65" i="15"/>
  <c r="AU62" i="15"/>
  <c r="AU122" i="15"/>
  <c r="AU92" i="15"/>
  <c r="AW131" i="15"/>
  <c r="AW86" i="15"/>
  <c r="BH63" i="18"/>
  <c r="BB7" i="18"/>
  <c r="BB6" i="18"/>
  <c r="AZ6" i="17"/>
  <c r="AZ7" i="17"/>
  <c r="AZ18" i="17"/>
  <c r="AZ19" i="17"/>
  <c r="AX58" i="16"/>
  <c r="AX95" i="16"/>
  <c r="AX38" i="16"/>
  <c r="AY35" i="16"/>
  <c r="AY36" i="16"/>
  <c r="AY124" i="16"/>
  <c r="AY37" i="16"/>
  <c r="AY125" i="16"/>
  <c r="AY99" i="18"/>
  <c r="AY31" i="16"/>
  <c r="AY119" i="16"/>
  <c r="AY24" i="18"/>
  <c r="AY30" i="16"/>
  <c r="AY118" i="16"/>
  <c r="AZ7" i="16"/>
  <c r="AZ6" i="16"/>
  <c r="AY17" i="15"/>
  <c r="AY18" i="15"/>
  <c r="AY21" i="15"/>
  <c r="AY22" i="15"/>
  <c r="AY12" i="15"/>
  <c r="AY13" i="15"/>
  <c r="AY36" i="15"/>
  <c r="AY11" i="16"/>
  <c r="AY37" i="15"/>
  <c r="AY12" i="16"/>
  <c r="AZ7" i="15"/>
  <c r="AZ6" i="15"/>
  <c r="AW61" i="15"/>
  <c r="AW68" i="15"/>
  <c r="AW102" i="15"/>
  <c r="AY47" i="15"/>
  <c r="AY46" i="15"/>
  <c r="AY53" i="15"/>
  <c r="AY60" i="15"/>
  <c r="AY44" i="15"/>
  <c r="AY45" i="15"/>
  <c r="AY52" i="15"/>
  <c r="AY59" i="15"/>
  <c r="AZ33" i="15"/>
  <c r="AZ34" i="15"/>
  <c r="AZ29" i="15"/>
  <c r="AZ30" i="15"/>
  <c r="AZ25" i="15"/>
  <c r="AZ26" i="15"/>
  <c r="AS73" i="18"/>
  <c r="AT18" i="18"/>
  <c r="AT20" i="18"/>
  <c r="AV116" i="15"/>
  <c r="AR55" i="18"/>
  <c r="AW136" i="16"/>
  <c r="AW19" i="18"/>
  <c r="AW75" i="18"/>
  <c r="AR74" i="18"/>
  <c r="AQ74" i="18"/>
  <c r="AR138" i="16"/>
  <c r="AS135" i="16"/>
  <c r="AT12" i="18"/>
  <c r="AT15" i="18"/>
  <c r="AT22" i="18"/>
  <c r="AT137" i="15"/>
  <c r="AT140" i="15"/>
  <c r="W117" i="16"/>
  <c r="W120" i="16"/>
  <c r="V48" i="18"/>
  <c r="AX88" i="16"/>
  <c r="AY126" i="16"/>
  <c r="AZ123" i="16"/>
  <c r="AW130" i="16"/>
  <c r="AX102" i="16"/>
  <c r="AW95" i="15"/>
  <c r="AW109" i="15"/>
  <c r="AV114" i="15"/>
  <c r="AX44" i="16"/>
  <c r="AS44" i="18"/>
  <c r="AX131" i="15"/>
  <c r="AT113" i="15"/>
  <c r="AT117" i="15"/>
  <c r="AT72" i="18"/>
  <c r="AV115" i="15"/>
  <c r="AW94" i="15"/>
  <c r="AW108" i="15"/>
  <c r="AY128" i="15"/>
  <c r="AY130" i="15"/>
  <c r="AY129" i="15"/>
  <c r="AY127" i="15"/>
  <c r="AY22" i="16"/>
  <c r="AY65" i="16"/>
  <c r="AY19" i="16"/>
  <c r="AY81" i="16"/>
  <c r="AY21" i="16"/>
  <c r="AY58" i="16"/>
  <c r="AY20" i="16"/>
  <c r="AY23" i="16"/>
  <c r="AY72" i="16"/>
  <c r="AX88" i="15"/>
  <c r="AX95" i="15"/>
  <c r="AX24" i="16"/>
  <c r="AX109" i="16"/>
  <c r="AX86" i="15"/>
  <c r="AW101" i="15"/>
  <c r="AX66" i="15"/>
  <c r="AY74" i="15"/>
  <c r="AY80" i="15"/>
  <c r="AY76" i="15"/>
  <c r="AY82" i="15"/>
  <c r="AY75" i="15"/>
  <c r="AY81" i="15"/>
  <c r="AY73" i="15"/>
  <c r="AY79" i="15"/>
  <c r="AS55" i="18"/>
  <c r="AS141" i="15"/>
  <c r="AS142" i="15"/>
  <c r="AW93" i="15"/>
  <c r="AW107" i="15"/>
  <c r="AU69" i="15"/>
  <c r="AU123" i="15"/>
  <c r="AU124" i="15"/>
  <c r="AU99" i="15"/>
  <c r="AU103" i="15"/>
  <c r="AU13" i="18"/>
  <c r="AX94" i="15"/>
  <c r="AX108" i="15"/>
  <c r="AU106" i="15"/>
  <c r="AU110" i="15"/>
  <c r="AU14" i="18"/>
  <c r="AU96" i="15"/>
  <c r="AV62" i="15"/>
  <c r="AV122" i="15"/>
  <c r="AV92" i="15"/>
  <c r="AT138" i="15"/>
  <c r="AT73" i="18"/>
  <c r="AY51" i="15"/>
  <c r="AY58" i="15"/>
  <c r="AY54" i="15"/>
  <c r="AY61" i="15"/>
  <c r="AW66" i="15"/>
  <c r="AW100" i="15"/>
  <c r="AX85" i="15"/>
  <c r="BB38" i="15"/>
  <c r="BA14" i="16"/>
  <c r="AV65" i="15"/>
  <c r="AW55" i="15"/>
  <c r="AW92" i="15"/>
  <c r="AX48" i="15"/>
  <c r="BI63" i="18"/>
  <c r="BC7" i="18"/>
  <c r="BC6" i="18"/>
  <c r="BA7" i="17"/>
  <c r="BA18" i="17"/>
  <c r="BA19" i="17"/>
  <c r="BA6" i="17"/>
  <c r="AY38" i="16"/>
  <c r="AZ35" i="16"/>
  <c r="AY32" i="16"/>
  <c r="AZ29" i="16"/>
  <c r="AZ36" i="16"/>
  <c r="AZ124" i="16"/>
  <c r="AZ30" i="16"/>
  <c r="AZ118" i="16"/>
  <c r="AZ31" i="16"/>
  <c r="AZ119" i="16"/>
  <c r="AZ24" i="18"/>
  <c r="AZ37" i="16"/>
  <c r="AZ125" i="16"/>
  <c r="AZ99" i="18"/>
  <c r="BA7" i="16"/>
  <c r="BA6" i="16"/>
  <c r="AZ12" i="15"/>
  <c r="AZ13" i="15"/>
  <c r="AZ36" i="15"/>
  <c r="AZ11" i="16"/>
  <c r="AZ37" i="15"/>
  <c r="AZ12" i="16"/>
  <c r="AZ17" i="15"/>
  <c r="AZ18" i="15"/>
  <c r="AZ21" i="15"/>
  <c r="AZ22" i="15"/>
  <c r="AZ15" i="15"/>
  <c r="AZ23" i="16"/>
  <c r="BA6" i="15"/>
  <c r="BA7" i="15"/>
  <c r="AZ47" i="15"/>
  <c r="AZ46" i="15"/>
  <c r="AZ45" i="15"/>
  <c r="AZ52" i="15"/>
  <c r="AZ59" i="15"/>
  <c r="BA33" i="15"/>
  <c r="BA34" i="15"/>
  <c r="BA29" i="15"/>
  <c r="BA30" i="15"/>
  <c r="BA25" i="15"/>
  <c r="BA26" i="15"/>
  <c r="AZ44" i="15"/>
  <c r="AZ51" i="15"/>
  <c r="AZ58" i="15"/>
  <c r="AW116" i="15"/>
  <c r="AX19" i="18"/>
  <c r="AS74" i="18"/>
  <c r="AU18" i="18"/>
  <c r="AU20" i="18"/>
  <c r="AX75" i="18"/>
  <c r="AS138" i="16"/>
  <c r="AT135" i="16"/>
  <c r="AU12" i="18"/>
  <c r="AU15" i="18"/>
  <c r="AU137" i="15"/>
  <c r="AU44" i="18"/>
  <c r="X117" i="16"/>
  <c r="X120" i="16"/>
  <c r="W48" i="18"/>
  <c r="AX130" i="16"/>
  <c r="AZ126" i="16"/>
  <c r="BA123" i="16"/>
  <c r="AY95" i="16"/>
  <c r="AY102" i="16"/>
  <c r="AY109" i="16"/>
  <c r="AW114" i="15"/>
  <c r="AX136" i="16"/>
  <c r="AY44" i="16"/>
  <c r="AY24" i="16"/>
  <c r="AY88" i="16"/>
  <c r="AY51" i="16"/>
  <c r="AX67" i="15"/>
  <c r="AX101" i="15"/>
  <c r="AX115" i="15"/>
  <c r="AX68" i="15"/>
  <c r="AX102" i="15"/>
  <c r="AU133" i="15"/>
  <c r="AU140" i="15"/>
  <c r="AW115" i="15"/>
  <c r="AT44" i="18"/>
  <c r="AU113" i="15"/>
  <c r="AU117" i="15"/>
  <c r="AU72" i="18"/>
  <c r="BC38" i="15"/>
  <c r="BB14" i="16"/>
  <c r="AY48" i="15"/>
  <c r="AZ19" i="16"/>
  <c r="AZ81" i="16"/>
  <c r="AZ20" i="16"/>
  <c r="AZ88" i="16"/>
  <c r="AY68" i="15"/>
  <c r="AY88" i="15"/>
  <c r="AY95" i="15"/>
  <c r="AW106" i="15"/>
  <c r="AW110" i="15"/>
  <c r="AW14" i="18"/>
  <c r="AW96" i="15"/>
  <c r="AX55" i="15"/>
  <c r="AV69" i="15"/>
  <c r="AV123" i="15"/>
  <c r="AV124" i="15"/>
  <c r="AV99" i="15"/>
  <c r="AV103" i="15"/>
  <c r="AV13" i="18"/>
  <c r="AY66" i="15"/>
  <c r="AT55" i="18"/>
  <c r="AT141" i="15"/>
  <c r="AT142" i="15"/>
  <c r="AY86" i="15"/>
  <c r="AY93" i="15"/>
  <c r="AX93" i="15"/>
  <c r="AX109" i="15"/>
  <c r="AZ73" i="15"/>
  <c r="AZ79" i="15"/>
  <c r="AZ75" i="15"/>
  <c r="AZ81" i="15"/>
  <c r="AZ76" i="15"/>
  <c r="AZ82" i="15"/>
  <c r="AZ88" i="15"/>
  <c r="AZ74" i="15"/>
  <c r="AZ80" i="15"/>
  <c r="AY87" i="15"/>
  <c r="AZ127" i="15"/>
  <c r="AZ129" i="15"/>
  <c r="AZ128" i="15"/>
  <c r="AZ130" i="15"/>
  <c r="AZ53" i="15"/>
  <c r="AZ60" i="15"/>
  <c r="AZ54" i="15"/>
  <c r="AZ61" i="15"/>
  <c r="AZ21" i="16"/>
  <c r="AZ95" i="16"/>
  <c r="AZ22" i="16"/>
  <c r="AZ102" i="16"/>
  <c r="AW65" i="15"/>
  <c r="AY67" i="15"/>
  <c r="AV106" i="15"/>
  <c r="AV110" i="15"/>
  <c r="AV14" i="18"/>
  <c r="AV96" i="15"/>
  <c r="AW62" i="15"/>
  <c r="AW122" i="15"/>
  <c r="AY85" i="15"/>
  <c r="AX100" i="15"/>
  <c r="AY131" i="15"/>
  <c r="BJ63" i="18"/>
  <c r="BD7" i="18"/>
  <c r="BD6" i="18"/>
  <c r="BB6" i="17"/>
  <c r="BB7" i="17"/>
  <c r="BB18" i="17"/>
  <c r="BB19" i="17"/>
  <c r="AZ38" i="16"/>
  <c r="BA35" i="16"/>
  <c r="AZ72" i="16"/>
  <c r="AZ109" i="16"/>
  <c r="AZ32" i="16"/>
  <c r="BA29" i="16"/>
  <c r="BA30" i="16"/>
  <c r="BA118" i="16"/>
  <c r="BA31" i="16"/>
  <c r="BA119" i="16"/>
  <c r="BA24" i="18"/>
  <c r="BA36" i="16"/>
  <c r="BA124" i="16"/>
  <c r="BA37" i="16"/>
  <c r="BA125" i="16"/>
  <c r="BA99" i="18"/>
  <c r="BB7" i="16"/>
  <c r="BB6" i="16"/>
  <c r="BA17" i="15"/>
  <c r="BA18" i="15"/>
  <c r="BA21" i="15"/>
  <c r="BA22" i="15"/>
  <c r="BA15" i="15"/>
  <c r="BA23" i="16"/>
  <c r="BA12" i="15"/>
  <c r="BA13" i="15"/>
  <c r="BA36" i="15"/>
  <c r="BA11" i="16"/>
  <c r="BA37" i="15"/>
  <c r="BA12" i="16"/>
  <c r="BB6" i="15"/>
  <c r="BB7" i="15"/>
  <c r="BA46" i="15"/>
  <c r="BA45" i="15"/>
  <c r="BA47" i="15"/>
  <c r="BA54" i="15"/>
  <c r="BA61" i="15"/>
  <c r="BB25" i="15"/>
  <c r="BB26" i="15"/>
  <c r="BB33" i="15"/>
  <c r="BB34" i="15"/>
  <c r="BB29" i="15"/>
  <c r="BB30" i="15"/>
  <c r="BA44" i="15"/>
  <c r="BA51" i="15"/>
  <c r="BA58" i="15"/>
  <c r="AU22" i="18"/>
  <c r="AU73" i="18"/>
  <c r="AY19" i="18"/>
  <c r="AY75" i="18"/>
  <c r="AT74" i="18"/>
  <c r="AV18" i="18"/>
  <c r="AV20" i="18"/>
  <c r="AT138" i="16"/>
  <c r="AU135" i="16"/>
  <c r="X48" i="18"/>
  <c r="Y117" i="16"/>
  <c r="Y120" i="16"/>
  <c r="AW12" i="18"/>
  <c r="AW137" i="15"/>
  <c r="AW44" i="18"/>
  <c r="AV12" i="18"/>
  <c r="AV15" i="18"/>
  <c r="AV137" i="15"/>
  <c r="AV140" i="15"/>
  <c r="BA126" i="16"/>
  <c r="BB123" i="16"/>
  <c r="AY136" i="16"/>
  <c r="AZ58" i="16"/>
  <c r="AY130" i="16"/>
  <c r="AX116" i="15"/>
  <c r="AZ51" i="16"/>
  <c r="AZ65" i="16"/>
  <c r="BA21" i="16"/>
  <c r="BA58" i="16"/>
  <c r="AZ44" i="16"/>
  <c r="AZ24" i="16"/>
  <c r="AU138" i="15"/>
  <c r="AU141" i="15"/>
  <c r="AU142" i="15"/>
  <c r="BA19" i="16"/>
  <c r="BA81" i="16"/>
  <c r="AY101" i="15"/>
  <c r="BA22" i="16"/>
  <c r="BA102" i="16"/>
  <c r="AV133" i="15"/>
  <c r="AV113" i="15"/>
  <c r="AV117" i="15"/>
  <c r="AV72" i="18"/>
  <c r="AZ67" i="15"/>
  <c r="AY94" i="15"/>
  <c r="BA73" i="15"/>
  <c r="BA79" i="15"/>
  <c r="BA75" i="15"/>
  <c r="BA81" i="15"/>
  <c r="BA74" i="15"/>
  <c r="BA80" i="15"/>
  <c r="BA76" i="15"/>
  <c r="BA82" i="15"/>
  <c r="AZ48" i="15"/>
  <c r="AZ85" i="15"/>
  <c r="AY107" i="15"/>
  <c r="AU55" i="18"/>
  <c r="AW69" i="15"/>
  <c r="AW123" i="15"/>
  <c r="AW124" i="15"/>
  <c r="AW99" i="15"/>
  <c r="AX107" i="15"/>
  <c r="AX114" i="15"/>
  <c r="AZ66" i="15"/>
  <c r="AZ86" i="15"/>
  <c r="AY100" i="15"/>
  <c r="AX65" i="15"/>
  <c r="AX62" i="15"/>
  <c r="AX122" i="15"/>
  <c r="AX92" i="15"/>
  <c r="AY109" i="15"/>
  <c r="BD38" i="15"/>
  <c r="BC14" i="16"/>
  <c r="BA52" i="15"/>
  <c r="BA59" i="15"/>
  <c r="BA53" i="15"/>
  <c r="BA60" i="15"/>
  <c r="AZ87" i="15"/>
  <c r="BA127" i="15"/>
  <c r="BA129" i="15"/>
  <c r="BA128" i="15"/>
  <c r="BA130" i="15"/>
  <c r="BA20" i="16"/>
  <c r="BA51" i="16"/>
  <c r="AZ95" i="15"/>
  <c r="AZ131" i="15"/>
  <c r="AY102" i="15"/>
  <c r="AY55" i="15"/>
  <c r="BK63" i="18"/>
  <c r="BE7" i="18"/>
  <c r="BE6" i="18"/>
  <c r="AZ136" i="16"/>
  <c r="BC7" i="17"/>
  <c r="BC18" i="17"/>
  <c r="BC19" i="17"/>
  <c r="BC6" i="17"/>
  <c r="BA72" i="16"/>
  <c r="BA109" i="16"/>
  <c r="BA32" i="16"/>
  <c r="BB29" i="16"/>
  <c r="BA38" i="16"/>
  <c r="BB35" i="16"/>
  <c r="BB30" i="16"/>
  <c r="BB118" i="16"/>
  <c r="BB31" i="16"/>
  <c r="BB119" i="16"/>
  <c r="BB24" i="18"/>
  <c r="BB37" i="16"/>
  <c r="BB125" i="16"/>
  <c r="BB99" i="18"/>
  <c r="BB36" i="16"/>
  <c r="BB124" i="16"/>
  <c r="BC7" i="16"/>
  <c r="BC6" i="16"/>
  <c r="BB21" i="15"/>
  <c r="BB22" i="15"/>
  <c r="BB17" i="15"/>
  <c r="BB18" i="15"/>
  <c r="BB15" i="15"/>
  <c r="BB19" i="16"/>
  <c r="BB81" i="16"/>
  <c r="BB13" i="15"/>
  <c r="BB12" i="15"/>
  <c r="BB36" i="15"/>
  <c r="BB11" i="16"/>
  <c r="BB37" i="15"/>
  <c r="BB12" i="16"/>
  <c r="BC7" i="15"/>
  <c r="BC6" i="15"/>
  <c r="BB47" i="15"/>
  <c r="BB46" i="15"/>
  <c r="BB53" i="15"/>
  <c r="BB60" i="15"/>
  <c r="BC29" i="15"/>
  <c r="BC30" i="15"/>
  <c r="BC25" i="15"/>
  <c r="BC26" i="15"/>
  <c r="BC33" i="15"/>
  <c r="BC34" i="15"/>
  <c r="BB44" i="15"/>
  <c r="BB45" i="15"/>
  <c r="AV22" i="18"/>
  <c r="AU74" i="18"/>
  <c r="AV138" i="15"/>
  <c r="AV55" i="18"/>
  <c r="AZ75" i="18"/>
  <c r="AZ19" i="18"/>
  <c r="AW18" i="18"/>
  <c r="AW20" i="18"/>
  <c r="AU138" i="16"/>
  <c r="AV135" i="16"/>
  <c r="Z117" i="16"/>
  <c r="Z120" i="16"/>
  <c r="Y48" i="18"/>
  <c r="BA44" i="16"/>
  <c r="BB126" i="16"/>
  <c r="BC123" i="16"/>
  <c r="BA65" i="16"/>
  <c r="AZ130" i="16"/>
  <c r="BA95" i="16"/>
  <c r="AY114" i="15"/>
  <c r="BB23" i="16"/>
  <c r="BB72" i="16"/>
  <c r="AW140" i="15"/>
  <c r="BA24" i="16"/>
  <c r="BA88" i="16"/>
  <c r="BB21" i="16"/>
  <c r="BB58" i="16"/>
  <c r="BB22" i="16"/>
  <c r="BB65" i="16"/>
  <c r="AV73" i="18"/>
  <c r="BA131" i="15"/>
  <c r="AY116" i="15"/>
  <c r="AV44" i="18"/>
  <c r="AW103" i="15"/>
  <c r="AW13" i="18"/>
  <c r="AW15" i="18"/>
  <c r="AW113" i="15"/>
  <c r="AW117" i="15"/>
  <c r="AW72" i="18"/>
  <c r="AZ93" i="15"/>
  <c r="AZ107" i="15"/>
  <c r="BB74" i="15"/>
  <c r="BB80" i="15"/>
  <c r="BB76" i="15"/>
  <c r="BB82" i="15"/>
  <c r="BB75" i="15"/>
  <c r="BB81" i="15"/>
  <c r="BB87" i="15"/>
  <c r="BB73" i="15"/>
  <c r="BB79" i="15"/>
  <c r="AZ109" i="15"/>
  <c r="AZ100" i="15"/>
  <c r="BA86" i="15"/>
  <c r="BB128" i="15"/>
  <c r="BB130" i="15"/>
  <c r="BB127" i="15"/>
  <c r="BB129" i="15"/>
  <c r="BB20" i="16"/>
  <c r="BB51" i="16"/>
  <c r="AY65" i="15"/>
  <c r="AY62" i="15"/>
  <c r="AY122" i="15"/>
  <c r="AY92" i="15"/>
  <c r="AZ94" i="15"/>
  <c r="BA68" i="15"/>
  <c r="AX69" i="15"/>
  <c r="AX123" i="15"/>
  <c r="AX124" i="15"/>
  <c r="AX99" i="15"/>
  <c r="AX103" i="15"/>
  <c r="AX13" i="18"/>
  <c r="BA87" i="15"/>
  <c r="AV141" i="15"/>
  <c r="AV142" i="15"/>
  <c r="BE38" i="15"/>
  <c r="BD14" i="16"/>
  <c r="AZ101" i="15"/>
  <c r="BA93" i="15"/>
  <c r="AZ65" i="15"/>
  <c r="AZ55" i="15"/>
  <c r="BA85" i="15"/>
  <c r="BA48" i="15"/>
  <c r="BB51" i="15"/>
  <c r="BB58" i="15"/>
  <c r="BB54" i="15"/>
  <c r="BB61" i="15"/>
  <c r="BB52" i="15"/>
  <c r="BB59" i="15"/>
  <c r="AZ68" i="15"/>
  <c r="AZ102" i="15"/>
  <c r="BA94" i="15"/>
  <c r="AX106" i="15"/>
  <c r="AX110" i="15"/>
  <c r="AX14" i="18"/>
  <c r="AX96" i="15"/>
  <c r="AW133" i="15"/>
  <c r="BA88" i="15"/>
  <c r="AY108" i="15"/>
  <c r="AY115" i="15"/>
  <c r="BL63" i="18"/>
  <c r="BF7" i="18"/>
  <c r="BF6" i="18"/>
  <c r="BD6" i="17"/>
  <c r="BD7" i="17"/>
  <c r="BD18" i="17"/>
  <c r="BD19" i="17"/>
  <c r="BB38" i="16"/>
  <c r="BC35" i="16"/>
  <c r="BB32" i="16"/>
  <c r="BC29" i="16"/>
  <c r="BB44" i="16"/>
  <c r="BC36" i="16"/>
  <c r="BC124" i="16"/>
  <c r="BC30" i="16"/>
  <c r="BC118" i="16"/>
  <c r="BC31" i="16"/>
  <c r="BC119" i="16"/>
  <c r="BC24" i="18"/>
  <c r="BC37" i="16"/>
  <c r="BC125" i="16"/>
  <c r="BC99" i="18"/>
  <c r="BD7" i="16"/>
  <c r="BD6" i="16"/>
  <c r="BC15" i="15"/>
  <c r="BC21" i="16"/>
  <c r="BC17" i="15"/>
  <c r="BC18" i="15"/>
  <c r="BC21" i="15"/>
  <c r="BC22" i="15"/>
  <c r="BC12" i="15"/>
  <c r="BC13" i="15"/>
  <c r="BC36" i="15"/>
  <c r="BC11" i="16"/>
  <c r="BC37" i="15"/>
  <c r="BC12" i="16"/>
  <c r="BD7" i="15"/>
  <c r="BD6" i="15"/>
  <c r="BC44" i="15"/>
  <c r="BC47" i="15"/>
  <c r="BC45" i="15"/>
  <c r="BC46" i="15"/>
  <c r="BD33" i="15"/>
  <c r="BD34" i="15"/>
  <c r="BD29" i="15"/>
  <c r="BD30" i="15"/>
  <c r="BD25" i="15"/>
  <c r="BD26" i="15"/>
  <c r="AZ116" i="15"/>
  <c r="AW22" i="18"/>
  <c r="AX18" i="18"/>
  <c r="AX20" i="18"/>
  <c r="BA19" i="18"/>
  <c r="AV74" i="18"/>
  <c r="BA75" i="18"/>
  <c r="AV138" i="16"/>
  <c r="AW135" i="16"/>
  <c r="BC20" i="16"/>
  <c r="BC51" i="16"/>
  <c r="AX12" i="18"/>
  <c r="AX15" i="18"/>
  <c r="AX137" i="15"/>
  <c r="AX44" i="18"/>
  <c r="AA117" i="16"/>
  <c r="AA120" i="16"/>
  <c r="Z48" i="18"/>
  <c r="BA136" i="16"/>
  <c r="BA130" i="16"/>
  <c r="BC126" i="16"/>
  <c r="BD123" i="16"/>
  <c r="BB109" i="16"/>
  <c r="BB102" i="16"/>
  <c r="BC22" i="16"/>
  <c r="BC65" i="16"/>
  <c r="BB95" i="16"/>
  <c r="BC19" i="16"/>
  <c r="BC81" i="16"/>
  <c r="BB24" i="16"/>
  <c r="BB88" i="16"/>
  <c r="AX113" i="15"/>
  <c r="AX117" i="15"/>
  <c r="AX72" i="18"/>
  <c r="AZ69" i="15"/>
  <c r="AZ123" i="15"/>
  <c r="AZ114" i="15"/>
  <c r="AX133" i="15"/>
  <c r="BA95" i="15"/>
  <c r="BA109" i="15"/>
  <c r="BA102" i="15"/>
  <c r="BA67" i="15"/>
  <c r="BA101" i="15"/>
  <c r="BA108" i="15"/>
  <c r="BA107" i="15"/>
  <c r="AW138" i="15"/>
  <c r="AW73" i="18"/>
  <c r="AZ99" i="15"/>
  <c r="AZ103" i="15"/>
  <c r="AZ13" i="18"/>
  <c r="BB88" i="15"/>
  <c r="BC128" i="15"/>
  <c r="BC130" i="15"/>
  <c r="BC127" i="15"/>
  <c r="BC129" i="15"/>
  <c r="BC23" i="16"/>
  <c r="BB95" i="15"/>
  <c r="BA65" i="15"/>
  <c r="AZ62" i="15"/>
  <c r="AZ122" i="15"/>
  <c r="AZ92" i="15"/>
  <c r="BB86" i="15"/>
  <c r="BC74" i="15"/>
  <c r="BC80" i="15"/>
  <c r="BC76" i="15"/>
  <c r="BC82" i="15"/>
  <c r="BC73" i="15"/>
  <c r="BC79" i="15"/>
  <c r="BC75" i="15"/>
  <c r="BC81" i="15"/>
  <c r="BB66" i="15"/>
  <c r="AY106" i="15"/>
  <c r="AY110" i="15"/>
  <c r="AY14" i="18"/>
  <c r="AY96" i="15"/>
  <c r="BB94" i="15"/>
  <c r="BA66" i="15"/>
  <c r="BA100" i="15"/>
  <c r="BF38" i="15"/>
  <c r="BE14" i="16"/>
  <c r="BA55" i="15"/>
  <c r="AY69" i="15"/>
  <c r="AY123" i="15"/>
  <c r="AY124" i="15"/>
  <c r="AY99" i="15"/>
  <c r="AY103" i="15"/>
  <c r="AY13" i="18"/>
  <c r="BB131" i="15"/>
  <c r="BB85" i="15"/>
  <c r="BC51" i="15"/>
  <c r="BC58" i="15"/>
  <c r="BC54" i="15"/>
  <c r="BC61" i="15"/>
  <c r="BC52" i="15"/>
  <c r="BC59" i="15"/>
  <c r="BB48" i="15"/>
  <c r="AZ108" i="15"/>
  <c r="AZ115" i="15"/>
  <c r="BM63" i="18"/>
  <c r="BG7" i="18"/>
  <c r="BG6" i="18"/>
  <c r="BB130" i="16"/>
  <c r="BE7" i="17"/>
  <c r="BE18" i="17"/>
  <c r="BE19" i="17"/>
  <c r="BE6" i="17"/>
  <c r="BC58" i="16"/>
  <c r="BC95" i="16"/>
  <c r="BC32" i="16"/>
  <c r="BD29" i="16"/>
  <c r="BC38" i="16"/>
  <c r="BD35" i="16"/>
  <c r="BD36" i="16"/>
  <c r="BD124" i="16"/>
  <c r="BD30" i="16"/>
  <c r="BD118" i="16"/>
  <c r="BD31" i="16"/>
  <c r="BD119" i="16"/>
  <c r="BD24" i="18"/>
  <c r="BD37" i="16"/>
  <c r="BD125" i="16"/>
  <c r="BD99" i="18"/>
  <c r="BE6" i="16"/>
  <c r="BE7" i="16"/>
  <c r="BD17" i="15"/>
  <c r="BD18" i="15"/>
  <c r="BD21" i="15"/>
  <c r="BD22" i="15"/>
  <c r="BD12" i="15"/>
  <c r="BD13" i="15"/>
  <c r="BD36" i="15"/>
  <c r="BD11" i="16"/>
  <c r="BD37" i="15"/>
  <c r="BD12" i="16"/>
  <c r="BD15" i="15"/>
  <c r="BD20" i="16"/>
  <c r="BE6" i="15"/>
  <c r="BE7" i="15"/>
  <c r="BD44" i="15"/>
  <c r="BD45" i="15"/>
  <c r="BD46" i="15"/>
  <c r="BD47" i="15"/>
  <c r="BD54" i="15"/>
  <c r="BD61" i="15"/>
  <c r="BE33" i="15"/>
  <c r="BE34" i="15"/>
  <c r="BE29" i="15"/>
  <c r="BE30" i="15"/>
  <c r="BE25" i="15"/>
  <c r="BE26" i="15"/>
  <c r="BC88" i="16"/>
  <c r="AX22" i="18"/>
  <c r="AX138" i="15"/>
  <c r="AX141" i="15"/>
  <c r="BB19" i="18"/>
  <c r="BB75" i="18"/>
  <c r="AY18" i="18"/>
  <c r="AY20" i="18"/>
  <c r="AW138" i="16"/>
  <c r="AX135" i="16"/>
  <c r="AA48" i="18"/>
  <c r="AB117" i="16"/>
  <c r="AB120" i="16"/>
  <c r="AY12" i="18"/>
  <c r="AY15" i="18"/>
  <c r="AY137" i="15"/>
  <c r="AY140" i="15"/>
  <c r="BD126" i="16"/>
  <c r="BE123" i="16"/>
  <c r="BC44" i="16"/>
  <c r="BC102" i="16"/>
  <c r="BC24" i="16"/>
  <c r="AZ124" i="15"/>
  <c r="BB136" i="16"/>
  <c r="BD23" i="16"/>
  <c r="BD109" i="16"/>
  <c r="BC109" i="16"/>
  <c r="BA114" i="15"/>
  <c r="BC72" i="16"/>
  <c r="BD19" i="16"/>
  <c r="BD81" i="16"/>
  <c r="AX73" i="18"/>
  <c r="BC53" i="15"/>
  <c r="BC60" i="15"/>
  <c r="BD21" i="16"/>
  <c r="BD58" i="16"/>
  <c r="AX140" i="15"/>
  <c r="BA69" i="15"/>
  <c r="BA123" i="15"/>
  <c r="BA99" i="15"/>
  <c r="BA103" i="15"/>
  <c r="BA13" i="18"/>
  <c r="BA115" i="15"/>
  <c r="BA116" i="15"/>
  <c r="BB93" i="15"/>
  <c r="BB107" i="15"/>
  <c r="AY113" i="15"/>
  <c r="AY117" i="15"/>
  <c r="AY72" i="18"/>
  <c r="BB68" i="15"/>
  <c r="BB102" i="15"/>
  <c r="BB109" i="15"/>
  <c r="BC48" i="15"/>
  <c r="BC87" i="15"/>
  <c r="BD127" i="15"/>
  <c r="BD129" i="15"/>
  <c r="BD130" i="15"/>
  <c r="BD128" i="15"/>
  <c r="BD22" i="16"/>
  <c r="BD102" i="16"/>
  <c r="BB55" i="15"/>
  <c r="BB65" i="15"/>
  <c r="BC66" i="15"/>
  <c r="BC85" i="15"/>
  <c r="BB100" i="15"/>
  <c r="BA62" i="15"/>
  <c r="BA122" i="15"/>
  <c r="BA92" i="15"/>
  <c r="AW55" i="18"/>
  <c r="AW141" i="15"/>
  <c r="AW142" i="15"/>
  <c r="BB108" i="15"/>
  <c r="BD52" i="15"/>
  <c r="BD59" i="15"/>
  <c r="BD53" i="15"/>
  <c r="BD60" i="15"/>
  <c r="BD51" i="15"/>
  <c r="BD58" i="15"/>
  <c r="BC68" i="15"/>
  <c r="BG38" i="15"/>
  <c r="BF14" i="16"/>
  <c r="BC88" i="15"/>
  <c r="AZ106" i="15"/>
  <c r="AZ110" i="15"/>
  <c r="AZ14" i="18"/>
  <c r="AZ96" i="15"/>
  <c r="BC131" i="15"/>
  <c r="BD73" i="15"/>
  <c r="BD79" i="15"/>
  <c r="BD75" i="15"/>
  <c r="BD81" i="15"/>
  <c r="BD74" i="15"/>
  <c r="BD80" i="15"/>
  <c r="BD86" i="15"/>
  <c r="BD76" i="15"/>
  <c r="BD82" i="15"/>
  <c r="BD88" i="15"/>
  <c r="AY133" i="15"/>
  <c r="BB67" i="15"/>
  <c r="BB101" i="15"/>
  <c r="BC86" i="15"/>
  <c r="BN63" i="18"/>
  <c r="BH6" i="18"/>
  <c r="BH7" i="18"/>
  <c r="BF7" i="17"/>
  <c r="BF18" i="17"/>
  <c r="BF19" i="17"/>
  <c r="BF6" i="17"/>
  <c r="BD51" i="16"/>
  <c r="BD88" i="16"/>
  <c r="BD32" i="16"/>
  <c r="BE29" i="16"/>
  <c r="BD38" i="16"/>
  <c r="BE35" i="16"/>
  <c r="BE30" i="16"/>
  <c r="BE118" i="16"/>
  <c r="BE31" i="16"/>
  <c r="BE119" i="16"/>
  <c r="BE24" i="18"/>
  <c r="BE36" i="16"/>
  <c r="BE124" i="16"/>
  <c r="BE37" i="16"/>
  <c r="BE125" i="16"/>
  <c r="BE99" i="18"/>
  <c r="BF7" i="16"/>
  <c r="BF6" i="16"/>
  <c r="BE12" i="15"/>
  <c r="BE13" i="15"/>
  <c r="BE36" i="15"/>
  <c r="BE11" i="16"/>
  <c r="BE37" i="15"/>
  <c r="BE12" i="16"/>
  <c r="BE17" i="15"/>
  <c r="BE18" i="15"/>
  <c r="BE21" i="15"/>
  <c r="BE22" i="15"/>
  <c r="BE15" i="15"/>
  <c r="BE23" i="16"/>
  <c r="BF7" i="15"/>
  <c r="BF6" i="15"/>
  <c r="BE45" i="15"/>
  <c r="BE46" i="15"/>
  <c r="BE47" i="15"/>
  <c r="BF25" i="15"/>
  <c r="BF26" i="15"/>
  <c r="BF33" i="15"/>
  <c r="BF34" i="15"/>
  <c r="BF29" i="15"/>
  <c r="BF30" i="15"/>
  <c r="BE44" i="15"/>
  <c r="BE51" i="15"/>
  <c r="BE58" i="15"/>
  <c r="AX55" i="18"/>
  <c r="AY22" i="18"/>
  <c r="AW74" i="18"/>
  <c r="AZ133" i="15"/>
  <c r="AZ73" i="18"/>
  <c r="AZ18" i="18"/>
  <c r="AZ20" i="18"/>
  <c r="BC75" i="18"/>
  <c r="BC19" i="18"/>
  <c r="AX138" i="16"/>
  <c r="AY135" i="16"/>
  <c r="BD72" i="16"/>
  <c r="AZ12" i="18"/>
  <c r="AZ15" i="18"/>
  <c r="AZ137" i="15"/>
  <c r="AZ140" i="15"/>
  <c r="AC117" i="16"/>
  <c r="AC120" i="16"/>
  <c r="AB48" i="18"/>
  <c r="BD44" i="16"/>
  <c r="BE126" i="16"/>
  <c r="BF123" i="16"/>
  <c r="BC136" i="16"/>
  <c r="BC130" i="16"/>
  <c r="BD65" i="16"/>
  <c r="AY44" i="18"/>
  <c r="AX142" i="15"/>
  <c r="BD95" i="16"/>
  <c r="BD136" i="16"/>
  <c r="BA124" i="15"/>
  <c r="BD24" i="16"/>
  <c r="BC67" i="15"/>
  <c r="BC101" i="15"/>
  <c r="BC94" i="15"/>
  <c r="BC108" i="15"/>
  <c r="BB115" i="15"/>
  <c r="BB116" i="15"/>
  <c r="BB114" i="15"/>
  <c r="AZ113" i="15"/>
  <c r="AZ117" i="15"/>
  <c r="AZ72" i="18"/>
  <c r="BB69" i="15"/>
  <c r="BB123" i="15"/>
  <c r="BB99" i="15"/>
  <c r="BB103" i="15"/>
  <c r="BB13" i="18"/>
  <c r="BE22" i="16"/>
  <c r="BE65" i="16"/>
  <c r="BE20" i="16"/>
  <c r="BE88" i="16"/>
  <c r="BD87" i="15"/>
  <c r="BC102" i="15"/>
  <c r="BD95" i="15"/>
  <c r="BD109" i="15"/>
  <c r="BC55" i="15"/>
  <c r="BC65" i="15"/>
  <c r="BA106" i="15"/>
  <c r="BA110" i="15"/>
  <c r="BA14" i="18"/>
  <c r="BA96" i="15"/>
  <c r="BC93" i="15"/>
  <c r="AY138" i="15"/>
  <c r="AY73" i="18"/>
  <c r="BD85" i="15"/>
  <c r="BC95" i="15"/>
  <c r="BH38" i="15"/>
  <c r="BG14" i="16"/>
  <c r="BD48" i="15"/>
  <c r="BB62" i="15"/>
  <c r="BB122" i="15"/>
  <c r="BB92" i="15"/>
  <c r="BE73" i="15"/>
  <c r="BE79" i="15"/>
  <c r="BE75" i="15"/>
  <c r="BE81" i="15"/>
  <c r="BE76" i="15"/>
  <c r="BE82" i="15"/>
  <c r="BE74" i="15"/>
  <c r="BE80" i="15"/>
  <c r="BD93" i="15"/>
  <c r="BD107" i="15"/>
  <c r="BE127" i="15"/>
  <c r="BE129" i="15"/>
  <c r="BE130" i="15"/>
  <c r="BE128" i="15"/>
  <c r="BE52" i="15"/>
  <c r="BE59" i="15"/>
  <c r="BE54" i="15"/>
  <c r="BE61" i="15"/>
  <c r="BE53" i="15"/>
  <c r="BE60" i="15"/>
  <c r="BE21" i="16"/>
  <c r="BE58" i="16"/>
  <c r="BE19" i="16"/>
  <c r="BE81" i="16"/>
  <c r="BC100" i="15"/>
  <c r="BD94" i="15"/>
  <c r="BD131" i="15"/>
  <c r="BO63" i="18"/>
  <c r="BI7" i="18"/>
  <c r="BI6" i="18"/>
  <c r="BG7" i="17"/>
  <c r="BG18" i="17"/>
  <c r="BG19" i="17"/>
  <c r="BG6" i="17"/>
  <c r="BE72" i="16"/>
  <c r="BE109" i="16"/>
  <c r="BE32" i="16"/>
  <c r="BF29" i="16"/>
  <c r="BE38" i="16"/>
  <c r="BF35" i="16"/>
  <c r="BF30" i="16"/>
  <c r="BF118" i="16"/>
  <c r="BF31" i="16"/>
  <c r="BF37" i="16"/>
  <c r="BF125" i="16"/>
  <c r="BF99" i="18"/>
  <c r="BF36" i="16"/>
  <c r="BF124" i="16"/>
  <c r="BG7" i="16"/>
  <c r="BG6" i="16"/>
  <c r="BF13" i="15"/>
  <c r="BF12" i="15"/>
  <c r="BF36" i="15"/>
  <c r="BF11" i="16"/>
  <c r="BF37" i="15"/>
  <c r="BF12" i="16"/>
  <c r="BF21" i="15"/>
  <c r="BF22" i="15"/>
  <c r="BF17" i="15"/>
  <c r="BF18" i="15"/>
  <c r="BF15" i="15"/>
  <c r="BF22" i="16"/>
  <c r="BG6" i="15"/>
  <c r="BG7" i="15"/>
  <c r="BF47" i="15"/>
  <c r="BF46" i="15"/>
  <c r="BG29" i="15"/>
  <c r="BG30" i="15"/>
  <c r="BG25" i="15"/>
  <c r="BG26" i="15"/>
  <c r="BG33" i="15"/>
  <c r="BG34" i="15"/>
  <c r="BF44" i="15"/>
  <c r="BF51" i="15"/>
  <c r="BF58" i="15"/>
  <c r="BF45" i="15"/>
  <c r="BC69" i="15"/>
  <c r="BC123" i="15"/>
  <c r="AZ138" i="15"/>
  <c r="AZ141" i="15"/>
  <c r="AZ142" i="15"/>
  <c r="AZ22" i="18"/>
  <c r="BA133" i="15"/>
  <c r="BA73" i="18"/>
  <c r="BA18" i="18"/>
  <c r="BA20" i="18"/>
  <c r="BD19" i="18"/>
  <c r="AX74" i="18"/>
  <c r="BD75" i="18"/>
  <c r="AY138" i="16"/>
  <c r="AZ135" i="16"/>
  <c r="AD117" i="16"/>
  <c r="AD120" i="16"/>
  <c r="AC48" i="18"/>
  <c r="BA12" i="18"/>
  <c r="BA15" i="18"/>
  <c r="BA22" i="18"/>
  <c r="BA137" i="15"/>
  <c r="BA140" i="15"/>
  <c r="BF126" i="16"/>
  <c r="BG123" i="16"/>
  <c r="BF32" i="16"/>
  <c r="BG29" i="16"/>
  <c r="BF119" i="16"/>
  <c r="BF24" i="18"/>
  <c r="BD130" i="16"/>
  <c r="BC115" i="15"/>
  <c r="BA113" i="15"/>
  <c r="BA117" i="15"/>
  <c r="BA72" i="18"/>
  <c r="BB124" i="15"/>
  <c r="BE102" i="16"/>
  <c r="AZ44" i="18"/>
  <c r="BE44" i="16"/>
  <c r="BE95" i="16"/>
  <c r="BD67" i="15"/>
  <c r="BD101" i="15"/>
  <c r="BD108" i="15"/>
  <c r="BE66" i="15"/>
  <c r="BB96" i="15"/>
  <c r="BB106" i="15"/>
  <c r="BB110" i="15"/>
  <c r="BB14" i="18"/>
  <c r="AY55" i="18"/>
  <c r="AY141" i="15"/>
  <c r="AY142" i="15"/>
  <c r="BF74" i="15"/>
  <c r="BF80" i="15"/>
  <c r="BF76" i="15"/>
  <c r="BF82" i="15"/>
  <c r="BF73" i="15"/>
  <c r="BF79" i="15"/>
  <c r="BF75" i="15"/>
  <c r="BF81" i="15"/>
  <c r="BF87" i="15"/>
  <c r="BC99" i="15"/>
  <c r="BC103" i="15"/>
  <c r="BC13" i="18"/>
  <c r="BE48" i="15"/>
  <c r="BE131" i="15"/>
  <c r="BE88" i="15"/>
  <c r="BD55" i="15"/>
  <c r="BC107" i="15"/>
  <c r="BC114" i="15"/>
  <c r="BC62" i="15"/>
  <c r="BC122" i="15"/>
  <c r="BC92" i="15"/>
  <c r="BG15" i="15"/>
  <c r="BG22" i="16"/>
  <c r="BF128" i="15"/>
  <c r="BF130" i="15"/>
  <c r="BF129" i="15"/>
  <c r="BF127" i="15"/>
  <c r="BE51" i="16"/>
  <c r="BE67" i="15"/>
  <c r="BE87" i="15"/>
  <c r="BF20" i="16"/>
  <c r="BF88" i="16"/>
  <c r="BE86" i="15"/>
  <c r="BE93" i="15"/>
  <c r="BC109" i="15"/>
  <c r="BC116" i="15"/>
  <c r="BF53" i="15"/>
  <c r="BF60" i="15"/>
  <c r="BF52" i="15"/>
  <c r="BF59" i="15"/>
  <c r="BF54" i="15"/>
  <c r="BF61" i="15"/>
  <c r="BF23" i="16"/>
  <c r="BF109" i="16"/>
  <c r="BF19" i="16"/>
  <c r="BF81" i="16"/>
  <c r="BE24" i="16"/>
  <c r="BF21" i="16"/>
  <c r="BF58" i="16"/>
  <c r="BE95" i="15"/>
  <c r="BE109" i="15"/>
  <c r="BD66" i="15"/>
  <c r="BD100" i="15"/>
  <c r="BD114" i="15"/>
  <c r="BE85" i="15"/>
  <c r="BI38" i="15"/>
  <c r="BH14" i="16"/>
  <c r="BD68" i="15"/>
  <c r="BD102" i="15"/>
  <c r="BD116" i="15"/>
  <c r="BP63" i="18"/>
  <c r="BJ7" i="18"/>
  <c r="BJ6" i="18"/>
  <c r="BH6" i="17"/>
  <c r="BH7" i="17"/>
  <c r="BH18" i="17"/>
  <c r="BH19" i="17"/>
  <c r="BF65" i="16"/>
  <c r="BF102" i="16"/>
  <c r="BF38" i="16"/>
  <c r="BG35" i="16"/>
  <c r="BG36" i="16"/>
  <c r="BG124" i="16"/>
  <c r="BG37" i="16"/>
  <c r="BG125" i="16"/>
  <c r="BG99" i="18"/>
  <c r="BG30" i="16"/>
  <c r="BG31" i="16"/>
  <c r="BG119" i="16"/>
  <c r="BG24" i="18"/>
  <c r="BH7" i="16"/>
  <c r="BH6" i="16"/>
  <c r="BG12" i="15"/>
  <c r="BG13" i="15"/>
  <c r="BG36" i="15"/>
  <c r="BG11" i="16"/>
  <c r="BG37" i="15"/>
  <c r="BG12" i="16"/>
  <c r="BG17" i="15"/>
  <c r="BG18" i="15"/>
  <c r="BG21" i="15"/>
  <c r="BG22" i="15"/>
  <c r="BH7" i="15"/>
  <c r="BH6" i="15"/>
  <c r="BG47" i="15"/>
  <c r="BG46" i="15"/>
  <c r="BH33" i="15"/>
  <c r="BH34" i="15"/>
  <c r="BH29" i="15"/>
  <c r="BH30" i="15"/>
  <c r="BH25" i="15"/>
  <c r="BH26" i="15"/>
  <c r="BG45" i="15"/>
  <c r="BG44" i="15"/>
  <c r="BC124" i="15"/>
  <c r="BC18" i="18"/>
  <c r="BC20" i="18"/>
  <c r="BA44" i="18"/>
  <c r="AZ55" i="18"/>
  <c r="BA138" i="15"/>
  <c r="BA141" i="15"/>
  <c r="BA142" i="15"/>
  <c r="BE75" i="18"/>
  <c r="AY74" i="18"/>
  <c r="BB18" i="18"/>
  <c r="BB20" i="18"/>
  <c r="BE19" i="18"/>
  <c r="AZ74" i="18"/>
  <c r="AZ138" i="16"/>
  <c r="BA135" i="16"/>
  <c r="BB133" i="15"/>
  <c r="BB73" i="18"/>
  <c r="BB12" i="18"/>
  <c r="BB15" i="18"/>
  <c r="BB137" i="15"/>
  <c r="BB140" i="15"/>
  <c r="AE117" i="16"/>
  <c r="AE120" i="16"/>
  <c r="AD48" i="18"/>
  <c r="BF44" i="16"/>
  <c r="BE130" i="16"/>
  <c r="BG126" i="16"/>
  <c r="BH123" i="16"/>
  <c r="BF95" i="16"/>
  <c r="BF136" i="16"/>
  <c r="BG32" i="16"/>
  <c r="BH29" i="16"/>
  <c r="BG118" i="16"/>
  <c r="BE136" i="16"/>
  <c r="BF72" i="16"/>
  <c r="BD115" i="15"/>
  <c r="BG20" i="16"/>
  <c r="BG51" i="16"/>
  <c r="BF24" i="16"/>
  <c r="BB113" i="15"/>
  <c r="BB117" i="15"/>
  <c r="BB72" i="18"/>
  <c r="BE68" i="15"/>
  <c r="BE102" i="15"/>
  <c r="BE116" i="15"/>
  <c r="BG51" i="15"/>
  <c r="BG58" i="15"/>
  <c r="BG52" i="15"/>
  <c r="BG59" i="15"/>
  <c r="BG54" i="15"/>
  <c r="BG61" i="15"/>
  <c r="BJ38" i="15"/>
  <c r="BI14" i="16"/>
  <c r="BE65" i="15"/>
  <c r="BE55" i="15"/>
  <c r="BG74" i="15"/>
  <c r="BG80" i="15"/>
  <c r="BG76" i="15"/>
  <c r="BG82" i="15"/>
  <c r="BG75" i="15"/>
  <c r="BG81" i="15"/>
  <c r="BG73" i="15"/>
  <c r="BG79" i="15"/>
  <c r="BF51" i="16"/>
  <c r="BF94" i="15"/>
  <c r="BF108" i="15"/>
  <c r="BE94" i="15"/>
  <c r="BF86" i="15"/>
  <c r="BF93" i="15"/>
  <c r="BE101" i="15"/>
  <c r="BG128" i="15"/>
  <c r="BG130" i="15"/>
  <c r="BG129" i="15"/>
  <c r="BG127" i="15"/>
  <c r="BD62" i="15"/>
  <c r="BD122" i="15"/>
  <c r="BD92" i="15"/>
  <c r="BG23" i="16"/>
  <c r="BG72" i="16"/>
  <c r="BF48" i="15"/>
  <c r="BE107" i="15"/>
  <c r="BF88" i="15"/>
  <c r="BG21" i="16"/>
  <c r="BG58" i="16"/>
  <c r="BG19" i="16"/>
  <c r="BG81" i="16"/>
  <c r="BF95" i="15"/>
  <c r="BE100" i="15"/>
  <c r="BF131" i="15"/>
  <c r="BC106" i="15"/>
  <c r="BC110" i="15"/>
  <c r="BC14" i="18"/>
  <c r="BC96" i="15"/>
  <c r="BD65" i="15"/>
  <c r="BF85" i="15"/>
  <c r="BQ63" i="18"/>
  <c r="BK7" i="18"/>
  <c r="BK6" i="18"/>
  <c r="BI7" i="17"/>
  <c r="BI18" i="17"/>
  <c r="BI19" i="17"/>
  <c r="BI6" i="17"/>
  <c r="BG65" i="16"/>
  <c r="BG102" i="16"/>
  <c r="BG38" i="16"/>
  <c r="BH35" i="16"/>
  <c r="BH36" i="16"/>
  <c r="BH124" i="16"/>
  <c r="BH31" i="16"/>
  <c r="BH119" i="16"/>
  <c r="BH24" i="18"/>
  <c r="BH30" i="16"/>
  <c r="BH37" i="16"/>
  <c r="BH125" i="16"/>
  <c r="BH99" i="18"/>
  <c r="BI6" i="16"/>
  <c r="BI7" i="16"/>
  <c r="BH17" i="15"/>
  <c r="BH18" i="15"/>
  <c r="BH21" i="15"/>
  <c r="BH22" i="15"/>
  <c r="BH15" i="15"/>
  <c r="BH20" i="16"/>
  <c r="BH12" i="15"/>
  <c r="BH13" i="15"/>
  <c r="BH36" i="15"/>
  <c r="BH11" i="16"/>
  <c r="BH37" i="15"/>
  <c r="BH12" i="16"/>
  <c r="BI6" i="15"/>
  <c r="BI7" i="15"/>
  <c r="BH45" i="15"/>
  <c r="BH46" i="15"/>
  <c r="BI33" i="15"/>
  <c r="BI34" i="15"/>
  <c r="BI29" i="15"/>
  <c r="BI30" i="15"/>
  <c r="BI25" i="15"/>
  <c r="BI26" i="15"/>
  <c r="BH44" i="15"/>
  <c r="BH47" i="15"/>
  <c r="BH54" i="15"/>
  <c r="BH61" i="15"/>
  <c r="BB138" i="15"/>
  <c r="BB55" i="18"/>
  <c r="BA55" i="18"/>
  <c r="BC133" i="15"/>
  <c r="BC138" i="15"/>
  <c r="BB22" i="18"/>
  <c r="BF19" i="18"/>
  <c r="BF75" i="18"/>
  <c r="BA74" i="18"/>
  <c r="BA138" i="16"/>
  <c r="BB135" i="16"/>
  <c r="BH23" i="16"/>
  <c r="BH109" i="16"/>
  <c r="BC12" i="18"/>
  <c r="BC15" i="18"/>
  <c r="BC22" i="18"/>
  <c r="BC137" i="15"/>
  <c r="BC44" i="18"/>
  <c r="AF117" i="16"/>
  <c r="AF120" i="16"/>
  <c r="AE48" i="18"/>
  <c r="BG44" i="16"/>
  <c r="BG130" i="16"/>
  <c r="BG88" i="16"/>
  <c r="BG109" i="16"/>
  <c r="BH126" i="16"/>
  <c r="BI123" i="16"/>
  <c r="BG95" i="16"/>
  <c r="BH32" i="16"/>
  <c r="BI29" i="16"/>
  <c r="BH118" i="16"/>
  <c r="BF130" i="16"/>
  <c r="BE114" i="15"/>
  <c r="BB44" i="18"/>
  <c r="BG53" i="15"/>
  <c r="BG60" i="15"/>
  <c r="BC113" i="15"/>
  <c r="BC117" i="15"/>
  <c r="BC72" i="18"/>
  <c r="BF68" i="15"/>
  <c r="BF102" i="15"/>
  <c r="BF66" i="15"/>
  <c r="BF100" i="15"/>
  <c r="BF67" i="15"/>
  <c r="BF101" i="15"/>
  <c r="BF115" i="15"/>
  <c r="BF107" i="15"/>
  <c r="BE69" i="15"/>
  <c r="BE123" i="15"/>
  <c r="BE99" i="15"/>
  <c r="BE103" i="15"/>
  <c r="BE13" i="18"/>
  <c r="BG86" i="15"/>
  <c r="BH127" i="15"/>
  <c r="BH129" i="15"/>
  <c r="BH128" i="15"/>
  <c r="BH130" i="15"/>
  <c r="BH21" i="16"/>
  <c r="BH58" i="16"/>
  <c r="BF55" i="15"/>
  <c r="BG131" i="15"/>
  <c r="BG85" i="15"/>
  <c r="BK38" i="15"/>
  <c r="BJ14" i="16"/>
  <c r="BG48" i="15"/>
  <c r="BH52" i="15"/>
  <c r="BH59" i="15"/>
  <c r="BH51" i="15"/>
  <c r="BH58" i="15"/>
  <c r="BH53" i="15"/>
  <c r="BH60" i="15"/>
  <c r="BH22" i="16"/>
  <c r="BH102" i="16"/>
  <c r="BD96" i="15"/>
  <c r="BD106" i="15"/>
  <c r="BD110" i="15"/>
  <c r="BD14" i="18"/>
  <c r="BG87" i="15"/>
  <c r="BG95" i="15"/>
  <c r="BG109" i="15"/>
  <c r="BF109" i="15"/>
  <c r="BH73" i="15"/>
  <c r="BH79" i="15"/>
  <c r="BH75" i="15"/>
  <c r="BH81" i="15"/>
  <c r="BH76" i="15"/>
  <c r="BH82" i="15"/>
  <c r="BH88" i="15"/>
  <c r="BH74" i="15"/>
  <c r="BH80" i="15"/>
  <c r="BH19" i="16"/>
  <c r="BH81" i="16"/>
  <c r="BG24" i="16"/>
  <c r="BD69" i="15"/>
  <c r="BD123" i="15"/>
  <c r="BD124" i="15"/>
  <c r="BD99" i="15"/>
  <c r="BD103" i="15"/>
  <c r="BD13" i="18"/>
  <c r="BE108" i="15"/>
  <c r="BE115" i="15"/>
  <c r="BG88" i="15"/>
  <c r="BE62" i="15"/>
  <c r="BE122" i="15"/>
  <c r="BE92" i="15"/>
  <c r="BG93" i="15"/>
  <c r="BR63" i="18"/>
  <c r="BL6" i="18"/>
  <c r="BL7" i="18"/>
  <c r="BJ6" i="17"/>
  <c r="BJ7" i="17"/>
  <c r="BJ18" i="17"/>
  <c r="BJ19" i="17"/>
  <c r="BH51" i="16"/>
  <c r="BH88" i="16"/>
  <c r="BH38" i="16"/>
  <c r="BI35" i="16"/>
  <c r="BI30" i="16"/>
  <c r="BI118" i="16"/>
  <c r="BI31" i="16"/>
  <c r="BI119" i="16"/>
  <c r="BI24" i="18"/>
  <c r="BI36" i="16"/>
  <c r="BI124" i="16"/>
  <c r="BI37" i="16"/>
  <c r="BJ7" i="16"/>
  <c r="BJ6" i="16"/>
  <c r="BI12" i="15"/>
  <c r="BI13" i="15"/>
  <c r="BI36" i="15"/>
  <c r="BI11" i="16"/>
  <c r="BI37" i="15"/>
  <c r="BI12" i="16"/>
  <c r="BI17" i="15"/>
  <c r="BI18" i="15"/>
  <c r="BI21" i="15"/>
  <c r="BI22" i="15"/>
  <c r="BI15" i="15"/>
  <c r="BI19" i="16"/>
  <c r="BI81" i="16"/>
  <c r="BJ7" i="15"/>
  <c r="BJ6" i="15"/>
  <c r="BI46" i="15"/>
  <c r="BI47" i="15"/>
  <c r="BI44" i="15"/>
  <c r="BI45" i="15"/>
  <c r="BI52" i="15"/>
  <c r="BI59" i="15"/>
  <c r="BJ25" i="15"/>
  <c r="BJ26" i="15"/>
  <c r="BJ33" i="15"/>
  <c r="BJ34" i="15"/>
  <c r="BJ29" i="15"/>
  <c r="BJ30" i="15"/>
  <c r="BB141" i="15"/>
  <c r="BB142" i="15"/>
  <c r="BB74" i="18"/>
  <c r="BC73" i="18"/>
  <c r="BH72" i="16"/>
  <c r="BC140" i="15"/>
  <c r="BF116" i="15"/>
  <c r="BG75" i="18"/>
  <c r="BG19" i="18"/>
  <c r="BD18" i="18"/>
  <c r="BD20" i="18"/>
  <c r="BB138" i="16"/>
  <c r="BC135" i="16"/>
  <c r="BD12" i="18"/>
  <c r="BD15" i="18"/>
  <c r="BD137" i="15"/>
  <c r="BD44" i="18"/>
  <c r="AF48" i="18"/>
  <c r="AG117" i="16"/>
  <c r="AG120" i="16"/>
  <c r="BG136" i="16"/>
  <c r="BH95" i="16"/>
  <c r="BH136" i="16"/>
  <c r="BI38" i="16"/>
  <c r="BJ35" i="16"/>
  <c r="BI125" i="16"/>
  <c r="BE124" i="15"/>
  <c r="BE133" i="15"/>
  <c r="BF114" i="15"/>
  <c r="BG67" i="15"/>
  <c r="BG101" i="15"/>
  <c r="BG94" i="15"/>
  <c r="BG108" i="15"/>
  <c r="BI23" i="16"/>
  <c r="BH24" i="16"/>
  <c r="BI21" i="16"/>
  <c r="BI58" i="16"/>
  <c r="BH65" i="16"/>
  <c r="BD113" i="15"/>
  <c r="BD117" i="15"/>
  <c r="BD72" i="18"/>
  <c r="BG107" i="15"/>
  <c r="BL38" i="15"/>
  <c r="BK14" i="16"/>
  <c r="BF62" i="15"/>
  <c r="BF122" i="15"/>
  <c r="BF92" i="15"/>
  <c r="BI127" i="15"/>
  <c r="BI129" i="15"/>
  <c r="BI128" i="15"/>
  <c r="BI130" i="15"/>
  <c r="BH44" i="16"/>
  <c r="BI22" i="16"/>
  <c r="BI65" i="16"/>
  <c r="BG66" i="15"/>
  <c r="BG100" i="15"/>
  <c r="BH86" i="15"/>
  <c r="BG68" i="15"/>
  <c r="BG102" i="15"/>
  <c r="BG116" i="15"/>
  <c r="BH95" i="15"/>
  <c r="BG55" i="15"/>
  <c r="BD133" i="15"/>
  <c r="BH67" i="15"/>
  <c r="BF65" i="15"/>
  <c r="BH85" i="15"/>
  <c r="BH93" i="15"/>
  <c r="BI51" i="15"/>
  <c r="BI58" i="15"/>
  <c r="BI73" i="15"/>
  <c r="BI79" i="15"/>
  <c r="BI75" i="15"/>
  <c r="BI81" i="15"/>
  <c r="BI74" i="15"/>
  <c r="BI80" i="15"/>
  <c r="BI76" i="15"/>
  <c r="BI82" i="15"/>
  <c r="BI20" i="16"/>
  <c r="BI51" i="16"/>
  <c r="BE106" i="15"/>
  <c r="BE110" i="15"/>
  <c r="BE14" i="18"/>
  <c r="BE96" i="15"/>
  <c r="BH87" i="15"/>
  <c r="BC55" i="18"/>
  <c r="BC141" i="15"/>
  <c r="BH48" i="15"/>
  <c r="BH131" i="15"/>
  <c r="BS63" i="18"/>
  <c r="BM7" i="18"/>
  <c r="BM6" i="18"/>
  <c r="BK7" i="17"/>
  <c r="BK18" i="17"/>
  <c r="BK19" i="17"/>
  <c r="BK6" i="17"/>
  <c r="BI32" i="16"/>
  <c r="BJ29" i="16"/>
  <c r="BI44" i="16"/>
  <c r="BJ30" i="16"/>
  <c r="BJ118" i="16"/>
  <c r="BJ31" i="16"/>
  <c r="BJ119" i="16"/>
  <c r="BJ24" i="18"/>
  <c r="BJ37" i="16"/>
  <c r="BJ125" i="16"/>
  <c r="BJ99" i="18"/>
  <c r="BJ36" i="16"/>
  <c r="BJ124" i="16"/>
  <c r="BK7" i="16"/>
  <c r="BK6" i="16"/>
  <c r="BJ13" i="15"/>
  <c r="BJ12" i="15"/>
  <c r="BJ36" i="15"/>
  <c r="BJ11" i="16"/>
  <c r="BJ37" i="15"/>
  <c r="BJ12" i="16"/>
  <c r="BJ21" i="15"/>
  <c r="BJ22" i="15"/>
  <c r="BJ17" i="15"/>
  <c r="BJ18" i="15"/>
  <c r="BJ15" i="15"/>
  <c r="BJ22" i="16"/>
  <c r="BK6" i="15"/>
  <c r="BK7" i="15"/>
  <c r="BJ45" i="15"/>
  <c r="BJ44" i="15"/>
  <c r="BJ47" i="15"/>
  <c r="BJ46" i="15"/>
  <c r="BJ53" i="15"/>
  <c r="BJ60" i="15"/>
  <c r="BK29" i="15"/>
  <c r="BK25" i="15"/>
  <c r="BK26" i="15"/>
  <c r="BK33" i="15"/>
  <c r="BK34" i="15"/>
  <c r="BI126" i="16"/>
  <c r="BJ123" i="16"/>
  <c r="BJ126" i="16"/>
  <c r="BK123" i="16"/>
  <c r="BI99" i="18"/>
  <c r="BK30" i="15"/>
  <c r="BC142" i="15"/>
  <c r="BC74" i="18"/>
  <c r="BD22" i="18"/>
  <c r="BH19" i="18"/>
  <c r="BH75" i="18"/>
  <c r="BE18" i="18"/>
  <c r="BE20" i="18"/>
  <c r="BC138" i="16"/>
  <c r="BD135" i="16"/>
  <c r="BE12" i="18"/>
  <c r="BE15" i="18"/>
  <c r="BE137" i="15"/>
  <c r="BE44" i="18"/>
  <c r="BG114" i="15"/>
  <c r="AH117" i="16"/>
  <c r="AH120" i="16"/>
  <c r="AG48" i="18"/>
  <c r="BI95" i="16"/>
  <c r="BD140" i="15"/>
  <c r="BH130" i="16"/>
  <c r="BI24" i="16"/>
  <c r="BI72" i="16"/>
  <c r="BI130" i="16"/>
  <c r="BI102" i="16"/>
  <c r="BI109" i="16"/>
  <c r="BI88" i="16"/>
  <c r="BJ23" i="16"/>
  <c r="BJ72" i="16"/>
  <c r="BJ19" i="16"/>
  <c r="BJ81" i="16"/>
  <c r="BJ21" i="16"/>
  <c r="BJ58" i="16"/>
  <c r="BG115" i="15"/>
  <c r="BI54" i="15"/>
  <c r="BI61" i="15"/>
  <c r="BI53" i="15"/>
  <c r="BI60" i="15"/>
  <c r="BH66" i="15"/>
  <c r="BH100" i="15"/>
  <c r="BH94" i="15"/>
  <c r="BH108" i="15"/>
  <c r="BE113" i="15"/>
  <c r="BE117" i="15"/>
  <c r="BE72" i="18"/>
  <c r="BH107" i="15"/>
  <c r="BJ74" i="15"/>
  <c r="BJ80" i="15"/>
  <c r="BJ76" i="15"/>
  <c r="BJ82" i="15"/>
  <c r="BJ75" i="15"/>
  <c r="BJ81" i="15"/>
  <c r="BJ87" i="15"/>
  <c r="BJ73" i="15"/>
  <c r="BJ79" i="15"/>
  <c r="BI131" i="15"/>
  <c r="BJ51" i="15"/>
  <c r="BJ58" i="15"/>
  <c r="BJ54" i="15"/>
  <c r="BJ61" i="15"/>
  <c r="BJ52" i="15"/>
  <c r="BJ59" i="15"/>
  <c r="BK15" i="15"/>
  <c r="BI85" i="15"/>
  <c r="BI66" i="15"/>
  <c r="BF69" i="15"/>
  <c r="BF123" i="15"/>
  <c r="BF124" i="15"/>
  <c r="BF99" i="15"/>
  <c r="BF103" i="15"/>
  <c r="BF13" i="18"/>
  <c r="BH68" i="15"/>
  <c r="BH102" i="15"/>
  <c r="BF96" i="15"/>
  <c r="BF106" i="15"/>
  <c r="BF110" i="15"/>
  <c r="BF14" i="18"/>
  <c r="BI88" i="15"/>
  <c r="BD138" i="15"/>
  <c r="BD73" i="18"/>
  <c r="BH109" i="15"/>
  <c r="BI87" i="15"/>
  <c r="BJ128" i="15"/>
  <c r="BJ130" i="15"/>
  <c r="BJ129" i="15"/>
  <c r="BJ127" i="15"/>
  <c r="BJ20" i="16"/>
  <c r="BJ51" i="16"/>
  <c r="BH65" i="15"/>
  <c r="BH55" i="15"/>
  <c r="BH101" i="15"/>
  <c r="BI86" i="15"/>
  <c r="BI48" i="15"/>
  <c r="BE138" i="15"/>
  <c r="BE73" i="18"/>
  <c r="BG65" i="15"/>
  <c r="BG62" i="15"/>
  <c r="BG122" i="15"/>
  <c r="BG92" i="15"/>
  <c r="BM38" i="15"/>
  <c r="BL14" i="16"/>
  <c r="BT63" i="18"/>
  <c r="BN7" i="18"/>
  <c r="BN6" i="18"/>
  <c r="BL6" i="17"/>
  <c r="BL7" i="17"/>
  <c r="BL18" i="17"/>
  <c r="BL19" i="17"/>
  <c r="BJ65" i="16"/>
  <c r="BJ102" i="16"/>
  <c r="BJ32" i="16"/>
  <c r="BK29" i="16"/>
  <c r="BJ38" i="16"/>
  <c r="BK35" i="16"/>
  <c r="BK36" i="16"/>
  <c r="BK124" i="16"/>
  <c r="BK30" i="16"/>
  <c r="BK118" i="16"/>
  <c r="BK31" i="16"/>
  <c r="BK119" i="16"/>
  <c r="BK24" i="18"/>
  <c r="BK37" i="16"/>
  <c r="BK125" i="16"/>
  <c r="BK99" i="18"/>
  <c r="BL7" i="16"/>
  <c r="BL6" i="16"/>
  <c r="BK12" i="15"/>
  <c r="BK13" i="15"/>
  <c r="BK36" i="15"/>
  <c r="BK11" i="16"/>
  <c r="BK37" i="15"/>
  <c r="BK12" i="16"/>
  <c r="BK17" i="15"/>
  <c r="BK18" i="15"/>
  <c r="BK21" i="15"/>
  <c r="BK22" i="15"/>
  <c r="BL7" i="15"/>
  <c r="BL6" i="15"/>
  <c r="BK46" i="15"/>
  <c r="BK45" i="15"/>
  <c r="BK44" i="15"/>
  <c r="BK47" i="15"/>
  <c r="BK54" i="15"/>
  <c r="BK61" i="15"/>
  <c r="BL33" i="15"/>
  <c r="BL34" i="15"/>
  <c r="BL29" i="15"/>
  <c r="BL30" i="15"/>
  <c r="BL25" i="15"/>
  <c r="BL26" i="15"/>
  <c r="BE140" i="15"/>
  <c r="BF18" i="18"/>
  <c r="BF20" i="18"/>
  <c r="BI19" i="18"/>
  <c r="BE22" i="18"/>
  <c r="BI75" i="18"/>
  <c r="BD138" i="16"/>
  <c r="BE135" i="16"/>
  <c r="BF12" i="18"/>
  <c r="BF15" i="18"/>
  <c r="BF137" i="15"/>
  <c r="BF140" i="15"/>
  <c r="AH48" i="18"/>
  <c r="AI117" i="16"/>
  <c r="AI120" i="16"/>
  <c r="BK126" i="16"/>
  <c r="BL123" i="16"/>
  <c r="BJ44" i="16"/>
  <c r="BI136" i="16"/>
  <c r="BJ109" i="16"/>
  <c r="BJ88" i="16"/>
  <c r="BI67" i="15"/>
  <c r="BI101" i="15"/>
  <c r="BJ95" i="16"/>
  <c r="BH116" i="15"/>
  <c r="BI68" i="15"/>
  <c r="BI102" i="15"/>
  <c r="BI95" i="15"/>
  <c r="BI109" i="15"/>
  <c r="BH114" i="15"/>
  <c r="BJ24" i="16"/>
  <c r="BK20" i="16"/>
  <c r="BK51" i="16"/>
  <c r="BK23" i="16"/>
  <c r="BK72" i="16"/>
  <c r="BK22" i="16"/>
  <c r="BK65" i="16"/>
  <c r="BK19" i="16"/>
  <c r="BK81" i="16"/>
  <c r="BK21" i="16"/>
  <c r="BK58" i="16"/>
  <c r="BH69" i="15"/>
  <c r="BH123" i="15"/>
  <c r="BJ131" i="15"/>
  <c r="BI93" i="15"/>
  <c r="BI107" i="15"/>
  <c r="BH115" i="15"/>
  <c r="BF133" i="15"/>
  <c r="BF113" i="15"/>
  <c r="BF117" i="15"/>
  <c r="BF72" i="18"/>
  <c r="BG106" i="15"/>
  <c r="BG110" i="15"/>
  <c r="BG14" i="18"/>
  <c r="BG96" i="15"/>
  <c r="BE55" i="18"/>
  <c r="BE141" i="15"/>
  <c r="BH62" i="15"/>
  <c r="BH122" i="15"/>
  <c r="BH92" i="15"/>
  <c r="BK128" i="15"/>
  <c r="BK130" i="15"/>
  <c r="BK127" i="15"/>
  <c r="BK129" i="15"/>
  <c r="BD55" i="18"/>
  <c r="BD141" i="15"/>
  <c r="BD142" i="15"/>
  <c r="BJ48" i="15"/>
  <c r="BJ86" i="15"/>
  <c r="BI100" i="15"/>
  <c r="BJ94" i="15"/>
  <c r="BK74" i="15"/>
  <c r="BK80" i="15"/>
  <c r="BK76" i="15"/>
  <c r="BK82" i="15"/>
  <c r="BK73" i="15"/>
  <c r="BK79" i="15"/>
  <c r="BK75" i="15"/>
  <c r="BK81" i="15"/>
  <c r="BI65" i="15"/>
  <c r="BI55" i="15"/>
  <c r="BJ66" i="15"/>
  <c r="BJ85" i="15"/>
  <c r="BN38" i="15"/>
  <c r="BM14" i="16"/>
  <c r="BH99" i="15"/>
  <c r="BH103" i="15"/>
  <c r="BH13" i="18"/>
  <c r="BJ88" i="15"/>
  <c r="BK51" i="15"/>
  <c r="BK58" i="15"/>
  <c r="BK52" i="15"/>
  <c r="BK59" i="15"/>
  <c r="BG69" i="15"/>
  <c r="BG123" i="15"/>
  <c r="BG124" i="15"/>
  <c r="BG99" i="15"/>
  <c r="BG103" i="15"/>
  <c r="BG13" i="18"/>
  <c r="BJ95" i="15"/>
  <c r="BU63" i="18"/>
  <c r="BO7" i="18"/>
  <c r="BO6" i="18"/>
  <c r="BM7" i="17"/>
  <c r="BM18" i="17"/>
  <c r="BM19" i="17"/>
  <c r="BM6" i="17"/>
  <c r="BK38" i="16"/>
  <c r="BL35" i="16"/>
  <c r="BK32" i="16"/>
  <c r="BL29" i="16"/>
  <c r="BL36" i="16"/>
  <c r="BL124" i="16"/>
  <c r="BL30" i="16"/>
  <c r="BL118" i="16"/>
  <c r="BL31" i="16"/>
  <c r="BL119" i="16"/>
  <c r="BL24" i="18"/>
  <c r="BL37" i="16"/>
  <c r="BL125" i="16"/>
  <c r="BL99" i="18"/>
  <c r="BM6" i="16"/>
  <c r="BM7" i="16"/>
  <c r="BL12" i="15"/>
  <c r="BL13" i="15"/>
  <c r="BL36" i="15"/>
  <c r="BL11" i="16"/>
  <c r="BL37" i="15"/>
  <c r="BL12" i="16"/>
  <c r="BL15" i="15"/>
  <c r="BL22" i="16"/>
  <c r="BL17" i="15"/>
  <c r="BL18" i="15"/>
  <c r="BL21" i="15"/>
  <c r="BL22" i="15"/>
  <c r="BL44" i="15"/>
  <c r="BM7" i="15"/>
  <c r="BM6" i="15"/>
  <c r="BL47" i="15"/>
  <c r="BL46" i="15"/>
  <c r="BL45" i="15"/>
  <c r="BE142" i="15"/>
  <c r="BE74" i="18"/>
  <c r="BM29" i="15"/>
  <c r="BM30" i="15"/>
  <c r="BM33" i="15"/>
  <c r="BM34" i="15"/>
  <c r="BM25" i="15"/>
  <c r="BM26" i="15"/>
  <c r="BF22" i="18"/>
  <c r="BJ130" i="16"/>
  <c r="BG18" i="18"/>
  <c r="BG20" i="18"/>
  <c r="BJ19" i="18"/>
  <c r="BF73" i="18"/>
  <c r="BD74" i="18"/>
  <c r="BJ75" i="18"/>
  <c r="BE138" i="16"/>
  <c r="BF135" i="16"/>
  <c r="BI94" i="15"/>
  <c r="BI108" i="15"/>
  <c r="BI116" i="15"/>
  <c r="BG12" i="18"/>
  <c r="BG15" i="18"/>
  <c r="BG137" i="15"/>
  <c r="BG140" i="15"/>
  <c r="AJ117" i="16"/>
  <c r="AJ120" i="16"/>
  <c r="AI48" i="18"/>
  <c r="BK102" i="16"/>
  <c r="BJ136" i="16"/>
  <c r="BL126" i="16"/>
  <c r="BM123" i="16"/>
  <c r="BK95" i="16"/>
  <c r="BK109" i="16"/>
  <c r="BF44" i="18"/>
  <c r="BH124" i="15"/>
  <c r="BI114" i="15"/>
  <c r="BK24" i="16"/>
  <c r="BK88" i="16"/>
  <c r="BI115" i="15"/>
  <c r="BJ68" i="15"/>
  <c r="BJ102" i="15"/>
  <c r="BF138" i="15"/>
  <c r="BL21" i="16"/>
  <c r="BL58" i="16"/>
  <c r="BK44" i="16"/>
  <c r="BK130" i="16"/>
  <c r="BL23" i="16"/>
  <c r="BL72" i="16"/>
  <c r="BK53" i="15"/>
  <c r="BK60" i="15"/>
  <c r="BG113" i="15"/>
  <c r="BG117" i="15"/>
  <c r="BG72" i="18"/>
  <c r="BJ109" i="15"/>
  <c r="BI69" i="15"/>
  <c r="BI123" i="15"/>
  <c r="BI99" i="15"/>
  <c r="BI103" i="15"/>
  <c r="BI13" i="18"/>
  <c r="BG133" i="15"/>
  <c r="BK48" i="15"/>
  <c r="BO38" i="15"/>
  <c r="BN14" i="16"/>
  <c r="BL52" i="15"/>
  <c r="BL59" i="15"/>
  <c r="BL53" i="15"/>
  <c r="BL60" i="15"/>
  <c r="BL51" i="15"/>
  <c r="BL58" i="15"/>
  <c r="BL54" i="15"/>
  <c r="BL61" i="15"/>
  <c r="BK66" i="15"/>
  <c r="BK88" i="15"/>
  <c r="BJ67" i="15"/>
  <c r="BJ101" i="15"/>
  <c r="BJ100" i="15"/>
  <c r="BK131" i="15"/>
  <c r="BK85" i="15"/>
  <c r="BK95" i="15"/>
  <c r="BK86" i="15"/>
  <c r="BJ108" i="15"/>
  <c r="BH106" i="15"/>
  <c r="BH110" i="15"/>
  <c r="BH14" i="18"/>
  <c r="BH96" i="15"/>
  <c r="BI62" i="15"/>
  <c r="BI122" i="15"/>
  <c r="BI92" i="15"/>
  <c r="BJ93" i="15"/>
  <c r="BL73" i="15"/>
  <c r="BL79" i="15"/>
  <c r="BL75" i="15"/>
  <c r="BL81" i="15"/>
  <c r="BL74" i="15"/>
  <c r="BL80" i="15"/>
  <c r="BL76" i="15"/>
  <c r="BL82" i="15"/>
  <c r="BL88" i="15"/>
  <c r="BL127" i="15"/>
  <c r="BL129" i="15"/>
  <c r="BL130" i="15"/>
  <c r="BL128" i="15"/>
  <c r="BL19" i="16"/>
  <c r="BL81" i="16"/>
  <c r="BL20" i="16"/>
  <c r="BL88" i="16"/>
  <c r="BK87" i="15"/>
  <c r="BJ65" i="15"/>
  <c r="BJ55" i="15"/>
  <c r="BH133" i="15"/>
  <c r="BV63" i="18"/>
  <c r="BP7" i="18"/>
  <c r="BP6" i="18"/>
  <c r="BN6" i="17"/>
  <c r="BN7" i="17"/>
  <c r="BN18" i="17"/>
  <c r="BN19" i="17"/>
  <c r="BL65" i="16"/>
  <c r="BL102" i="16"/>
  <c r="BL32" i="16"/>
  <c r="BM29" i="16"/>
  <c r="BL38" i="16"/>
  <c r="BM35" i="16"/>
  <c r="BM30" i="16"/>
  <c r="BM118" i="16"/>
  <c r="BM31" i="16"/>
  <c r="BM119" i="16"/>
  <c r="BM24" i="18"/>
  <c r="BM37" i="16"/>
  <c r="BM125" i="16"/>
  <c r="BM99" i="18"/>
  <c r="BM36" i="16"/>
  <c r="BM124" i="16"/>
  <c r="BN7" i="16"/>
  <c r="BN6" i="16"/>
  <c r="BM12" i="15"/>
  <c r="BM13" i="15"/>
  <c r="BM36" i="15"/>
  <c r="BM11" i="16"/>
  <c r="BM37" i="15"/>
  <c r="BM12" i="16"/>
  <c r="BM17" i="15"/>
  <c r="BM18" i="15"/>
  <c r="BM21" i="15"/>
  <c r="BM22" i="15"/>
  <c r="BM15" i="15"/>
  <c r="BM23" i="16"/>
  <c r="BN6" i="15"/>
  <c r="BN7" i="15"/>
  <c r="BM45" i="15"/>
  <c r="BM47" i="15"/>
  <c r="BN25" i="15"/>
  <c r="BN33" i="15"/>
  <c r="BN34" i="15"/>
  <c r="BN29" i="15"/>
  <c r="BM44" i="15"/>
  <c r="BM46" i="15"/>
  <c r="BM53" i="15"/>
  <c r="BM60" i="15"/>
  <c r="BN26" i="15"/>
  <c r="BN30" i="15"/>
  <c r="BI124" i="15"/>
  <c r="BI18" i="18"/>
  <c r="BI20" i="18"/>
  <c r="BG22" i="18"/>
  <c r="BH18" i="18"/>
  <c r="BH20" i="18"/>
  <c r="BF55" i="18"/>
  <c r="BK75" i="18"/>
  <c r="BK19" i="18"/>
  <c r="BF138" i="16"/>
  <c r="BG135" i="16"/>
  <c r="AK117" i="16"/>
  <c r="AK120" i="16"/>
  <c r="AJ48" i="18"/>
  <c r="BH12" i="18"/>
  <c r="BH15" i="18"/>
  <c r="BH22" i="18"/>
  <c r="BH137" i="15"/>
  <c r="BH140" i="15"/>
  <c r="BK136" i="16"/>
  <c r="BM126" i="16"/>
  <c r="BN123" i="16"/>
  <c r="BJ116" i="15"/>
  <c r="BM22" i="16"/>
  <c r="BM102" i="16"/>
  <c r="BL95" i="16"/>
  <c r="BJ115" i="15"/>
  <c r="BG44" i="18"/>
  <c r="BF141" i="15"/>
  <c r="BF142" i="15"/>
  <c r="BK67" i="15"/>
  <c r="BK101" i="15"/>
  <c r="BK94" i="15"/>
  <c r="BK108" i="15"/>
  <c r="BL51" i="16"/>
  <c r="BM21" i="16"/>
  <c r="BM58" i="16"/>
  <c r="BL109" i="16"/>
  <c r="BM19" i="16"/>
  <c r="BM81" i="16"/>
  <c r="BK93" i="15"/>
  <c r="BK107" i="15"/>
  <c r="BJ69" i="15"/>
  <c r="BJ123" i="15"/>
  <c r="BH113" i="15"/>
  <c r="BH117" i="15"/>
  <c r="BH72" i="18"/>
  <c r="BK100" i="15"/>
  <c r="BK68" i="15"/>
  <c r="BK102" i="15"/>
  <c r="BM73" i="15"/>
  <c r="BM79" i="15"/>
  <c r="BM75" i="15"/>
  <c r="BM81" i="15"/>
  <c r="BM76" i="15"/>
  <c r="BM82" i="15"/>
  <c r="BM74" i="15"/>
  <c r="BM80" i="15"/>
  <c r="BL87" i="15"/>
  <c r="BK109" i="15"/>
  <c r="BL48" i="15"/>
  <c r="BL24" i="16"/>
  <c r="BL131" i="15"/>
  <c r="BL85" i="15"/>
  <c r="BL94" i="15"/>
  <c r="BM127" i="15"/>
  <c r="BM129" i="15"/>
  <c r="BM130" i="15"/>
  <c r="BM128" i="15"/>
  <c r="BL44" i="16"/>
  <c r="BM20" i="16"/>
  <c r="BM88" i="16"/>
  <c r="BJ62" i="15"/>
  <c r="BJ122" i="15"/>
  <c r="BJ92" i="15"/>
  <c r="BJ107" i="15"/>
  <c r="BJ114" i="15"/>
  <c r="BJ99" i="15"/>
  <c r="BJ103" i="15"/>
  <c r="BJ13" i="18"/>
  <c r="BL66" i="15"/>
  <c r="BP38" i="15"/>
  <c r="BO14" i="16"/>
  <c r="BG138" i="15"/>
  <c r="BG73" i="18"/>
  <c r="BM52" i="15"/>
  <c r="BM59" i="15"/>
  <c r="BM51" i="15"/>
  <c r="BM58" i="15"/>
  <c r="BH138" i="15"/>
  <c r="BH73" i="18"/>
  <c r="BL86" i="15"/>
  <c r="BI106" i="15"/>
  <c r="BI110" i="15"/>
  <c r="BI14" i="18"/>
  <c r="BI96" i="15"/>
  <c r="BL95" i="15"/>
  <c r="BK55" i="15"/>
  <c r="BW63" i="18"/>
  <c r="BQ7" i="18"/>
  <c r="BQ6" i="18"/>
  <c r="BO7" i="17"/>
  <c r="BO18" i="17"/>
  <c r="BO19" i="17"/>
  <c r="BO6" i="17"/>
  <c r="BM72" i="16"/>
  <c r="BM109" i="16"/>
  <c r="BM32" i="16"/>
  <c r="BN29" i="16"/>
  <c r="BM38" i="16"/>
  <c r="BN35" i="16"/>
  <c r="BN30" i="16"/>
  <c r="BN118" i="16"/>
  <c r="BN31" i="16"/>
  <c r="BN37" i="16"/>
  <c r="BN125" i="16"/>
  <c r="BN99" i="18"/>
  <c r="BN36" i="16"/>
  <c r="BN124" i="16"/>
  <c r="BO7" i="16"/>
  <c r="BO6" i="16"/>
  <c r="BN15" i="15"/>
  <c r="BN21" i="16"/>
  <c r="BN13" i="15"/>
  <c r="BN12" i="15"/>
  <c r="BN36" i="15"/>
  <c r="BN11" i="16"/>
  <c r="BN37" i="15"/>
  <c r="BN12" i="16"/>
  <c r="BN21" i="15"/>
  <c r="BN22" i="15"/>
  <c r="BN17" i="15"/>
  <c r="BN18" i="15"/>
  <c r="BO6" i="15"/>
  <c r="BO7" i="15"/>
  <c r="BN47" i="15"/>
  <c r="BO29" i="15"/>
  <c r="BO30" i="15"/>
  <c r="BO25" i="15"/>
  <c r="BO33" i="15"/>
  <c r="BO34" i="15"/>
  <c r="BN46" i="15"/>
  <c r="BN45" i="15"/>
  <c r="BN44" i="15"/>
  <c r="BN51" i="15"/>
  <c r="BN58" i="15"/>
  <c r="BO26" i="15"/>
  <c r="BL75" i="18"/>
  <c r="BL19" i="18"/>
  <c r="BF74" i="18"/>
  <c r="BG138" i="16"/>
  <c r="BH135" i="16"/>
  <c r="BI12" i="18"/>
  <c r="BI15" i="18"/>
  <c r="BI22" i="18"/>
  <c r="BI137" i="15"/>
  <c r="BI140" i="15"/>
  <c r="AK48" i="18"/>
  <c r="AL117" i="16"/>
  <c r="AL120" i="16"/>
  <c r="BL136" i="16"/>
  <c r="BN126" i="16"/>
  <c r="BO123" i="16"/>
  <c r="BN32" i="16"/>
  <c r="BO29" i="16"/>
  <c r="BN119" i="16"/>
  <c r="BN24" i="18"/>
  <c r="BM44" i="16"/>
  <c r="BM65" i="16"/>
  <c r="BL130" i="16"/>
  <c r="BM95" i="16"/>
  <c r="BM136" i="16"/>
  <c r="BJ124" i="15"/>
  <c r="BM51" i="16"/>
  <c r="BK115" i="15"/>
  <c r="BM24" i="16"/>
  <c r="BM54" i="15"/>
  <c r="BM61" i="15"/>
  <c r="BL67" i="15"/>
  <c r="BL101" i="15"/>
  <c r="BH44" i="18"/>
  <c r="BK116" i="15"/>
  <c r="BL93" i="15"/>
  <c r="BL107" i="15"/>
  <c r="BK114" i="15"/>
  <c r="BI113" i="15"/>
  <c r="BI117" i="15"/>
  <c r="BI72" i="18"/>
  <c r="BL108" i="15"/>
  <c r="BN22" i="16"/>
  <c r="BN102" i="16"/>
  <c r="BK65" i="15"/>
  <c r="BK62" i="15"/>
  <c r="BK122" i="15"/>
  <c r="BK92" i="15"/>
  <c r="BM86" i="15"/>
  <c r="BL68" i="15"/>
  <c r="BL102" i="15"/>
  <c r="BH55" i="18"/>
  <c r="BH141" i="15"/>
  <c r="BH142" i="15"/>
  <c r="BM93" i="15"/>
  <c r="BM107" i="15"/>
  <c r="BJ96" i="15"/>
  <c r="BJ106" i="15"/>
  <c r="BJ110" i="15"/>
  <c r="BJ14" i="18"/>
  <c r="BM131" i="15"/>
  <c r="BM88" i="15"/>
  <c r="BN128" i="15"/>
  <c r="BN130" i="15"/>
  <c r="BN129" i="15"/>
  <c r="BN127" i="15"/>
  <c r="BQ38" i="15"/>
  <c r="BP14" i="16"/>
  <c r="BN20" i="16"/>
  <c r="BN51" i="16"/>
  <c r="BI133" i="15"/>
  <c r="BL109" i="15"/>
  <c r="BM48" i="15"/>
  <c r="BG55" i="18"/>
  <c r="BG141" i="15"/>
  <c r="BG142" i="15"/>
  <c r="BM87" i="15"/>
  <c r="BN74" i="15"/>
  <c r="BN80" i="15"/>
  <c r="BN76" i="15"/>
  <c r="BN82" i="15"/>
  <c r="BN73" i="15"/>
  <c r="BN79" i="15"/>
  <c r="BN75" i="15"/>
  <c r="BN81" i="15"/>
  <c r="BN87" i="15"/>
  <c r="BN53" i="15"/>
  <c r="BN60" i="15"/>
  <c r="BN52" i="15"/>
  <c r="BN59" i="15"/>
  <c r="BN54" i="15"/>
  <c r="BN61" i="15"/>
  <c r="BN23" i="16"/>
  <c r="BN72" i="16"/>
  <c r="BN19" i="16"/>
  <c r="BN81" i="16"/>
  <c r="BL100" i="15"/>
  <c r="BM94" i="15"/>
  <c r="BL55" i="15"/>
  <c r="BM85" i="15"/>
  <c r="BX63" i="18"/>
  <c r="BR7" i="18"/>
  <c r="BR6" i="18"/>
  <c r="BP6" i="17"/>
  <c r="BP7" i="17"/>
  <c r="BP18" i="17"/>
  <c r="BP19" i="17"/>
  <c r="BN58" i="16"/>
  <c r="BN95" i="16"/>
  <c r="BN38" i="16"/>
  <c r="BO35" i="16"/>
  <c r="BO36" i="16"/>
  <c r="BO124" i="16"/>
  <c r="BO37" i="16"/>
  <c r="BO125" i="16"/>
  <c r="BO99" i="18"/>
  <c r="BO31" i="16"/>
  <c r="BO119" i="16"/>
  <c r="BO24" i="18"/>
  <c r="BO30" i="16"/>
  <c r="BO118" i="16"/>
  <c r="BP7" i="16"/>
  <c r="BP6" i="16"/>
  <c r="BO15" i="15"/>
  <c r="BO23" i="16"/>
  <c r="BO12" i="15"/>
  <c r="BO13" i="15"/>
  <c r="BO36" i="15"/>
  <c r="BO11" i="16"/>
  <c r="BO37" i="15"/>
  <c r="BO12" i="16"/>
  <c r="BO17" i="15"/>
  <c r="BO18" i="15"/>
  <c r="BO21" i="15"/>
  <c r="BO22" i="15"/>
  <c r="BP6" i="15"/>
  <c r="BP7" i="15"/>
  <c r="BO47" i="15"/>
  <c r="BO46" i="15"/>
  <c r="BP33" i="15"/>
  <c r="BP34" i="15"/>
  <c r="BP29" i="15"/>
  <c r="BP25" i="15"/>
  <c r="BP26" i="15"/>
  <c r="BO45" i="15"/>
  <c r="BO44" i="15"/>
  <c r="BP30" i="15"/>
  <c r="BJ133" i="15"/>
  <c r="BJ138" i="15"/>
  <c r="BJ18" i="18"/>
  <c r="BJ20" i="18"/>
  <c r="BM75" i="18"/>
  <c r="BG74" i="18"/>
  <c r="BM19" i="18"/>
  <c r="BH74" i="18"/>
  <c r="BH138" i="16"/>
  <c r="BI135" i="16"/>
  <c r="AL48" i="18"/>
  <c r="AM117" i="16"/>
  <c r="AM120" i="16"/>
  <c r="BJ12" i="18"/>
  <c r="BJ15" i="18"/>
  <c r="BJ137" i="15"/>
  <c r="BJ140" i="15"/>
  <c r="BM130" i="16"/>
  <c r="BO126" i="16"/>
  <c r="BP123" i="16"/>
  <c r="BN88" i="16"/>
  <c r="BL115" i="15"/>
  <c r="BN44" i="16"/>
  <c r="BO19" i="16"/>
  <c r="BO81" i="16"/>
  <c r="BN131" i="15"/>
  <c r="BJ113" i="15"/>
  <c r="BJ117" i="15"/>
  <c r="BJ72" i="18"/>
  <c r="BM68" i="15"/>
  <c r="BM102" i="15"/>
  <c r="BM95" i="15"/>
  <c r="BM109" i="15"/>
  <c r="BO22" i="16"/>
  <c r="BO65" i="16"/>
  <c r="BI44" i="18"/>
  <c r="BN65" i="16"/>
  <c r="BL116" i="15"/>
  <c r="BL114" i="15"/>
  <c r="BM66" i="15"/>
  <c r="BM100" i="15"/>
  <c r="BM114" i="15"/>
  <c r="BM108" i="15"/>
  <c r="BO51" i="15"/>
  <c r="BO58" i="15"/>
  <c r="BO52" i="15"/>
  <c r="BO59" i="15"/>
  <c r="BO54" i="15"/>
  <c r="BO61" i="15"/>
  <c r="BO74" i="15"/>
  <c r="BO80" i="15"/>
  <c r="BO76" i="15"/>
  <c r="BO82" i="15"/>
  <c r="BO75" i="15"/>
  <c r="BO81" i="15"/>
  <c r="BO73" i="15"/>
  <c r="BO79" i="15"/>
  <c r="BO21" i="16"/>
  <c r="BO95" i="16"/>
  <c r="BM67" i="15"/>
  <c r="BM101" i="15"/>
  <c r="BN68" i="15"/>
  <c r="BM55" i="15"/>
  <c r="BI138" i="15"/>
  <c r="BI73" i="18"/>
  <c r="BR38" i="15"/>
  <c r="BQ14" i="16"/>
  <c r="BK106" i="15"/>
  <c r="BK110" i="15"/>
  <c r="BK14" i="18"/>
  <c r="BK96" i="15"/>
  <c r="BN109" i="16"/>
  <c r="BL62" i="15"/>
  <c r="BL122" i="15"/>
  <c r="BL92" i="15"/>
  <c r="BN66" i="15"/>
  <c r="BN85" i="15"/>
  <c r="BN48" i="15"/>
  <c r="BN86" i="15"/>
  <c r="BN93" i="15"/>
  <c r="BO128" i="15"/>
  <c r="BO130" i="15"/>
  <c r="BO129" i="15"/>
  <c r="BO127" i="15"/>
  <c r="BN24" i="16"/>
  <c r="BO20" i="16"/>
  <c r="BO88" i="16"/>
  <c r="BL65" i="15"/>
  <c r="BN94" i="15"/>
  <c r="BN88" i="15"/>
  <c r="BN95" i="15"/>
  <c r="BK69" i="15"/>
  <c r="BK123" i="15"/>
  <c r="BK124" i="15"/>
  <c r="BK99" i="15"/>
  <c r="BK103" i="15"/>
  <c r="BK13" i="18"/>
  <c r="BY63" i="18"/>
  <c r="BS7" i="18"/>
  <c r="BS6" i="18"/>
  <c r="BQ7" i="17"/>
  <c r="BQ18" i="17"/>
  <c r="BQ19" i="17"/>
  <c r="BQ6" i="17"/>
  <c r="BO72" i="16"/>
  <c r="BO109" i="16"/>
  <c r="BO32" i="16"/>
  <c r="BP29" i="16"/>
  <c r="BO38" i="16"/>
  <c r="BP35" i="16"/>
  <c r="BP36" i="16"/>
  <c r="BP124" i="16"/>
  <c r="BP30" i="16"/>
  <c r="BP118" i="16"/>
  <c r="BP31" i="16"/>
  <c r="BP119" i="16"/>
  <c r="BP24" i="18"/>
  <c r="BP37" i="16"/>
  <c r="BP125" i="16"/>
  <c r="BP99" i="18"/>
  <c r="BQ6" i="16"/>
  <c r="BQ7" i="16"/>
  <c r="BP17" i="15"/>
  <c r="BP18" i="15"/>
  <c r="BP21" i="15"/>
  <c r="BP22" i="15"/>
  <c r="BP15" i="15"/>
  <c r="BP19" i="16"/>
  <c r="BP81" i="16"/>
  <c r="BP12" i="15"/>
  <c r="BP13" i="15"/>
  <c r="BP36" i="15"/>
  <c r="BP11" i="16"/>
  <c r="BP37" i="15"/>
  <c r="BP12" i="16"/>
  <c r="BQ6" i="15"/>
  <c r="BQ7" i="15"/>
  <c r="BP46" i="15"/>
  <c r="BP47" i="15"/>
  <c r="BP45" i="15"/>
  <c r="BQ33" i="15"/>
  <c r="BQ34" i="15"/>
  <c r="BQ29" i="15"/>
  <c r="BQ30" i="15"/>
  <c r="BQ25" i="15"/>
  <c r="BQ26" i="15"/>
  <c r="BP44" i="15"/>
  <c r="BJ22" i="18"/>
  <c r="BJ73" i="18"/>
  <c r="BN75" i="18"/>
  <c r="BN19" i="18"/>
  <c r="BK18" i="18"/>
  <c r="BK20" i="18"/>
  <c r="BI138" i="16"/>
  <c r="BJ135" i="16"/>
  <c r="BM115" i="15"/>
  <c r="BK12" i="18"/>
  <c r="BK15" i="18"/>
  <c r="BK137" i="15"/>
  <c r="BK140" i="15"/>
  <c r="AM48" i="18"/>
  <c r="AN117" i="16"/>
  <c r="AN120" i="16"/>
  <c r="BN136" i="16"/>
  <c r="BO51" i="16"/>
  <c r="BP126" i="16"/>
  <c r="BQ123" i="16"/>
  <c r="BO44" i="16"/>
  <c r="BO58" i="16"/>
  <c r="BN130" i="16"/>
  <c r="BP22" i="16"/>
  <c r="BP65" i="16"/>
  <c r="BO102" i="16"/>
  <c r="BO136" i="16"/>
  <c r="BP23" i="16"/>
  <c r="BP109" i="16"/>
  <c r="BM116" i="15"/>
  <c r="BJ44" i="18"/>
  <c r="BO24" i="16"/>
  <c r="BO53" i="15"/>
  <c r="BO60" i="15"/>
  <c r="BP20" i="16"/>
  <c r="BP51" i="16"/>
  <c r="BO131" i="15"/>
  <c r="BK133" i="15"/>
  <c r="BK113" i="15"/>
  <c r="BK117" i="15"/>
  <c r="BK72" i="18"/>
  <c r="BN108" i="15"/>
  <c r="BS38" i="15"/>
  <c r="BR14" i="16"/>
  <c r="BP73" i="15"/>
  <c r="BP79" i="15"/>
  <c r="BP75" i="15"/>
  <c r="BP81" i="15"/>
  <c r="BP76" i="15"/>
  <c r="BP82" i="15"/>
  <c r="BP88" i="15"/>
  <c r="BP74" i="15"/>
  <c r="BP80" i="15"/>
  <c r="BJ55" i="18"/>
  <c r="BJ141" i="15"/>
  <c r="BJ142" i="15"/>
  <c r="BN109" i="15"/>
  <c r="BL69" i="15"/>
  <c r="BL123" i="15"/>
  <c r="BL124" i="15"/>
  <c r="BL99" i="15"/>
  <c r="BL103" i="15"/>
  <c r="BL13" i="18"/>
  <c r="BN55" i="15"/>
  <c r="BN65" i="15"/>
  <c r="BO87" i="15"/>
  <c r="BO48" i="15"/>
  <c r="BP51" i="15"/>
  <c r="BP58" i="15"/>
  <c r="BP53" i="15"/>
  <c r="BP60" i="15"/>
  <c r="BP54" i="15"/>
  <c r="BP61" i="15"/>
  <c r="BO85" i="15"/>
  <c r="BN102" i="15"/>
  <c r="BN107" i="15"/>
  <c r="BL106" i="15"/>
  <c r="BL110" i="15"/>
  <c r="BL14" i="18"/>
  <c r="BL96" i="15"/>
  <c r="BI55" i="18"/>
  <c r="BI141" i="15"/>
  <c r="BI142" i="15"/>
  <c r="BO88" i="15"/>
  <c r="BO68" i="15"/>
  <c r="BM62" i="15"/>
  <c r="BM122" i="15"/>
  <c r="BM92" i="15"/>
  <c r="BP127" i="15"/>
  <c r="BP129" i="15"/>
  <c r="BP128" i="15"/>
  <c r="BP130" i="15"/>
  <c r="BP21" i="16"/>
  <c r="BP95" i="16"/>
  <c r="BN67" i="15"/>
  <c r="BN101" i="15"/>
  <c r="BN100" i="15"/>
  <c r="BM65" i="15"/>
  <c r="BO86" i="15"/>
  <c r="BO66" i="15"/>
  <c r="BZ63" i="18"/>
  <c r="BT7" i="18"/>
  <c r="BT6" i="18"/>
  <c r="BR7" i="17"/>
  <c r="BR18" i="17"/>
  <c r="BR19" i="17"/>
  <c r="BR6" i="17"/>
  <c r="BP38" i="16"/>
  <c r="BQ35" i="16"/>
  <c r="BP32" i="16"/>
  <c r="BQ29" i="16"/>
  <c r="BQ30" i="16"/>
  <c r="BQ118" i="16"/>
  <c r="BQ31" i="16"/>
  <c r="BQ119" i="16"/>
  <c r="BQ24" i="18"/>
  <c r="BQ36" i="16"/>
  <c r="BQ124" i="16"/>
  <c r="BQ37" i="16"/>
  <c r="BQ125" i="16"/>
  <c r="BQ99" i="18"/>
  <c r="BR7" i="16"/>
  <c r="BR6" i="16"/>
  <c r="BP44" i="16"/>
  <c r="BQ15" i="15"/>
  <c r="BQ12" i="15"/>
  <c r="BQ13" i="15"/>
  <c r="BQ36" i="15"/>
  <c r="BQ11" i="16"/>
  <c r="BQ37" i="15"/>
  <c r="BQ12" i="16"/>
  <c r="BQ17" i="15"/>
  <c r="BQ18" i="15"/>
  <c r="BQ21" i="15"/>
  <c r="BQ22" i="15"/>
  <c r="BR7" i="15"/>
  <c r="BR6" i="15"/>
  <c r="BQ45" i="15"/>
  <c r="BQ47" i="15"/>
  <c r="BR25" i="15"/>
  <c r="BR26" i="15"/>
  <c r="BR33" i="15"/>
  <c r="BR34" i="15"/>
  <c r="BR29" i="15"/>
  <c r="BQ46" i="15"/>
  <c r="BQ44" i="15"/>
  <c r="BQ51" i="15"/>
  <c r="BQ58" i="15"/>
  <c r="BK22" i="18"/>
  <c r="BR30" i="15"/>
  <c r="BJ74" i="18"/>
  <c r="BI74" i="18"/>
  <c r="BK73" i="18"/>
  <c r="BO75" i="18"/>
  <c r="BK138" i="15"/>
  <c r="BK55" i="18"/>
  <c r="BL18" i="18"/>
  <c r="BL20" i="18"/>
  <c r="BO19" i="18"/>
  <c r="BJ138" i="16"/>
  <c r="BK135" i="16"/>
  <c r="AO117" i="16"/>
  <c r="AO120" i="16"/>
  <c r="AN48" i="18"/>
  <c r="BO67" i="15"/>
  <c r="BO101" i="15"/>
  <c r="BL12" i="18"/>
  <c r="BL15" i="18"/>
  <c r="BL137" i="15"/>
  <c r="BL44" i="18"/>
  <c r="BQ126" i="16"/>
  <c r="BR123" i="16"/>
  <c r="BP102" i="16"/>
  <c r="BO130" i="16"/>
  <c r="BP72" i="16"/>
  <c r="BN116" i="15"/>
  <c r="BO94" i="15"/>
  <c r="BO108" i="15"/>
  <c r="BP58" i="16"/>
  <c r="BP88" i="16"/>
  <c r="BK44" i="18"/>
  <c r="BP52" i="15"/>
  <c r="BP59" i="15"/>
  <c r="BO93" i="15"/>
  <c r="BO107" i="15"/>
  <c r="BN114" i="15"/>
  <c r="BN69" i="15"/>
  <c r="BN123" i="15"/>
  <c r="BN115" i="15"/>
  <c r="BN99" i="15"/>
  <c r="BN103" i="15"/>
  <c r="BN13" i="18"/>
  <c r="BO95" i="15"/>
  <c r="BO109" i="15"/>
  <c r="BL113" i="15"/>
  <c r="BL117" i="15"/>
  <c r="BL72" i="18"/>
  <c r="BQ127" i="15"/>
  <c r="BQ129" i="15"/>
  <c r="BQ128" i="15"/>
  <c r="BQ130" i="15"/>
  <c r="BQ19" i="16"/>
  <c r="BQ81" i="16"/>
  <c r="BQ23" i="16"/>
  <c r="BQ109" i="16"/>
  <c r="BQ22" i="16"/>
  <c r="BQ65" i="16"/>
  <c r="BQ20" i="16"/>
  <c r="BQ88" i="16"/>
  <c r="BQ21" i="16"/>
  <c r="BQ95" i="16"/>
  <c r="BQ52" i="15"/>
  <c r="BQ59" i="15"/>
  <c r="BQ53" i="15"/>
  <c r="BQ60" i="15"/>
  <c r="BQ73" i="15"/>
  <c r="BQ79" i="15"/>
  <c r="BQ75" i="15"/>
  <c r="BQ81" i="15"/>
  <c r="BQ74" i="15"/>
  <c r="BQ80" i="15"/>
  <c r="BQ76" i="15"/>
  <c r="BQ82" i="15"/>
  <c r="BO100" i="15"/>
  <c r="BM69" i="15"/>
  <c r="BM123" i="15"/>
  <c r="BM124" i="15"/>
  <c r="BM99" i="15"/>
  <c r="BM103" i="15"/>
  <c r="BM13" i="18"/>
  <c r="BP131" i="15"/>
  <c r="BP48" i="15"/>
  <c r="BL133" i="15"/>
  <c r="BP87" i="15"/>
  <c r="BT38" i="15"/>
  <c r="BS14" i="16"/>
  <c r="BN62" i="15"/>
  <c r="BN122" i="15"/>
  <c r="BN92" i="15"/>
  <c r="BP85" i="15"/>
  <c r="BP94" i="15"/>
  <c r="BP24" i="16"/>
  <c r="BM106" i="15"/>
  <c r="BM110" i="15"/>
  <c r="BM14" i="18"/>
  <c r="BM96" i="15"/>
  <c r="BO102" i="15"/>
  <c r="BP95" i="15"/>
  <c r="BP109" i="15"/>
  <c r="BO65" i="15"/>
  <c r="BO55" i="15"/>
  <c r="BP86" i="15"/>
  <c r="CA63" i="18"/>
  <c r="BU7" i="18"/>
  <c r="BU6" i="18"/>
  <c r="BS7" i="17"/>
  <c r="BS18" i="17"/>
  <c r="BS19" i="17"/>
  <c r="BS6" i="17"/>
  <c r="BQ32" i="16"/>
  <c r="BR29" i="16"/>
  <c r="BQ38" i="16"/>
  <c r="BR35" i="16"/>
  <c r="BR30" i="16"/>
  <c r="BR118" i="16"/>
  <c r="BR31" i="16"/>
  <c r="BR37" i="16"/>
  <c r="BR125" i="16"/>
  <c r="BR99" i="18"/>
  <c r="BR36" i="16"/>
  <c r="BR124" i="16"/>
  <c r="BS7" i="16"/>
  <c r="BS6" i="16"/>
  <c r="BR13" i="15"/>
  <c r="BR12" i="15"/>
  <c r="BR36" i="15"/>
  <c r="BR11" i="16"/>
  <c r="BR37" i="15"/>
  <c r="BR12" i="16"/>
  <c r="BR21" i="15"/>
  <c r="BR22" i="15"/>
  <c r="BR17" i="15"/>
  <c r="BR18" i="15"/>
  <c r="BR15" i="15"/>
  <c r="BR21" i="16"/>
  <c r="BS6" i="15"/>
  <c r="BS7" i="15"/>
  <c r="BR44" i="15"/>
  <c r="BR47" i="15"/>
  <c r="BR45" i="15"/>
  <c r="BR46" i="15"/>
  <c r="BR53" i="15"/>
  <c r="BR60" i="15"/>
  <c r="BS29" i="15"/>
  <c r="BS30" i="15"/>
  <c r="BS25" i="15"/>
  <c r="BS26" i="15"/>
  <c r="BS33" i="15"/>
  <c r="BS34" i="15"/>
  <c r="BK141" i="15"/>
  <c r="BK142" i="15"/>
  <c r="BK74" i="18"/>
  <c r="BO69" i="15"/>
  <c r="BO123" i="15"/>
  <c r="BL140" i="15"/>
  <c r="BO115" i="15"/>
  <c r="BQ58" i="16"/>
  <c r="BL22" i="18"/>
  <c r="BP75" i="18"/>
  <c r="BM18" i="18"/>
  <c r="BM20" i="18"/>
  <c r="BP19" i="18"/>
  <c r="BK138" i="16"/>
  <c r="BL135" i="16"/>
  <c r="BM12" i="18"/>
  <c r="BM15" i="18"/>
  <c r="BM137" i="15"/>
  <c r="BM44" i="18"/>
  <c r="AP117" i="16"/>
  <c r="AP120" i="16"/>
  <c r="AO48" i="18"/>
  <c r="BQ72" i="16"/>
  <c r="BP130" i="16"/>
  <c r="BR126" i="16"/>
  <c r="BS123" i="16"/>
  <c r="BQ44" i="16"/>
  <c r="BP136" i="16"/>
  <c r="BR32" i="16"/>
  <c r="BS29" i="16"/>
  <c r="BR119" i="16"/>
  <c r="BR24" i="18"/>
  <c r="BQ51" i="16"/>
  <c r="BN124" i="15"/>
  <c r="BN133" i="15"/>
  <c r="BP93" i="15"/>
  <c r="BP107" i="15"/>
  <c r="BR22" i="16"/>
  <c r="BR102" i="16"/>
  <c r="BQ102" i="16"/>
  <c r="BQ136" i="16"/>
  <c r="BO116" i="15"/>
  <c r="BS15" i="15"/>
  <c r="BS20" i="16"/>
  <c r="BQ24" i="16"/>
  <c r="BQ54" i="15"/>
  <c r="BQ61" i="15"/>
  <c r="BO114" i="15"/>
  <c r="BM113" i="15"/>
  <c r="BM117" i="15"/>
  <c r="BM72" i="18"/>
  <c r="BP108" i="15"/>
  <c r="BO62" i="15"/>
  <c r="BO122" i="15"/>
  <c r="BO92" i="15"/>
  <c r="BQ88" i="15"/>
  <c r="BQ67" i="15"/>
  <c r="BO99" i="15"/>
  <c r="BO103" i="15"/>
  <c r="BO13" i="18"/>
  <c r="BR128" i="15"/>
  <c r="BR130" i="15"/>
  <c r="BR127" i="15"/>
  <c r="BR129" i="15"/>
  <c r="BP68" i="15"/>
  <c r="BP102" i="15"/>
  <c r="BP116" i="15"/>
  <c r="BN96" i="15"/>
  <c r="BN106" i="15"/>
  <c r="BN110" i="15"/>
  <c r="BN14" i="18"/>
  <c r="BU38" i="15"/>
  <c r="BT14" i="16"/>
  <c r="BL138" i="15"/>
  <c r="BL73" i="18"/>
  <c r="BQ86" i="15"/>
  <c r="BQ48" i="15"/>
  <c r="BQ131" i="15"/>
  <c r="BR51" i="15"/>
  <c r="BR58" i="15"/>
  <c r="BR54" i="15"/>
  <c r="BR61" i="15"/>
  <c r="BR52" i="15"/>
  <c r="BR59" i="15"/>
  <c r="BP55" i="15"/>
  <c r="BQ85" i="15"/>
  <c r="BQ66" i="15"/>
  <c r="BR20" i="16"/>
  <c r="BR51" i="16"/>
  <c r="BR74" i="15"/>
  <c r="BR80" i="15"/>
  <c r="BR76" i="15"/>
  <c r="BR82" i="15"/>
  <c r="BR75" i="15"/>
  <c r="BR81" i="15"/>
  <c r="BR87" i="15"/>
  <c r="BR73" i="15"/>
  <c r="BR79" i="15"/>
  <c r="BR23" i="16"/>
  <c r="BR72" i="16"/>
  <c r="BR19" i="16"/>
  <c r="BR81" i="16"/>
  <c r="BP67" i="15"/>
  <c r="BP101" i="15"/>
  <c r="BP115" i="15"/>
  <c r="BM133" i="15"/>
  <c r="BQ94" i="15"/>
  <c r="BQ87" i="15"/>
  <c r="CB63" i="18"/>
  <c r="BV7" i="18"/>
  <c r="BV6" i="18"/>
  <c r="BT6" i="17"/>
  <c r="BT7" i="17"/>
  <c r="BT18" i="17"/>
  <c r="BT19" i="17"/>
  <c r="BR58" i="16"/>
  <c r="BR95" i="16"/>
  <c r="BR38" i="16"/>
  <c r="BS35" i="16"/>
  <c r="BS36" i="16"/>
  <c r="BS30" i="16"/>
  <c r="BS118" i="16"/>
  <c r="BS31" i="16"/>
  <c r="BS119" i="16"/>
  <c r="BS24" i="18"/>
  <c r="BS37" i="16"/>
  <c r="BS125" i="16"/>
  <c r="BS99" i="18"/>
  <c r="BT7" i="16"/>
  <c r="BT6" i="16"/>
  <c r="BS12" i="15"/>
  <c r="BS13" i="15"/>
  <c r="BS36" i="15"/>
  <c r="BS11" i="16"/>
  <c r="BS37" i="15"/>
  <c r="BS12" i="16"/>
  <c r="BS17" i="15"/>
  <c r="BS18" i="15"/>
  <c r="BS21" i="15"/>
  <c r="BS22" i="15"/>
  <c r="BS44" i="15"/>
  <c r="BT7" i="15"/>
  <c r="BT6" i="15"/>
  <c r="BS46" i="15"/>
  <c r="BS45" i="15"/>
  <c r="BS47" i="15"/>
  <c r="BT33" i="15"/>
  <c r="BT34" i="15"/>
  <c r="BT29" i="15"/>
  <c r="BT30" i="15"/>
  <c r="BT25" i="15"/>
  <c r="BT26" i="15"/>
  <c r="BO124" i="15"/>
  <c r="BO133" i="15"/>
  <c r="BM22" i="18"/>
  <c r="BN18" i="18"/>
  <c r="BN20" i="18"/>
  <c r="BQ19" i="18"/>
  <c r="BQ75" i="18"/>
  <c r="BL138" i="16"/>
  <c r="BM135" i="16"/>
  <c r="BN12" i="18"/>
  <c r="BN15" i="18"/>
  <c r="BN137" i="15"/>
  <c r="BN44" i="18"/>
  <c r="AP48" i="18"/>
  <c r="AQ117" i="16"/>
  <c r="AQ120" i="16"/>
  <c r="BR109" i="16"/>
  <c r="BS38" i="16"/>
  <c r="BT35" i="16"/>
  <c r="BS124" i="16"/>
  <c r="BS126" i="16"/>
  <c r="BT123" i="16"/>
  <c r="BQ130" i="16"/>
  <c r="BR65" i="16"/>
  <c r="BP66" i="15"/>
  <c r="BP100" i="15"/>
  <c r="BP114" i="15"/>
  <c r="BS21" i="16"/>
  <c r="BS95" i="16"/>
  <c r="BR24" i="16"/>
  <c r="BR44" i="16"/>
  <c r="BR130" i="16"/>
  <c r="BQ68" i="15"/>
  <c r="BQ102" i="15"/>
  <c r="BQ95" i="15"/>
  <c r="BQ109" i="15"/>
  <c r="BS23" i="16"/>
  <c r="BS72" i="16"/>
  <c r="BR88" i="16"/>
  <c r="BQ100" i="15"/>
  <c r="BS19" i="16"/>
  <c r="BS81" i="16"/>
  <c r="BM140" i="15"/>
  <c r="BN113" i="15"/>
  <c r="BN117" i="15"/>
  <c r="BN72" i="18"/>
  <c r="BN138" i="15"/>
  <c r="BN73" i="18"/>
  <c r="BR85" i="15"/>
  <c r="BR94" i="15"/>
  <c r="BQ55" i="15"/>
  <c r="BQ92" i="15"/>
  <c r="BO106" i="15"/>
  <c r="BO110" i="15"/>
  <c r="BO14" i="18"/>
  <c r="BO96" i="15"/>
  <c r="BS51" i="15"/>
  <c r="BS58" i="15"/>
  <c r="BS54" i="15"/>
  <c r="BS61" i="15"/>
  <c r="BS52" i="15"/>
  <c r="BS59" i="15"/>
  <c r="BM138" i="15"/>
  <c r="BM73" i="18"/>
  <c r="BR48" i="15"/>
  <c r="BL55" i="18"/>
  <c r="BL141" i="15"/>
  <c r="BL142" i="15"/>
  <c r="BS74" i="15"/>
  <c r="BS80" i="15"/>
  <c r="BS76" i="15"/>
  <c r="BS82" i="15"/>
  <c r="BS73" i="15"/>
  <c r="BS79" i="15"/>
  <c r="BS75" i="15"/>
  <c r="BS81" i="15"/>
  <c r="BQ101" i="15"/>
  <c r="BR88" i="15"/>
  <c r="BQ62" i="15"/>
  <c r="BQ122" i="15"/>
  <c r="BP62" i="15"/>
  <c r="BP122" i="15"/>
  <c r="BP92" i="15"/>
  <c r="BR66" i="15"/>
  <c r="BR131" i="15"/>
  <c r="BS128" i="15"/>
  <c r="BS130" i="15"/>
  <c r="BS127" i="15"/>
  <c r="BS129" i="15"/>
  <c r="BS22" i="16"/>
  <c r="BS102" i="16"/>
  <c r="BQ108" i="15"/>
  <c r="BR86" i="15"/>
  <c r="BP65" i="15"/>
  <c r="BR95" i="15"/>
  <c r="BQ93" i="15"/>
  <c r="BQ107" i="15"/>
  <c r="BV38" i="15"/>
  <c r="BU14" i="16"/>
  <c r="CC63" i="18"/>
  <c r="BW7" i="18"/>
  <c r="BW6" i="18"/>
  <c r="BU7" i="17"/>
  <c r="BU18" i="17"/>
  <c r="BU19" i="17"/>
  <c r="BU6" i="17"/>
  <c r="BS51" i="16"/>
  <c r="BS88" i="16"/>
  <c r="BS32" i="16"/>
  <c r="BT29" i="16"/>
  <c r="BT36" i="16"/>
  <c r="BT124" i="16"/>
  <c r="BT30" i="16"/>
  <c r="BT118" i="16"/>
  <c r="BT31" i="16"/>
  <c r="BT119" i="16"/>
  <c r="BT24" i="18"/>
  <c r="BT37" i="16"/>
  <c r="BT125" i="16"/>
  <c r="BT99" i="18"/>
  <c r="BU6" i="16"/>
  <c r="BU7" i="16"/>
  <c r="BT12" i="15"/>
  <c r="BT13" i="15"/>
  <c r="BT36" i="15"/>
  <c r="BT11" i="16"/>
  <c r="BT37" i="15"/>
  <c r="BT12" i="16"/>
  <c r="BT17" i="15"/>
  <c r="BT18" i="15"/>
  <c r="BT21" i="15"/>
  <c r="BT22" i="15"/>
  <c r="BT15" i="15"/>
  <c r="BT20" i="16"/>
  <c r="BU6" i="15"/>
  <c r="BU7" i="15"/>
  <c r="BT46" i="15"/>
  <c r="BT47" i="15"/>
  <c r="BT45" i="15"/>
  <c r="BU29" i="15"/>
  <c r="BU30" i="15"/>
  <c r="BU33" i="15"/>
  <c r="BU34" i="15"/>
  <c r="BU25" i="15"/>
  <c r="BU26" i="15"/>
  <c r="BT44" i="15"/>
  <c r="BO18" i="18"/>
  <c r="BO20" i="18"/>
  <c r="BN22" i="18"/>
  <c r="BR19" i="18"/>
  <c r="BR75" i="18"/>
  <c r="BL74" i="18"/>
  <c r="BM138" i="16"/>
  <c r="BN135" i="16"/>
  <c r="BO12" i="18"/>
  <c r="BO15" i="18"/>
  <c r="BO137" i="15"/>
  <c r="BO140" i="15"/>
  <c r="AR117" i="16"/>
  <c r="AR120" i="16"/>
  <c r="AQ48" i="18"/>
  <c r="BR136" i="16"/>
  <c r="BT126" i="16"/>
  <c r="BU123" i="16"/>
  <c r="BS109" i="16"/>
  <c r="BS136" i="16"/>
  <c r="BS58" i="16"/>
  <c r="BS24" i="16"/>
  <c r="BS44" i="16"/>
  <c r="BN140" i="15"/>
  <c r="BQ116" i="15"/>
  <c r="BO113" i="15"/>
  <c r="BO117" i="15"/>
  <c r="BO72" i="18"/>
  <c r="BR67" i="15"/>
  <c r="BR101" i="15"/>
  <c r="BS65" i="16"/>
  <c r="BS131" i="15"/>
  <c r="BS53" i="15"/>
  <c r="BS60" i="15"/>
  <c r="BQ115" i="15"/>
  <c r="BR100" i="15"/>
  <c r="BR93" i="15"/>
  <c r="BR107" i="15"/>
  <c r="BR109" i="15"/>
  <c r="BT73" i="15"/>
  <c r="BT79" i="15"/>
  <c r="BT75" i="15"/>
  <c r="BT81" i="15"/>
  <c r="BT74" i="15"/>
  <c r="BT80" i="15"/>
  <c r="BT86" i="15"/>
  <c r="BT76" i="15"/>
  <c r="BT82" i="15"/>
  <c r="BT88" i="15"/>
  <c r="BT19" i="16"/>
  <c r="BT81" i="16"/>
  <c r="BR68" i="15"/>
  <c r="BR102" i="15"/>
  <c r="BS86" i="15"/>
  <c r="BR55" i="15"/>
  <c r="BM55" i="18"/>
  <c r="BM141" i="15"/>
  <c r="BM142" i="15"/>
  <c r="BS48" i="15"/>
  <c r="BT22" i="16"/>
  <c r="BW38" i="15"/>
  <c r="BV14" i="16"/>
  <c r="BP69" i="15"/>
  <c r="BP123" i="15"/>
  <c r="BP124" i="15"/>
  <c r="BP99" i="15"/>
  <c r="BP103" i="15"/>
  <c r="BP13" i="18"/>
  <c r="BS87" i="15"/>
  <c r="BS93" i="15"/>
  <c r="BQ106" i="15"/>
  <c r="BQ96" i="15"/>
  <c r="BR108" i="15"/>
  <c r="BN141" i="15"/>
  <c r="BN55" i="18"/>
  <c r="BT21" i="16"/>
  <c r="BT58" i="16"/>
  <c r="BS85" i="15"/>
  <c r="BO138" i="15"/>
  <c r="BO73" i="18"/>
  <c r="BS68" i="15"/>
  <c r="BQ65" i="15"/>
  <c r="BT127" i="15"/>
  <c r="BT129" i="15"/>
  <c r="BT130" i="15"/>
  <c r="BT128" i="15"/>
  <c r="BT52" i="15"/>
  <c r="BT59" i="15"/>
  <c r="BT51" i="15"/>
  <c r="BT58" i="15"/>
  <c r="BT54" i="15"/>
  <c r="BT61" i="15"/>
  <c r="BT23" i="16"/>
  <c r="BT72" i="16"/>
  <c r="BP106" i="15"/>
  <c r="BP110" i="15"/>
  <c r="BP14" i="18"/>
  <c r="BP96" i="15"/>
  <c r="BS88" i="15"/>
  <c r="BQ114" i="15"/>
  <c r="CD63" i="18"/>
  <c r="BX6" i="18"/>
  <c r="BX7" i="18"/>
  <c r="BV6" i="17"/>
  <c r="BV7" i="17"/>
  <c r="BV18" i="17"/>
  <c r="BV19" i="17"/>
  <c r="BT51" i="16"/>
  <c r="BT88" i="16"/>
  <c r="BT38" i="16"/>
  <c r="BU35" i="16"/>
  <c r="BT32" i="16"/>
  <c r="BU29" i="16"/>
  <c r="BU30" i="16"/>
  <c r="BU118" i="16"/>
  <c r="BU31" i="16"/>
  <c r="BU119" i="16"/>
  <c r="BU24" i="18"/>
  <c r="BU36" i="16"/>
  <c r="BU124" i="16"/>
  <c r="BU37" i="16"/>
  <c r="BU125" i="16"/>
  <c r="BU99" i="18"/>
  <c r="BV7" i="16"/>
  <c r="BV6" i="16"/>
  <c r="BU17" i="15"/>
  <c r="BU18" i="15"/>
  <c r="BU21" i="15"/>
  <c r="BU22" i="15"/>
  <c r="BU15" i="15"/>
  <c r="BU20" i="16"/>
  <c r="BU12" i="15"/>
  <c r="BU13" i="15"/>
  <c r="BU36" i="15"/>
  <c r="BU11" i="16"/>
  <c r="BU37" i="15"/>
  <c r="BU12" i="16"/>
  <c r="BV7" i="15"/>
  <c r="BV6" i="15"/>
  <c r="BU45" i="15"/>
  <c r="BU46" i="15"/>
  <c r="BU47" i="15"/>
  <c r="BU44" i="15"/>
  <c r="BU51" i="15"/>
  <c r="BU58" i="15"/>
  <c r="BV25" i="15"/>
  <c r="BV26" i="15"/>
  <c r="BV33" i="15"/>
  <c r="BV34" i="15"/>
  <c r="BV29" i="15"/>
  <c r="BV30" i="15"/>
  <c r="BO22" i="18"/>
  <c r="BP133" i="15"/>
  <c r="BP138" i="15"/>
  <c r="BP18" i="18"/>
  <c r="BP20" i="18"/>
  <c r="BS75" i="18"/>
  <c r="BM74" i="18"/>
  <c r="BS19" i="18"/>
  <c r="BN138" i="16"/>
  <c r="BO135" i="16"/>
  <c r="BR116" i="15"/>
  <c r="AS117" i="16"/>
  <c r="AS120" i="16"/>
  <c r="AR48" i="18"/>
  <c r="BP12" i="18"/>
  <c r="BP15" i="18"/>
  <c r="BP137" i="15"/>
  <c r="BP140" i="15"/>
  <c r="BQ12" i="18"/>
  <c r="BT44" i="16"/>
  <c r="BU126" i="16"/>
  <c r="BV123" i="16"/>
  <c r="BR115" i="15"/>
  <c r="BS130" i="16"/>
  <c r="BN142" i="15"/>
  <c r="BT95" i="16"/>
  <c r="BS94" i="15"/>
  <c r="BS108" i="15"/>
  <c r="BO44" i="18"/>
  <c r="BT24" i="16"/>
  <c r="BT102" i="16"/>
  <c r="BR114" i="15"/>
  <c r="BT53" i="15"/>
  <c r="BT60" i="15"/>
  <c r="BQ110" i="15"/>
  <c r="BQ14" i="18"/>
  <c r="BP113" i="15"/>
  <c r="BP117" i="15"/>
  <c r="BP72" i="18"/>
  <c r="BS107" i="15"/>
  <c r="BU52" i="15"/>
  <c r="BU59" i="15"/>
  <c r="BU53" i="15"/>
  <c r="BU60" i="15"/>
  <c r="BU73" i="15"/>
  <c r="BU79" i="15"/>
  <c r="BU75" i="15"/>
  <c r="BU81" i="15"/>
  <c r="BU76" i="15"/>
  <c r="BU82" i="15"/>
  <c r="BU74" i="15"/>
  <c r="BU80" i="15"/>
  <c r="BT109" i="16"/>
  <c r="BT65" i="16"/>
  <c r="BT95" i="15"/>
  <c r="BT109" i="15"/>
  <c r="BT131" i="15"/>
  <c r="BS66" i="15"/>
  <c r="BS100" i="15"/>
  <c r="BT87" i="15"/>
  <c r="BU21" i="16"/>
  <c r="BU58" i="16"/>
  <c r="BU19" i="16"/>
  <c r="BU81" i="16"/>
  <c r="BS102" i="15"/>
  <c r="BT93" i="15"/>
  <c r="BU23" i="16"/>
  <c r="BU109" i="16"/>
  <c r="BT48" i="15"/>
  <c r="BQ69" i="15"/>
  <c r="BQ123" i="15"/>
  <c r="BQ124" i="15"/>
  <c r="BQ99" i="15"/>
  <c r="BO55" i="18"/>
  <c r="BO141" i="15"/>
  <c r="BO142" i="15"/>
  <c r="BT85" i="15"/>
  <c r="BU127" i="15"/>
  <c r="BU129" i="15"/>
  <c r="BU130" i="15"/>
  <c r="BU128" i="15"/>
  <c r="BU22" i="16"/>
  <c r="BU102" i="16"/>
  <c r="BS95" i="15"/>
  <c r="BX38" i="15"/>
  <c r="BW14" i="16"/>
  <c r="BS55" i="15"/>
  <c r="BR65" i="15"/>
  <c r="BR62" i="15"/>
  <c r="BR122" i="15"/>
  <c r="BR92" i="15"/>
  <c r="CE63" i="18"/>
  <c r="BY7" i="18"/>
  <c r="BY6" i="18"/>
  <c r="BW7" i="17"/>
  <c r="BW18" i="17"/>
  <c r="BW19" i="17"/>
  <c r="BW6" i="17"/>
  <c r="BU51" i="16"/>
  <c r="BU88" i="16"/>
  <c r="BU32" i="16"/>
  <c r="BV29" i="16"/>
  <c r="BU38" i="16"/>
  <c r="BV35" i="16"/>
  <c r="BV30" i="16"/>
  <c r="BV118" i="16"/>
  <c r="BV31" i="16"/>
  <c r="BV37" i="16"/>
  <c r="BV125" i="16"/>
  <c r="BV99" i="18"/>
  <c r="BV36" i="16"/>
  <c r="BV124" i="16"/>
  <c r="BW7" i="16"/>
  <c r="BW6" i="16"/>
  <c r="BV17" i="15"/>
  <c r="BV18" i="15"/>
  <c r="BV21" i="15"/>
  <c r="BV22" i="15"/>
  <c r="BV13" i="15"/>
  <c r="BV12" i="15"/>
  <c r="BV36" i="15"/>
  <c r="BV11" i="16"/>
  <c r="BV37" i="15"/>
  <c r="BV12" i="16"/>
  <c r="BV15" i="15"/>
  <c r="BV23" i="16"/>
  <c r="BW7" i="15"/>
  <c r="BW6" i="15"/>
  <c r="BV44" i="15"/>
  <c r="BV45" i="15"/>
  <c r="BV46" i="15"/>
  <c r="BV47" i="15"/>
  <c r="BV54" i="15"/>
  <c r="BV61" i="15"/>
  <c r="BW29" i="15"/>
  <c r="BW30" i="15"/>
  <c r="BW25" i="15"/>
  <c r="BW26" i="15"/>
  <c r="BW33" i="15"/>
  <c r="BW34" i="15"/>
  <c r="BT130" i="16"/>
  <c r="BP73" i="18"/>
  <c r="BT136" i="16"/>
  <c r="BP22" i="18"/>
  <c r="BT75" i="18"/>
  <c r="BN74" i="18"/>
  <c r="BQ18" i="18"/>
  <c r="BQ20" i="18"/>
  <c r="BO74" i="18"/>
  <c r="BT19" i="18"/>
  <c r="BO138" i="16"/>
  <c r="BP135" i="16"/>
  <c r="BQ137" i="15"/>
  <c r="BQ44" i="18"/>
  <c r="AT117" i="16"/>
  <c r="AT120" i="16"/>
  <c r="AS48" i="18"/>
  <c r="BV32" i="16"/>
  <c r="BW29" i="16"/>
  <c r="BV119" i="16"/>
  <c r="BV24" i="18"/>
  <c r="BU95" i="16"/>
  <c r="BU136" i="16"/>
  <c r="BV126" i="16"/>
  <c r="BW123" i="16"/>
  <c r="BS67" i="15"/>
  <c r="BS101" i="15"/>
  <c r="BS115" i="15"/>
  <c r="BU72" i="16"/>
  <c r="BU131" i="15"/>
  <c r="BW15" i="15"/>
  <c r="BU44" i="16"/>
  <c r="BT67" i="15"/>
  <c r="BT101" i="15"/>
  <c r="BT94" i="15"/>
  <c r="BT108" i="15"/>
  <c r="BU65" i="16"/>
  <c r="BP44" i="18"/>
  <c r="BS114" i="15"/>
  <c r="BU54" i="15"/>
  <c r="BU61" i="15"/>
  <c r="BQ103" i="15"/>
  <c r="BQ13" i="18"/>
  <c r="BQ15" i="18"/>
  <c r="BQ113" i="15"/>
  <c r="BQ117" i="15"/>
  <c r="BQ72" i="18"/>
  <c r="BT66" i="15"/>
  <c r="BT100" i="15"/>
  <c r="BU87" i="15"/>
  <c r="BV51" i="15"/>
  <c r="BV58" i="15"/>
  <c r="BV53" i="15"/>
  <c r="BV60" i="15"/>
  <c r="BV52" i="15"/>
  <c r="BV59" i="15"/>
  <c r="BR69" i="15"/>
  <c r="BR123" i="15"/>
  <c r="BR124" i="15"/>
  <c r="BR99" i="15"/>
  <c r="BR103" i="15"/>
  <c r="BR13" i="18"/>
  <c r="BY38" i="15"/>
  <c r="BX14" i="16"/>
  <c r="BS109" i="15"/>
  <c r="BS116" i="15"/>
  <c r="BT55" i="15"/>
  <c r="BT68" i="15"/>
  <c r="BT102" i="15"/>
  <c r="BT116" i="15"/>
  <c r="BU85" i="15"/>
  <c r="BU66" i="15"/>
  <c r="BV128" i="15"/>
  <c r="BV130" i="15"/>
  <c r="BV129" i="15"/>
  <c r="BV127" i="15"/>
  <c r="BV20" i="16"/>
  <c r="BV74" i="15"/>
  <c r="BV80" i="15"/>
  <c r="BV76" i="15"/>
  <c r="BV82" i="15"/>
  <c r="BV73" i="15"/>
  <c r="BV79" i="15"/>
  <c r="BV75" i="15"/>
  <c r="BV81" i="15"/>
  <c r="BV87" i="15"/>
  <c r="BV21" i="16"/>
  <c r="BV58" i="16"/>
  <c r="BV19" i="16"/>
  <c r="BV81" i="16"/>
  <c r="BU24" i="16"/>
  <c r="BU93" i="15"/>
  <c r="BU107" i="15"/>
  <c r="BU86" i="15"/>
  <c r="BU48" i="15"/>
  <c r="BV22" i="16"/>
  <c r="BV102" i="16"/>
  <c r="BR96" i="15"/>
  <c r="BR106" i="15"/>
  <c r="BR110" i="15"/>
  <c r="BR14" i="18"/>
  <c r="BS65" i="15"/>
  <c r="BS62" i="15"/>
  <c r="BS122" i="15"/>
  <c r="BS92" i="15"/>
  <c r="BQ133" i="15"/>
  <c r="BT107" i="15"/>
  <c r="BU88" i="15"/>
  <c r="BU94" i="15"/>
  <c r="BP55" i="18"/>
  <c r="BP141" i="15"/>
  <c r="BP142" i="15"/>
  <c r="CF63" i="18"/>
  <c r="BZ7" i="18"/>
  <c r="BZ6" i="18"/>
  <c r="BX6" i="17"/>
  <c r="BX7" i="17"/>
  <c r="BX18" i="17"/>
  <c r="BX19" i="17"/>
  <c r="BV72" i="16"/>
  <c r="BV109" i="16"/>
  <c r="BV38" i="16"/>
  <c r="BW35" i="16"/>
  <c r="BW36" i="16"/>
  <c r="BW124" i="16"/>
  <c r="BW37" i="16"/>
  <c r="BW125" i="16"/>
  <c r="BW99" i="18"/>
  <c r="BW30" i="16"/>
  <c r="BW118" i="16"/>
  <c r="BW31" i="16"/>
  <c r="BW119" i="16"/>
  <c r="BW24" i="18"/>
  <c r="BX7" i="16"/>
  <c r="BX6" i="16"/>
  <c r="BW17" i="15"/>
  <c r="BW18" i="15"/>
  <c r="BW21" i="15"/>
  <c r="BW22" i="15"/>
  <c r="BW12" i="15"/>
  <c r="BW13" i="15"/>
  <c r="BW36" i="15"/>
  <c r="BW11" i="16"/>
  <c r="BW37" i="15"/>
  <c r="BW12" i="16"/>
  <c r="BX7" i="15"/>
  <c r="BX6" i="15"/>
  <c r="BW44" i="15"/>
  <c r="BW45" i="15"/>
  <c r="BW47" i="15"/>
  <c r="BW54" i="15"/>
  <c r="BW61" i="15"/>
  <c r="BX33" i="15"/>
  <c r="BX34" i="15"/>
  <c r="BX29" i="15"/>
  <c r="BX30" i="15"/>
  <c r="BX25" i="15"/>
  <c r="BX26" i="15"/>
  <c r="BW46" i="15"/>
  <c r="BQ140" i="15"/>
  <c r="BQ22" i="18"/>
  <c r="BP74" i="18"/>
  <c r="BU19" i="18"/>
  <c r="BU75" i="18"/>
  <c r="BR18" i="18"/>
  <c r="BR20" i="18"/>
  <c r="BP138" i="16"/>
  <c r="BQ135" i="16"/>
  <c r="BR12" i="18"/>
  <c r="BR137" i="15"/>
  <c r="AT48" i="18"/>
  <c r="AU117" i="16"/>
  <c r="AU120" i="16"/>
  <c r="BT115" i="15"/>
  <c r="BW126" i="16"/>
  <c r="BX123" i="16"/>
  <c r="BV44" i="16"/>
  <c r="BU68" i="15"/>
  <c r="BU130" i="16"/>
  <c r="BW19" i="16"/>
  <c r="BW81" i="16"/>
  <c r="BW22" i="16"/>
  <c r="BW102" i="16"/>
  <c r="BV24" i="16"/>
  <c r="BV95" i="16"/>
  <c r="BW21" i="16"/>
  <c r="BW58" i="16"/>
  <c r="BW23" i="16"/>
  <c r="BW72" i="16"/>
  <c r="BW20" i="16"/>
  <c r="BV88" i="16"/>
  <c r="BV136" i="16"/>
  <c r="BV65" i="16"/>
  <c r="BV51" i="16"/>
  <c r="BU102" i="15"/>
  <c r="BV131" i="15"/>
  <c r="BU95" i="15"/>
  <c r="BU109" i="15"/>
  <c r="BT114" i="15"/>
  <c r="BR113" i="15"/>
  <c r="BR117" i="15"/>
  <c r="BR72" i="18"/>
  <c r="BU67" i="15"/>
  <c r="BU101" i="15"/>
  <c r="BR133" i="15"/>
  <c r="BR15" i="18"/>
  <c r="BR44" i="18"/>
  <c r="BU108" i="15"/>
  <c r="BV88" i="15"/>
  <c r="BT62" i="15"/>
  <c r="BT122" i="15"/>
  <c r="BT92" i="15"/>
  <c r="BV66" i="15"/>
  <c r="BZ38" i="15"/>
  <c r="BY14" i="16"/>
  <c r="BW74" i="15"/>
  <c r="BW80" i="15"/>
  <c r="BW76" i="15"/>
  <c r="BW82" i="15"/>
  <c r="BW75" i="15"/>
  <c r="BW81" i="15"/>
  <c r="BW73" i="15"/>
  <c r="BW79" i="15"/>
  <c r="BS106" i="15"/>
  <c r="BS110" i="15"/>
  <c r="BS14" i="18"/>
  <c r="BS96" i="15"/>
  <c r="BV86" i="15"/>
  <c r="BV94" i="15"/>
  <c r="BQ138" i="15"/>
  <c r="BQ73" i="18"/>
  <c r="BS69" i="15"/>
  <c r="BS123" i="15"/>
  <c r="BS124" i="15"/>
  <c r="BS99" i="15"/>
  <c r="BS103" i="15"/>
  <c r="BS13" i="18"/>
  <c r="BU55" i="15"/>
  <c r="BV85" i="15"/>
  <c r="BV95" i="15"/>
  <c r="BW51" i="15"/>
  <c r="BW58" i="15"/>
  <c r="BW52" i="15"/>
  <c r="BW59" i="15"/>
  <c r="BW128" i="15"/>
  <c r="BW130" i="15"/>
  <c r="BW129" i="15"/>
  <c r="BW127" i="15"/>
  <c r="BU100" i="15"/>
  <c r="BU114" i="15"/>
  <c r="BT65" i="15"/>
  <c r="BV48" i="15"/>
  <c r="CG63" i="18"/>
  <c r="CA7" i="18"/>
  <c r="CA6" i="18"/>
  <c r="BY7" i="17"/>
  <c r="BY18" i="17"/>
  <c r="BY19" i="17"/>
  <c r="BY6" i="17"/>
  <c r="BW32" i="16"/>
  <c r="BX29" i="16"/>
  <c r="BW38" i="16"/>
  <c r="BX35" i="16"/>
  <c r="BX36" i="16"/>
  <c r="BX124" i="16"/>
  <c r="BX31" i="16"/>
  <c r="BX119" i="16"/>
  <c r="BX24" i="18"/>
  <c r="BX30" i="16"/>
  <c r="BX118" i="16"/>
  <c r="BX37" i="16"/>
  <c r="BX125" i="16"/>
  <c r="BX99" i="18"/>
  <c r="BY6" i="16"/>
  <c r="BY7" i="16"/>
  <c r="BX17" i="15"/>
  <c r="BX18" i="15"/>
  <c r="BX21" i="15"/>
  <c r="BX22" i="15"/>
  <c r="BX12" i="15"/>
  <c r="BX13" i="15"/>
  <c r="BX36" i="15"/>
  <c r="BX11" i="16"/>
  <c r="BX37" i="15"/>
  <c r="BX12" i="16"/>
  <c r="BX15" i="15"/>
  <c r="BX20" i="16"/>
  <c r="BY6" i="15"/>
  <c r="BY7" i="15"/>
  <c r="BX45" i="15"/>
  <c r="BX44" i="15"/>
  <c r="BX47" i="15"/>
  <c r="BX46" i="15"/>
  <c r="BX53" i="15"/>
  <c r="BX60" i="15"/>
  <c r="BY33" i="15"/>
  <c r="BY34" i="15"/>
  <c r="BY29" i="15"/>
  <c r="BY25" i="15"/>
  <c r="BY26" i="15"/>
  <c r="BU116" i="15"/>
  <c r="BY30" i="15"/>
  <c r="BR22" i="18"/>
  <c r="BR138" i="15"/>
  <c r="BR55" i="18"/>
  <c r="BV19" i="18"/>
  <c r="BS18" i="18"/>
  <c r="BS20" i="18"/>
  <c r="BV75" i="18"/>
  <c r="BQ138" i="16"/>
  <c r="BR135" i="16"/>
  <c r="BS12" i="18"/>
  <c r="BS15" i="18"/>
  <c r="BS137" i="15"/>
  <c r="BS44" i="18"/>
  <c r="AU48" i="18"/>
  <c r="AV117" i="16"/>
  <c r="AV120" i="16"/>
  <c r="BW95" i="16"/>
  <c r="BX126" i="16"/>
  <c r="BY123" i="16"/>
  <c r="BW109" i="16"/>
  <c r="BW65" i="16"/>
  <c r="BU115" i="15"/>
  <c r="BW44" i="16"/>
  <c r="BW24" i="16"/>
  <c r="BW88" i="16"/>
  <c r="BR140" i="15"/>
  <c r="BW51" i="16"/>
  <c r="BR73" i="18"/>
  <c r="BV130" i="16"/>
  <c r="BX19" i="16"/>
  <c r="BX81" i="16"/>
  <c r="BV93" i="15"/>
  <c r="BV107" i="15"/>
  <c r="BW53" i="15"/>
  <c r="BW60" i="15"/>
  <c r="BV68" i="15"/>
  <c r="BV102" i="15"/>
  <c r="BS113" i="15"/>
  <c r="BS117" i="15"/>
  <c r="BS72" i="18"/>
  <c r="BV109" i="15"/>
  <c r="BW86" i="15"/>
  <c r="BT96" i="15"/>
  <c r="BT106" i="15"/>
  <c r="BT110" i="15"/>
  <c r="BT14" i="18"/>
  <c r="BX73" i="15"/>
  <c r="BX79" i="15"/>
  <c r="BX75" i="15"/>
  <c r="BX81" i="15"/>
  <c r="BX76" i="15"/>
  <c r="BX82" i="15"/>
  <c r="BX88" i="15"/>
  <c r="BX74" i="15"/>
  <c r="BX80" i="15"/>
  <c r="BX22" i="16"/>
  <c r="BX65" i="16"/>
  <c r="BV55" i="15"/>
  <c r="BV65" i="15"/>
  <c r="BV99" i="15"/>
  <c r="BQ55" i="18"/>
  <c r="BQ141" i="15"/>
  <c r="BQ142" i="15"/>
  <c r="BW85" i="15"/>
  <c r="BX52" i="15"/>
  <c r="BX59" i="15"/>
  <c r="BX51" i="15"/>
  <c r="BX58" i="15"/>
  <c r="BX54" i="15"/>
  <c r="BX61" i="15"/>
  <c r="CA38" i="15"/>
  <c r="BZ14" i="16"/>
  <c r="BX23" i="16"/>
  <c r="BX72" i="16"/>
  <c r="BT69" i="15"/>
  <c r="BT123" i="15"/>
  <c r="BT124" i="15"/>
  <c r="BT99" i="15"/>
  <c r="BT103" i="15"/>
  <c r="BT13" i="18"/>
  <c r="BW131" i="15"/>
  <c r="BW48" i="15"/>
  <c r="BV67" i="15"/>
  <c r="BV101" i="15"/>
  <c r="BW87" i="15"/>
  <c r="BW93" i="15"/>
  <c r="BU62" i="15"/>
  <c r="BU122" i="15"/>
  <c r="BU92" i="15"/>
  <c r="BV100" i="15"/>
  <c r="BX127" i="15"/>
  <c r="BX129" i="15"/>
  <c r="BX128" i="15"/>
  <c r="BX130" i="15"/>
  <c r="BX21" i="16"/>
  <c r="BX58" i="16"/>
  <c r="BW68" i="15"/>
  <c r="BU65" i="15"/>
  <c r="BS133" i="15"/>
  <c r="BV108" i="15"/>
  <c r="BW88" i="15"/>
  <c r="CH63" i="18"/>
  <c r="CB6" i="18"/>
  <c r="CB7" i="18"/>
  <c r="BZ7" i="17"/>
  <c r="BZ18" i="17"/>
  <c r="BZ19" i="17"/>
  <c r="BZ6" i="17"/>
  <c r="BX38" i="16"/>
  <c r="BY35" i="16"/>
  <c r="BX32" i="16"/>
  <c r="BY29" i="16"/>
  <c r="BX51" i="16"/>
  <c r="BX88" i="16"/>
  <c r="BY30" i="16"/>
  <c r="BY118" i="16"/>
  <c r="BY31" i="16"/>
  <c r="BY119" i="16"/>
  <c r="BY24" i="18"/>
  <c r="BY36" i="16"/>
  <c r="BY124" i="16"/>
  <c r="BY37" i="16"/>
  <c r="BZ7" i="16"/>
  <c r="BZ6" i="16"/>
  <c r="BY17" i="15"/>
  <c r="BY18" i="15"/>
  <c r="BY21" i="15"/>
  <c r="BY22" i="15"/>
  <c r="BY15" i="15"/>
  <c r="BY21" i="16"/>
  <c r="BY12" i="15"/>
  <c r="BY13" i="15"/>
  <c r="BY36" i="15"/>
  <c r="BY11" i="16"/>
  <c r="BY37" i="15"/>
  <c r="BY12" i="16"/>
  <c r="BZ6" i="15"/>
  <c r="BZ7" i="15"/>
  <c r="BY45" i="15"/>
  <c r="BY46" i="15"/>
  <c r="BY53" i="15"/>
  <c r="BY60" i="15"/>
  <c r="BZ25" i="15"/>
  <c r="BZ26" i="15"/>
  <c r="BZ33" i="15"/>
  <c r="BZ34" i="15"/>
  <c r="BZ29" i="15"/>
  <c r="BZ30" i="15"/>
  <c r="BY44" i="15"/>
  <c r="BY51" i="15"/>
  <c r="BY58" i="15"/>
  <c r="BY47" i="15"/>
  <c r="BR141" i="15"/>
  <c r="BR142" i="15"/>
  <c r="BR74" i="18"/>
  <c r="BS22" i="18"/>
  <c r="BW19" i="18"/>
  <c r="BT18" i="18"/>
  <c r="BT20" i="18"/>
  <c r="BQ74" i="18"/>
  <c r="BW75" i="18"/>
  <c r="BR138" i="16"/>
  <c r="BS135" i="16"/>
  <c r="BV116" i="15"/>
  <c r="BS140" i="15"/>
  <c r="BT12" i="18"/>
  <c r="BT15" i="18"/>
  <c r="BT137" i="15"/>
  <c r="BT140" i="15"/>
  <c r="AW117" i="16"/>
  <c r="AW120" i="16"/>
  <c r="AV48" i="18"/>
  <c r="BW136" i="16"/>
  <c r="BX102" i="16"/>
  <c r="BX44" i="16"/>
  <c r="BW130" i="16"/>
  <c r="BY38" i="16"/>
  <c r="BZ35" i="16"/>
  <c r="BY125" i="16"/>
  <c r="BV114" i="15"/>
  <c r="BW55" i="15"/>
  <c r="BX24" i="16"/>
  <c r="BY23" i="16"/>
  <c r="BY109" i="16"/>
  <c r="BV115" i="15"/>
  <c r="BW67" i="15"/>
  <c r="BW101" i="15"/>
  <c r="BY20" i="16"/>
  <c r="BY88" i="16"/>
  <c r="BX109" i="16"/>
  <c r="BY19" i="16"/>
  <c r="BY81" i="16"/>
  <c r="BT133" i="15"/>
  <c r="BV103" i="15"/>
  <c r="BV13" i="18"/>
  <c r="BW95" i="15"/>
  <c r="BW109" i="15"/>
  <c r="BV69" i="15"/>
  <c r="BV123" i="15"/>
  <c r="BT113" i="15"/>
  <c r="BT117" i="15"/>
  <c r="BT72" i="18"/>
  <c r="BW107" i="15"/>
  <c r="BX95" i="15"/>
  <c r="BX87" i="15"/>
  <c r="BY127" i="15"/>
  <c r="BY129" i="15"/>
  <c r="BY128" i="15"/>
  <c r="BY130" i="15"/>
  <c r="BY22" i="16"/>
  <c r="BY102" i="16"/>
  <c r="BX95" i="16"/>
  <c r="BW102" i="15"/>
  <c r="BW66" i="15"/>
  <c r="BW100" i="15"/>
  <c r="BX94" i="15"/>
  <c r="BX85" i="15"/>
  <c r="BY52" i="15"/>
  <c r="BY59" i="15"/>
  <c r="BX131" i="15"/>
  <c r="BX48" i="15"/>
  <c r="BX86" i="15"/>
  <c r="BU69" i="15"/>
  <c r="BU123" i="15"/>
  <c r="BU124" i="15"/>
  <c r="BU99" i="15"/>
  <c r="BU103" i="15"/>
  <c r="BU13" i="18"/>
  <c r="BY73" i="15"/>
  <c r="BY79" i="15"/>
  <c r="BY75" i="15"/>
  <c r="BY81" i="15"/>
  <c r="BY74" i="15"/>
  <c r="BY80" i="15"/>
  <c r="BY76" i="15"/>
  <c r="BY82" i="15"/>
  <c r="BS138" i="15"/>
  <c r="BS73" i="18"/>
  <c r="BU106" i="15"/>
  <c r="BU110" i="15"/>
  <c r="BU14" i="18"/>
  <c r="BU96" i="15"/>
  <c r="BW65" i="15"/>
  <c r="BW99" i="15"/>
  <c r="CB38" i="15"/>
  <c r="CA14" i="16"/>
  <c r="BX93" i="15"/>
  <c r="BX66" i="15"/>
  <c r="BW92" i="15"/>
  <c r="BV62" i="15"/>
  <c r="BV122" i="15"/>
  <c r="BV92" i="15"/>
  <c r="CI63" i="18"/>
  <c r="CC7" i="18"/>
  <c r="CC6" i="18"/>
  <c r="CA7" i="17"/>
  <c r="CA18" i="17"/>
  <c r="CA19" i="17"/>
  <c r="CA6" i="17"/>
  <c r="BY58" i="16"/>
  <c r="BY95" i="16"/>
  <c r="BY32" i="16"/>
  <c r="BZ29" i="16"/>
  <c r="BZ30" i="16"/>
  <c r="BZ118" i="16"/>
  <c r="BZ31" i="16"/>
  <c r="BZ119" i="16"/>
  <c r="BZ24" i="18"/>
  <c r="BZ37" i="16"/>
  <c r="BZ125" i="16"/>
  <c r="BZ99" i="18"/>
  <c r="BZ36" i="16"/>
  <c r="BZ124" i="16"/>
  <c r="CA7" i="16"/>
  <c r="CA6" i="16"/>
  <c r="BZ13" i="15"/>
  <c r="BZ12" i="15"/>
  <c r="BZ36" i="15"/>
  <c r="BZ11" i="16"/>
  <c r="BZ37" i="15"/>
  <c r="BZ12" i="16"/>
  <c r="BZ17" i="15"/>
  <c r="BZ18" i="15"/>
  <c r="BZ21" i="15"/>
  <c r="BZ22" i="15"/>
  <c r="BZ15" i="15"/>
  <c r="BZ22" i="16"/>
  <c r="CA7" i="15"/>
  <c r="CA6" i="15"/>
  <c r="BZ47" i="15"/>
  <c r="BZ44" i="15"/>
  <c r="BZ51" i="15"/>
  <c r="BZ58" i="15"/>
  <c r="BZ45" i="15"/>
  <c r="CA29" i="15"/>
  <c r="CA30" i="15"/>
  <c r="CA25" i="15"/>
  <c r="CA26" i="15"/>
  <c r="CA33" i="15"/>
  <c r="CA34" i="15"/>
  <c r="BZ46" i="15"/>
  <c r="BZ53" i="15"/>
  <c r="BZ60" i="15"/>
  <c r="BY126" i="16"/>
  <c r="BZ123" i="16"/>
  <c r="BZ126" i="16"/>
  <c r="CA123" i="16"/>
  <c r="BY99" i="18"/>
  <c r="BT22" i="18"/>
  <c r="BX19" i="18"/>
  <c r="BX75" i="18"/>
  <c r="BU18" i="18"/>
  <c r="BU20" i="18"/>
  <c r="BT138" i="15"/>
  <c r="BT55" i="18"/>
  <c r="BS138" i="16"/>
  <c r="BT135" i="16"/>
  <c r="BU12" i="18"/>
  <c r="BU15" i="18"/>
  <c r="BU137" i="15"/>
  <c r="BU140" i="15"/>
  <c r="AX117" i="16"/>
  <c r="AX120" i="16"/>
  <c r="AW48" i="18"/>
  <c r="BX136" i="16"/>
  <c r="BX130" i="16"/>
  <c r="BZ23" i="16"/>
  <c r="BZ72" i="16"/>
  <c r="BT73" i="18"/>
  <c r="BZ21" i="16"/>
  <c r="BZ58" i="16"/>
  <c r="BY51" i="16"/>
  <c r="BV124" i="15"/>
  <c r="BV133" i="15"/>
  <c r="BT44" i="18"/>
  <c r="BY72" i="16"/>
  <c r="CA15" i="15"/>
  <c r="BW62" i="15"/>
  <c r="BW122" i="15"/>
  <c r="BW94" i="15"/>
  <c r="BW96" i="15"/>
  <c r="BY44" i="16"/>
  <c r="BY65" i="16"/>
  <c r="BW116" i="15"/>
  <c r="BY54" i="15"/>
  <c r="BY61" i="15"/>
  <c r="BW114" i="15"/>
  <c r="BU133" i="15"/>
  <c r="BW69" i="15"/>
  <c r="BW123" i="15"/>
  <c r="BU113" i="15"/>
  <c r="BU117" i="15"/>
  <c r="BU72" i="18"/>
  <c r="BX67" i="15"/>
  <c r="BX101" i="15"/>
  <c r="BX107" i="15"/>
  <c r="BX108" i="15"/>
  <c r="BZ128" i="15"/>
  <c r="BZ130" i="15"/>
  <c r="BZ129" i="15"/>
  <c r="BZ127" i="15"/>
  <c r="BZ20" i="16"/>
  <c r="BZ88" i="16"/>
  <c r="BV96" i="15"/>
  <c r="BV106" i="15"/>
  <c r="BV110" i="15"/>
  <c r="BV14" i="18"/>
  <c r="BW106" i="15"/>
  <c r="BW113" i="15"/>
  <c r="BY86" i="15"/>
  <c r="BY131" i="15"/>
  <c r="BY88" i="15"/>
  <c r="BY48" i="15"/>
  <c r="BZ54" i="15"/>
  <c r="BZ61" i="15"/>
  <c r="BZ52" i="15"/>
  <c r="BZ59" i="15"/>
  <c r="BZ19" i="16"/>
  <c r="BZ81" i="16"/>
  <c r="BY87" i="15"/>
  <c r="BX55" i="15"/>
  <c r="BW103" i="15"/>
  <c r="BW13" i="18"/>
  <c r="BX68" i="15"/>
  <c r="BX102" i="15"/>
  <c r="BZ74" i="15"/>
  <c r="BZ80" i="15"/>
  <c r="BZ76" i="15"/>
  <c r="BZ82" i="15"/>
  <c r="BZ75" i="15"/>
  <c r="BZ81" i="15"/>
  <c r="BZ87" i="15"/>
  <c r="BZ73" i="15"/>
  <c r="BZ79" i="15"/>
  <c r="BY24" i="16"/>
  <c r="CC38" i="15"/>
  <c r="CB14" i="16"/>
  <c r="BS55" i="18"/>
  <c r="BS141" i="15"/>
  <c r="BS142" i="15"/>
  <c r="BY85" i="15"/>
  <c r="BX100" i="15"/>
  <c r="BY94" i="15"/>
  <c r="BY108" i="15"/>
  <c r="BX109" i="15"/>
  <c r="CJ63" i="18"/>
  <c r="CD7" i="18"/>
  <c r="CD6" i="18"/>
  <c r="BY136" i="16"/>
  <c r="CB6" i="17"/>
  <c r="CB7" i="17"/>
  <c r="CB18" i="17"/>
  <c r="CB19" i="17"/>
  <c r="BZ65" i="16"/>
  <c r="BZ102" i="16"/>
  <c r="BZ38" i="16"/>
  <c r="CA35" i="16"/>
  <c r="BZ32" i="16"/>
  <c r="CA29" i="16"/>
  <c r="CA36" i="16"/>
  <c r="CA124" i="16"/>
  <c r="CA30" i="16"/>
  <c r="CA118" i="16"/>
  <c r="CA31" i="16"/>
  <c r="CA119" i="16"/>
  <c r="CA24" i="18"/>
  <c r="CA37" i="16"/>
  <c r="CA125" i="16"/>
  <c r="CA99" i="18"/>
  <c r="CB7" i="16"/>
  <c r="CB6" i="16"/>
  <c r="CA17" i="15"/>
  <c r="CA18" i="15"/>
  <c r="CA21" i="15"/>
  <c r="CA22" i="15"/>
  <c r="CA12" i="15"/>
  <c r="CA13" i="15"/>
  <c r="CA36" i="15"/>
  <c r="CA11" i="16"/>
  <c r="CA37" i="15"/>
  <c r="CA12" i="16"/>
  <c r="CB7" i="15"/>
  <c r="CB6" i="15"/>
  <c r="CA46" i="15"/>
  <c r="CA47" i="15"/>
  <c r="CA45" i="15"/>
  <c r="CA52" i="15"/>
  <c r="CA59" i="15"/>
  <c r="CA44" i="15"/>
  <c r="CA51" i="15"/>
  <c r="CA58" i="15"/>
  <c r="CB33" i="15"/>
  <c r="CB34" i="15"/>
  <c r="CB29" i="15"/>
  <c r="CB30" i="15"/>
  <c r="CB25" i="15"/>
  <c r="CB26" i="15"/>
  <c r="BU22" i="18"/>
  <c r="BT141" i="15"/>
  <c r="BT142" i="15"/>
  <c r="BT74" i="18"/>
  <c r="BU138" i="15"/>
  <c r="BU141" i="15"/>
  <c r="BU142" i="15"/>
  <c r="BS74" i="18"/>
  <c r="BY75" i="18"/>
  <c r="BY19" i="18"/>
  <c r="BV18" i="18"/>
  <c r="BV20" i="18"/>
  <c r="BT138" i="16"/>
  <c r="BU135" i="16"/>
  <c r="BZ95" i="16"/>
  <c r="BW12" i="18"/>
  <c r="AY117" i="16"/>
  <c r="AY120" i="16"/>
  <c r="AX48" i="18"/>
  <c r="BV12" i="18"/>
  <c r="BV15" i="18"/>
  <c r="BV137" i="15"/>
  <c r="BV140" i="15"/>
  <c r="BZ109" i="16"/>
  <c r="CA126" i="16"/>
  <c r="CB123" i="16"/>
  <c r="BZ44" i="16"/>
  <c r="BZ51" i="16"/>
  <c r="BU44" i="18"/>
  <c r="BZ24" i="16"/>
  <c r="BX114" i="15"/>
  <c r="CA22" i="16"/>
  <c r="CA65" i="16"/>
  <c r="CA21" i="16"/>
  <c r="CA95" i="16"/>
  <c r="CA20" i="16"/>
  <c r="CA51" i="16"/>
  <c r="CA19" i="16"/>
  <c r="CA81" i="16"/>
  <c r="CA23" i="16"/>
  <c r="CA109" i="16"/>
  <c r="BU73" i="18"/>
  <c r="BY130" i="16"/>
  <c r="BX116" i="15"/>
  <c r="BY68" i="15"/>
  <c r="BY102" i="15"/>
  <c r="BY95" i="15"/>
  <c r="BY109" i="15"/>
  <c r="BW108" i="15"/>
  <c r="BW115" i="15"/>
  <c r="BW117" i="15"/>
  <c r="BW72" i="18"/>
  <c r="BW124" i="15"/>
  <c r="BX115" i="15"/>
  <c r="BY67" i="15"/>
  <c r="BY101" i="15"/>
  <c r="BY115" i="15"/>
  <c r="BV113" i="15"/>
  <c r="BV117" i="15"/>
  <c r="BV72" i="18"/>
  <c r="BZ86" i="15"/>
  <c r="BZ48" i="15"/>
  <c r="BY92" i="15"/>
  <c r="BY55" i="15"/>
  <c r="BY93" i="15"/>
  <c r="BZ85" i="15"/>
  <c r="BZ93" i="15"/>
  <c r="CA54" i="15"/>
  <c r="CA61" i="15"/>
  <c r="BX62" i="15"/>
  <c r="BX122" i="15"/>
  <c r="BX92" i="15"/>
  <c r="BZ68" i="15"/>
  <c r="BZ131" i="15"/>
  <c r="CA74" i="15"/>
  <c r="CA80" i="15"/>
  <c r="CA76" i="15"/>
  <c r="CA82" i="15"/>
  <c r="CA73" i="15"/>
  <c r="CA79" i="15"/>
  <c r="CA75" i="15"/>
  <c r="CA81" i="15"/>
  <c r="CD38" i="15"/>
  <c r="CC14" i="16"/>
  <c r="BZ88" i="15"/>
  <c r="BY66" i="15"/>
  <c r="BY100" i="15"/>
  <c r="BX65" i="15"/>
  <c r="BV138" i="15"/>
  <c r="BV73" i="18"/>
  <c r="BZ94" i="15"/>
  <c r="BZ67" i="15"/>
  <c r="BZ101" i="15"/>
  <c r="CA128" i="15"/>
  <c r="CA130" i="15"/>
  <c r="CA127" i="15"/>
  <c r="CA129" i="15"/>
  <c r="CK63" i="18"/>
  <c r="CE7" i="18"/>
  <c r="CE6" i="18"/>
  <c r="CC7" i="17"/>
  <c r="CC18" i="17"/>
  <c r="CC19" i="17"/>
  <c r="CC6" i="17"/>
  <c r="CA32" i="16"/>
  <c r="CB29" i="16"/>
  <c r="CA38" i="16"/>
  <c r="CB35" i="16"/>
  <c r="CB36" i="16"/>
  <c r="CB124" i="16"/>
  <c r="CB30" i="16"/>
  <c r="CB118" i="16"/>
  <c r="CB31" i="16"/>
  <c r="CB119" i="16"/>
  <c r="CB24" i="18"/>
  <c r="CB37" i="16"/>
  <c r="CB125" i="16"/>
  <c r="CB99" i="18"/>
  <c r="CC6" i="16"/>
  <c r="CC7" i="16"/>
  <c r="CB12" i="15"/>
  <c r="CB13" i="15"/>
  <c r="CB36" i="15"/>
  <c r="CB11" i="16"/>
  <c r="CB37" i="15"/>
  <c r="CB12" i="16"/>
  <c r="CB15" i="15"/>
  <c r="CB22" i="16"/>
  <c r="CB17" i="15"/>
  <c r="CB18" i="15"/>
  <c r="CB21" i="15"/>
  <c r="CB22" i="15"/>
  <c r="CB44" i="15"/>
  <c r="CC6" i="15"/>
  <c r="CC7" i="15"/>
  <c r="CB46" i="15"/>
  <c r="CB47" i="15"/>
  <c r="CB45" i="15"/>
  <c r="CB52" i="15"/>
  <c r="CB59" i="15"/>
  <c r="CC29" i="15"/>
  <c r="CC30" i="15"/>
  <c r="CC33" i="15"/>
  <c r="CC34" i="15"/>
  <c r="CC25" i="15"/>
  <c r="CC26" i="15"/>
  <c r="BU55" i="18"/>
  <c r="BW110" i="15"/>
  <c r="BW14" i="18"/>
  <c r="BW15" i="18"/>
  <c r="BZ136" i="16"/>
  <c r="BV22" i="18"/>
  <c r="BW133" i="15"/>
  <c r="BW73" i="18"/>
  <c r="BW18" i="18"/>
  <c r="BW20" i="18"/>
  <c r="BZ75" i="18"/>
  <c r="BZ19" i="18"/>
  <c r="BU74" i="18"/>
  <c r="BU138" i="16"/>
  <c r="BV135" i="16"/>
  <c r="AZ117" i="16"/>
  <c r="AZ120" i="16"/>
  <c r="AY48" i="18"/>
  <c r="CA72" i="16"/>
  <c r="CA102" i="16"/>
  <c r="CA58" i="16"/>
  <c r="CB126" i="16"/>
  <c r="CC123" i="16"/>
  <c r="BZ130" i="16"/>
  <c r="CA88" i="16"/>
  <c r="CA24" i="16"/>
  <c r="CA44" i="16"/>
  <c r="BY116" i="15"/>
  <c r="CA53" i="15"/>
  <c r="CA60" i="15"/>
  <c r="BV44" i="18"/>
  <c r="BZ66" i="15"/>
  <c r="BZ100" i="15"/>
  <c r="BY65" i="15"/>
  <c r="BY99" i="15"/>
  <c r="BY103" i="15"/>
  <c r="BY13" i="18"/>
  <c r="BZ95" i="15"/>
  <c r="BZ109" i="15"/>
  <c r="BZ102" i="15"/>
  <c r="BZ107" i="15"/>
  <c r="CB19" i="16"/>
  <c r="CB81" i="16"/>
  <c r="CB53" i="15"/>
  <c r="CB60" i="15"/>
  <c r="CB51" i="15"/>
  <c r="CB58" i="15"/>
  <c r="CB54" i="15"/>
  <c r="CB61" i="15"/>
  <c r="CB23" i="16"/>
  <c r="CB109" i="16"/>
  <c r="BX69" i="15"/>
  <c r="BX123" i="15"/>
  <c r="BX124" i="15"/>
  <c r="BX99" i="15"/>
  <c r="BX103" i="15"/>
  <c r="BX13" i="18"/>
  <c r="CA87" i="15"/>
  <c r="CA66" i="15"/>
  <c r="BY107" i="15"/>
  <c r="BY114" i="15"/>
  <c r="CB73" i="15"/>
  <c r="CB79" i="15"/>
  <c r="CB75" i="15"/>
  <c r="CB81" i="15"/>
  <c r="CB74" i="15"/>
  <c r="CB80" i="15"/>
  <c r="CB76" i="15"/>
  <c r="CB82" i="15"/>
  <c r="CB88" i="15"/>
  <c r="CA131" i="15"/>
  <c r="BZ108" i="15"/>
  <c r="BZ115" i="15"/>
  <c r="CA85" i="15"/>
  <c r="BX106" i="15"/>
  <c r="BX110" i="15"/>
  <c r="BX14" i="18"/>
  <c r="BX96" i="15"/>
  <c r="CA95" i="15"/>
  <c r="BY106" i="15"/>
  <c r="BY96" i="15"/>
  <c r="BY62" i="15"/>
  <c r="BY122" i="15"/>
  <c r="CB127" i="15"/>
  <c r="CB129" i="15"/>
  <c r="CB130" i="15"/>
  <c r="CB128" i="15"/>
  <c r="CB21" i="16"/>
  <c r="CB58" i="16"/>
  <c r="CB20" i="16"/>
  <c r="CB88" i="16"/>
  <c r="CA88" i="15"/>
  <c r="BV141" i="15"/>
  <c r="BV142" i="15"/>
  <c r="BV55" i="18"/>
  <c r="CE38" i="15"/>
  <c r="CD14" i="16"/>
  <c r="CA93" i="15"/>
  <c r="CA86" i="15"/>
  <c r="CA48" i="15"/>
  <c r="BZ55" i="15"/>
  <c r="BZ65" i="15"/>
  <c r="CL63" i="18"/>
  <c r="CF7" i="18"/>
  <c r="CF6" i="18"/>
  <c r="CD6" i="17"/>
  <c r="CD7" i="17"/>
  <c r="CD18" i="17"/>
  <c r="CD19" i="17"/>
  <c r="CB65" i="16"/>
  <c r="CB102" i="16"/>
  <c r="CB32" i="16"/>
  <c r="CC29" i="16"/>
  <c r="CB38" i="16"/>
  <c r="CC35" i="16"/>
  <c r="CC30" i="16"/>
  <c r="CC118" i="16"/>
  <c r="CC31" i="16"/>
  <c r="CC119" i="16"/>
  <c r="CC24" i="18"/>
  <c r="CC37" i="16"/>
  <c r="CC125" i="16"/>
  <c r="CC99" i="18"/>
  <c r="CC36" i="16"/>
  <c r="CC124" i="16"/>
  <c r="CD7" i="16"/>
  <c r="CD6" i="16"/>
  <c r="CC17" i="15"/>
  <c r="CC18" i="15"/>
  <c r="CC21" i="15"/>
  <c r="CC22" i="15"/>
  <c r="CC15" i="15"/>
  <c r="CC23" i="16"/>
  <c r="CC12" i="15"/>
  <c r="CC13" i="15"/>
  <c r="CC36" i="15"/>
  <c r="CC11" i="16"/>
  <c r="CC37" i="15"/>
  <c r="CC12" i="16"/>
  <c r="CD7" i="15"/>
  <c r="CD6" i="15"/>
  <c r="CC46" i="15"/>
  <c r="CC47" i="15"/>
  <c r="CC45" i="15"/>
  <c r="CC52" i="15"/>
  <c r="CC59" i="15"/>
  <c r="CC44" i="15"/>
  <c r="CC51" i="15"/>
  <c r="CC58" i="15"/>
  <c r="CD25" i="15"/>
  <c r="CD33" i="15"/>
  <c r="CD34" i="15"/>
  <c r="CD29" i="15"/>
  <c r="CD30" i="15"/>
  <c r="BW137" i="15"/>
  <c r="BW44" i="18"/>
  <c r="CD26" i="15"/>
  <c r="BW22" i="18"/>
  <c r="CA136" i="16"/>
  <c r="BV74" i="18"/>
  <c r="BX18" i="18"/>
  <c r="BX20" i="18"/>
  <c r="CA19" i="18"/>
  <c r="BW138" i="15"/>
  <c r="CA75" i="18"/>
  <c r="BV138" i="16"/>
  <c r="BW135" i="16"/>
  <c r="BY12" i="18"/>
  <c r="CA130" i="16"/>
  <c r="BX12" i="18"/>
  <c r="BX15" i="18"/>
  <c r="BX137" i="15"/>
  <c r="BY69" i="15"/>
  <c r="BY123" i="15"/>
  <c r="BY124" i="15"/>
  <c r="BA117" i="16"/>
  <c r="BA120" i="16"/>
  <c r="AZ48" i="18"/>
  <c r="CB72" i="16"/>
  <c r="CB95" i="16"/>
  <c r="CB136" i="16"/>
  <c r="CC126" i="16"/>
  <c r="CD123" i="16"/>
  <c r="BZ114" i="15"/>
  <c r="BZ116" i="15"/>
  <c r="BY110" i="15"/>
  <c r="BY14" i="18"/>
  <c r="CB51" i="16"/>
  <c r="CA67" i="15"/>
  <c r="CA101" i="15"/>
  <c r="CA94" i="15"/>
  <c r="CA108" i="15"/>
  <c r="CB24" i="16"/>
  <c r="CB44" i="16"/>
  <c r="BY113" i="15"/>
  <c r="BY117" i="15"/>
  <c r="BY72" i="18"/>
  <c r="CA68" i="15"/>
  <c r="CA102" i="15"/>
  <c r="BX133" i="15"/>
  <c r="BX113" i="15"/>
  <c r="BX117" i="15"/>
  <c r="BX72" i="18"/>
  <c r="CA100" i="15"/>
  <c r="BZ69" i="15"/>
  <c r="BZ123" i="15"/>
  <c r="BZ99" i="15"/>
  <c r="BZ103" i="15"/>
  <c r="BZ13" i="18"/>
  <c r="CA65" i="15"/>
  <c r="CA55" i="15"/>
  <c r="CA109" i="15"/>
  <c r="CB85" i="15"/>
  <c r="CB67" i="15"/>
  <c r="CC127" i="15"/>
  <c r="CC129" i="15"/>
  <c r="CC130" i="15"/>
  <c r="CC128" i="15"/>
  <c r="CC20" i="16"/>
  <c r="CC51" i="16"/>
  <c r="BZ62" i="15"/>
  <c r="BZ122" i="15"/>
  <c r="BZ92" i="15"/>
  <c r="CF38" i="15"/>
  <c r="CE14" i="16"/>
  <c r="CB66" i="15"/>
  <c r="CC54" i="15"/>
  <c r="CC61" i="15"/>
  <c r="CC53" i="15"/>
  <c r="CC60" i="15"/>
  <c r="CC22" i="16"/>
  <c r="CC102" i="16"/>
  <c r="CC19" i="16"/>
  <c r="CC81" i="16"/>
  <c r="CB86" i="15"/>
  <c r="CB93" i="15"/>
  <c r="CB95" i="15"/>
  <c r="CB109" i="15"/>
  <c r="CC73" i="15"/>
  <c r="CC79" i="15"/>
  <c r="CC75" i="15"/>
  <c r="CC81" i="15"/>
  <c r="CC76" i="15"/>
  <c r="CC82" i="15"/>
  <c r="CC74" i="15"/>
  <c r="CC80" i="15"/>
  <c r="CC21" i="16"/>
  <c r="CC95" i="16"/>
  <c r="CA107" i="15"/>
  <c r="CB131" i="15"/>
  <c r="CB87" i="15"/>
  <c r="CB48" i="15"/>
  <c r="CM63" i="18"/>
  <c r="CG7" i="18"/>
  <c r="CG6" i="18"/>
  <c r="CE7" i="17"/>
  <c r="CE18" i="17"/>
  <c r="CE19" i="17"/>
  <c r="CE6" i="17"/>
  <c r="CC72" i="16"/>
  <c r="CC109" i="16"/>
  <c r="CC32" i="16"/>
  <c r="CD29" i="16"/>
  <c r="CC38" i="16"/>
  <c r="CD35" i="16"/>
  <c r="CD30" i="16"/>
  <c r="CD118" i="16"/>
  <c r="CD31" i="16"/>
  <c r="CD119" i="16"/>
  <c r="CD24" i="18"/>
  <c r="CD37" i="16"/>
  <c r="CD125" i="16"/>
  <c r="CD99" i="18"/>
  <c r="CD36" i="16"/>
  <c r="CD124" i="16"/>
  <c r="CE7" i="16"/>
  <c r="CE6" i="16"/>
  <c r="CD13" i="15"/>
  <c r="CD12" i="15"/>
  <c r="CD36" i="15"/>
  <c r="CD11" i="16"/>
  <c r="CD37" i="15"/>
  <c r="CD12" i="16"/>
  <c r="CD17" i="15"/>
  <c r="CD18" i="15"/>
  <c r="CD21" i="15"/>
  <c r="CD22" i="15"/>
  <c r="CD15" i="15"/>
  <c r="CD21" i="16"/>
  <c r="CE6" i="15"/>
  <c r="CE7" i="15"/>
  <c r="CD46" i="15"/>
  <c r="CD45" i="15"/>
  <c r="CD44" i="15"/>
  <c r="CD47" i="15"/>
  <c r="CD54" i="15"/>
  <c r="CD61" i="15"/>
  <c r="CE29" i="15"/>
  <c r="CE30" i="15"/>
  <c r="CE25" i="15"/>
  <c r="CE33" i="15"/>
  <c r="CE34" i="15"/>
  <c r="BX140" i="15"/>
  <c r="BW140" i="15"/>
  <c r="CE26" i="15"/>
  <c r="BX22" i="18"/>
  <c r="BY15" i="18"/>
  <c r="BY133" i="15"/>
  <c r="BY138" i="15"/>
  <c r="BY18" i="18"/>
  <c r="BY20" i="18"/>
  <c r="BX138" i="15"/>
  <c r="BX141" i="15"/>
  <c r="BX142" i="15"/>
  <c r="CB75" i="18"/>
  <c r="BW55" i="18"/>
  <c r="BW141" i="15"/>
  <c r="CB19" i="18"/>
  <c r="BW138" i="16"/>
  <c r="BX135" i="16"/>
  <c r="BY137" i="15"/>
  <c r="BY44" i="18"/>
  <c r="BA48" i="18"/>
  <c r="BB117" i="16"/>
  <c r="BB120" i="16"/>
  <c r="CD126" i="16"/>
  <c r="CE123" i="16"/>
  <c r="CB130" i="16"/>
  <c r="BX73" i="18"/>
  <c r="CC44" i="16"/>
  <c r="CA115" i="15"/>
  <c r="BZ124" i="15"/>
  <c r="CC58" i="16"/>
  <c r="CB94" i="15"/>
  <c r="CB108" i="15"/>
  <c r="BX44" i="18"/>
  <c r="CC65" i="16"/>
  <c r="CA114" i="15"/>
  <c r="CC24" i="16"/>
  <c r="CC88" i="16"/>
  <c r="CC136" i="16"/>
  <c r="CA116" i="15"/>
  <c r="CA69" i="15"/>
  <c r="CA123" i="15"/>
  <c r="CA99" i="15"/>
  <c r="CA103" i="15"/>
  <c r="CA13" i="18"/>
  <c r="CC85" i="15"/>
  <c r="CC67" i="15"/>
  <c r="CG38" i="15"/>
  <c r="CF14" i="16"/>
  <c r="CD128" i="15"/>
  <c r="CD130" i="15"/>
  <c r="CD129" i="15"/>
  <c r="CD127" i="15"/>
  <c r="CD20" i="16"/>
  <c r="CD88" i="16"/>
  <c r="CC86" i="15"/>
  <c r="CB68" i="15"/>
  <c r="CB102" i="15"/>
  <c r="CB116" i="15"/>
  <c r="CB107" i="15"/>
  <c r="CC68" i="15"/>
  <c r="CD51" i="15"/>
  <c r="CD58" i="15"/>
  <c r="CD53" i="15"/>
  <c r="CD60" i="15"/>
  <c r="CD52" i="15"/>
  <c r="CD59" i="15"/>
  <c r="CD23" i="16"/>
  <c r="CD72" i="16"/>
  <c r="CD19" i="16"/>
  <c r="CD81" i="16"/>
  <c r="CC88" i="15"/>
  <c r="CB100" i="15"/>
  <c r="CC93" i="15"/>
  <c r="CA62" i="15"/>
  <c r="CA122" i="15"/>
  <c r="CA92" i="15"/>
  <c r="CD74" i="15"/>
  <c r="CD80" i="15"/>
  <c r="CD76" i="15"/>
  <c r="CD82" i="15"/>
  <c r="CD73" i="15"/>
  <c r="CD79" i="15"/>
  <c r="CD75" i="15"/>
  <c r="CD81" i="15"/>
  <c r="CD87" i="15"/>
  <c r="CD22" i="16"/>
  <c r="CD102" i="16"/>
  <c r="CB65" i="15"/>
  <c r="CB55" i="15"/>
  <c r="CB101" i="15"/>
  <c r="CC87" i="15"/>
  <c r="CC48" i="15"/>
  <c r="BZ106" i="15"/>
  <c r="BZ110" i="15"/>
  <c r="BZ14" i="18"/>
  <c r="BZ96" i="15"/>
  <c r="CC131" i="15"/>
  <c r="CN63" i="18"/>
  <c r="CH7" i="18"/>
  <c r="CH6" i="18"/>
  <c r="CF6" i="17"/>
  <c r="CF7" i="17"/>
  <c r="CF18" i="17"/>
  <c r="CF19" i="17"/>
  <c r="CD32" i="16"/>
  <c r="CE29" i="16"/>
  <c r="CD58" i="16"/>
  <c r="CD95" i="16"/>
  <c r="CD38" i="16"/>
  <c r="CE35" i="16"/>
  <c r="CE36" i="16"/>
  <c r="CE124" i="16"/>
  <c r="CE37" i="16"/>
  <c r="CE125" i="16"/>
  <c r="CE99" i="18"/>
  <c r="CE31" i="16"/>
  <c r="CE119" i="16"/>
  <c r="CE24" i="18"/>
  <c r="CE30" i="16"/>
  <c r="CE118" i="16"/>
  <c r="CF7" i="16"/>
  <c r="CF6" i="16"/>
  <c r="CE12" i="15"/>
  <c r="CE13" i="15"/>
  <c r="CE36" i="15"/>
  <c r="CE11" i="16"/>
  <c r="CE37" i="15"/>
  <c r="CE12" i="16"/>
  <c r="CE17" i="15"/>
  <c r="CE18" i="15"/>
  <c r="CE21" i="15"/>
  <c r="CE22" i="15"/>
  <c r="CE15" i="15"/>
  <c r="CE21" i="16"/>
  <c r="CF6" i="15"/>
  <c r="CF7" i="15"/>
  <c r="CE44" i="15"/>
  <c r="CE47" i="15"/>
  <c r="CE46" i="15"/>
  <c r="CE45" i="15"/>
  <c r="CE52" i="15"/>
  <c r="CE59" i="15"/>
  <c r="CF33" i="15"/>
  <c r="CF34" i="15"/>
  <c r="CF29" i="15"/>
  <c r="CF30" i="15"/>
  <c r="CF25" i="15"/>
  <c r="CF26" i="15"/>
  <c r="BW142" i="15"/>
  <c r="BW74" i="18"/>
  <c r="BY22" i="18"/>
  <c r="CA124" i="15"/>
  <c r="CA133" i="15"/>
  <c r="BY73" i="18"/>
  <c r="BX55" i="18"/>
  <c r="BX74" i="18"/>
  <c r="BZ133" i="15"/>
  <c r="BZ73" i="18"/>
  <c r="BZ18" i="18"/>
  <c r="BZ20" i="18"/>
  <c r="CC19" i="18"/>
  <c r="CC75" i="18"/>
  <c r="BX138" i="16"/>
  <c r="BY135" i="16"/>
  <c r="BZ12" i="18"/>
  <c r="BZ15" i="18"/>
  <c r="BZ137" i="15"/>
  <c r="BY140" i="15"/>
  <c r="BC117" i="16"/>
  <c r="BC120" i="16"/>
  <c r="BB48" i="18"/>
  <c r="CD109" i="16"/>
  <c r="CD136" i="16"/>
  <c r="CE126" i="16"/>
  <c r="CF123" i="16"/>
  <c r="CD44" i="16"/>
  <c r="CC130" i="16"/>
  <c r="CB114" i="15"/>
  <c r="CD65" i="16"/>
  <c r="CC102" i="15"/>
  <c r="CD24" i="16"/>
  <c r="CC94" i="15"/>
  <c r="CC108" i="15"/>
  <c r="CD51" i="16"/>
  <c r="CD131" i="15"/>
  <c r="BZ113" i="15"/>
  <c r="BZ117" i="15"/>
  <c r="BZ72" i="18"/>
  <c r="CB115" i="15"/>
  <c r="CC95" i="15"/>
  <c r="CC109" i="15"/>
  <c r="BZ44" i="18"/>
  <c r="CB69" i="15"/>
  <c r="CB123" i="15"/>
  <c r="CB99" i="15"/>
  <c r="CB103" i="15"/>
  <c r="CB13" i="18"/>
  <c r="CC107" i="15"/>
  <c r="CE74" i="15"/>
  <c r="CE80" i="15"/>
  <c r="CE76" i="15"/>
  <c r="CE82" i="15"/>
  <c r="CE75" i="15"/>
  <c r="CE81" i="15"/>
  <c r="CE73" i="15"/>
  <c r="CE79" i="15"/>
  <c r="CE23" i="16"/>
  <c r="CE72" i="16"/>
  <c r="CE20" i="16"/>
  <c r="CE51" i="16"/>
  <c r="CC101" i="15"/>
  <c r="CD88" i="15"/>
  <c r="CD48" i="15"/>
  <c r="CE22" i="16"/>
  <c r="CE65" i="16"/>
  <c r="CE19" i="16"/>
  <c r="CE81" i="16"/>
  <c r="BY55" i="18"/>
  <c r="BY141" i="15"/>
  <c r="CD86" i="15"/>
  <c r="CC66" i="15"/>
  <c r="CC100" i="15"/>
  <c r="CD95" i="15"/>
  <c r="CE51" i="15"/>
  <c r="CE58" i="15"/>
  <c r="CE54" i="15"/>
  <c r="CE61" i="15"/>
  <c r="CC55" i="15"/>
  <c r="CC65" i="15"/>
  <c r="CA106" i="15"/>
  <c r="CA110" i="15"/>
  <c r="CA14" i="18"/>
  <c r="CA96" i="15"/>
  <c r="CD93" i="15"/>
  <c r="CE128" i="15"/>
  <c r="CE130" i="15"/>
  <c r="CE129" i="15"/>
  <c r="CE127" i="15"/>
  <c r="CB62" i="15"/>
  <c r="CB122" i="15"/>
  <c r="CB92" i="15"/>
  <c r="CD85" i="15"/>
  <c r="CD94" i="15"/>
  <c r="CD108" i="15"/>
  <c r="CD67" i="15"/>
  <c r="CD101" i="15"/>
  <c r="CH38" i="15"/>
  <c r="CG14" i="16"/>
  <c r="CI7" i="18"/>
  <c r="CI6" i="18"/>
  <c r="CG7" i="17"/>
  <c r="CG18" i="17"/>
  <c r="CG19" i="17"/>
  <c r="CG6" i="17"/>
  <c r="CE32" i="16"/>
  <c r="CF29" i="16"/>
  <c r="CE58" i="16"/>
  <c r="CE95" i="16"/>
  <c r="CE38" i="16"/>
  <c r="CF35" i="16"/>
  <c r="CF36" i="16"/>
  <c r="CF124" i="16"/>
  <c r="CF30" i="16"/>
  <c r="CF118" i="16"/>
  <c r="CF31" i="16"/>
  <c r="CF119" i="16"/>
  <c r="CF24" i="18"/>
  <c r="CF37" i="16"/>
  <c r="CF125" i="16"/>
  <c r="CF99" i="18"/>
  <c r="CG6" i="16"/>
  <c r="CG7" i="16"/>
  <c r="CF15" i="15"/>
  <c r="CF12" i="15"/>
  <c r="CF13" i="15"/>
  <c r="CF36" i="15"/>
  <c r="CF11" i="16"/>
  <c r="CF37" i="15"/>
  <c r="CF12" i="16"/>
  <c r="CF17" i="15"/>
  <c r="CF18" i="15"/>
  <c r="CF21" i="15"/>
  <c r="CF22" i="15"/>
  <c r="CG6" i="15"/>
  <c r="CG7" i="15"/>
  <c r="CF45" i="15"/>
  <c r="CF47" i="15"/>
  <c r="CG33" i="15"/>
  <c r="CG34" i="15"/>
  <c r="CG29" i="15"/>
  <c r="CG30" i="15"/>
  <c r="CG25" i="15"/>
  <c r="CG26" i="15"/>
  <c r="CF46" i="15"/>
  <c r="CF53" i="15"/>
  <c r="CF60" i="15"/>
  <c r="CF44" i="15"/>
  <c r="CA18" i="18"/>
  <c r="CA20" i="18"/>
  <c r="CB124" i="15"/>
  <c r="CB18" i="18"/>
  <c r="CB20" i="18"/>
  <c r="BY142" i="15"/>
  <c r="BY74" i="18"/>
  <c r="CC116" i="15"/>
  <c r="BZ138" i="15"/>
  <c r="BZ55" i="18"/>
  <c r="BZ22" i="18"/>
  <c r="CD75" i="18"/>
  <c r="CD19" i="18"/>
  <c r="BY138" i="16"/>
  <c r="BZ135" i="16"/>
  <c r="BD117" i="16"/>
  <c r="BD120" i="16"/>
  <c r="BC48" i="18"/>
  <c r="CA12" i="18"/>
  <c r="CA15" i="18"/>
  <c r="CA137" i="15"/>
  <c r="CA140" i="15"/>
  <c r="CF126" i="16"/>
  <c r="CG123" i="16"/>
  <c r="CD130" i="16"/>
  <c r="CE109" i="16"/>
  <c r="CE44" i="16"/>
  <c r="CE88" i="16"/>
  <c r="CC114" i="15"/>
  <c r="CD115" i="15"/>
  <c r="CC115" i="15"/>
  <c r="CE24" i="16"/>
  <c r="CE53" i="15"/>
  <c r="CE102" i="16"/>
  <c r="BZ140" i="15"/>
  <c r="CD66" i="15"/>
  <c r="CD100" i="15"/>
  <c r="CC69" i="15"/>
  <c r="CC123" i="15"/>
  <c r="CA113" i="15"/>
  <c r="CA117" i="15"/>
  <c r="CA72" i="18"/>
  <c r="CD109" i="15"/>
  <c r="CD107" i="15"/>
  <c r="CF127" i="15"/>
  <c r="CF129" i="15"/>
  <c r="CF128" i="15"/>
  <c r="CF130" i="15"/>
  <c r="CF21" i="16"/>
  <c r="CF95" i="16"/>
  <c r="CF20" i="16"/>
  <c r="CF51" i="16"/>
  <c r="CF52" i="15"/>
  <c r="CF59" i="15"/>
  <c r="CF51" i="15"/>
  <c r="CF58" i="15"/>
  <c r="CF54" i="15"/>
  <c r="CF61" i="15"/>
  <c r="CE48" i="15"/>
  <c r="CE92" i="15"/>
  <c r="CE85" i="15"/>
  <c r="CF19" i="16"/>
  <c r="CF81" i="16"/>
  <c r="CF23" i="16"/>
  <c r="CF109" i="16"/>
  <c r="CI38" i="15"/>
  <c r="CH14" i="16"/>
  <c r="CE68" i="15"/>
  <c r="CE87" i="15"/>
  <c r="CF22" i="16"/>
  <c r="CF102" i="16"/>
  <c r="CB106" i="15"/>
  <c r="CB110" i="15"/>
  <c r="CB14" i="18"/>
  <c r="CB96" i="15"/>
  <c r="CC62" i="15"/>
  <c r="CC122" i="15"/>
  <c r="CC92" i="15"/>
  <c r="CE66" i="15"/>
  <c r="CC99" i="15"/>
  <c r="CC103" i="15"/>
  <c r="CC13" i="18"/>
  <c r="CE88" i="15"/>
  <c r="CF73" i="15"/>
  <c r="CF79" i="15"/>
  <c r="CF75" i="15"/>
  <c r="CF81" i="15"/>
  <c r="CF76" i="15"/>
  <c r="CF82" i="15"/>
  <c r="CF88" i="15"/>
  <c r="CF74" i="15"/>
  <c r="CF80" i="15"/>
  <c r="CA138" i="15"/>
  <c r="CA73" i="18"/>
  <c r="CE131" i="15"/>
  <c r="CD68" i="15"/>
  <c r="CD102" i="15"/>
  <c r="CD55" i="15"/>
  <c r="CE86" i="15"/>
  <c r="CJ7" i="18"/>
  <c r="CJ6" i="18"/>
  <c r="CH7" i="17"/>
  <c r="CH18" i="17"/>
  <c r="CH19" i="17"/>
  <c r="CH6" i="17"/>
  <c r="CF38" i="16"/>
  <c r="CG35" i="16"/>
  <c r="CF32" i="16"/>
  <c r="CG29" i="16"/>
  <c r="CG30" i="16"/>
  <c r="CG118" i="16"/>
  <c r="CG31" i="16"/>
  <c r="CG119" i="16"/>
  <c r="CG24" i="18"/>
  <c r="CG36" i="16"/>
  <c r="CG124" i="16"/>
  <c r="CG37" i="16"/>
  <c r="CG125" i="16"/>
  <c r="CG99" i="18"/>
  <c r="CH7" i="16"/>
  <c r="CH6" i="16"/>
  <c r="CG12" i="15"/>
  <c r="CG13" i="15"/>
  <c r="CG36" i="15"/>
  <c r="CG11" i="16"/>
  <c r="CG37" i="15"/>
  <c r="CG12" i="16"/>
  <c r="CG17" i="15"/>
  <c r="CG18" i="15"/>
  <c r="CG21" i="15"/>
  <c r="CG22" i="15"/>
  <c r="CG15" i="15"/>
  <c r="CH7" i="15"/>
  <c r="CH6" i="15"/>
  <c r="CE60" i="15"/>
  <c r="CE94" i="15"/>
  <c r="CE108" i="15"/>
  <c r="CG44" i="15"/>
  <c r="CG45" i="15"/>
  <c r="CG52" i="15"/>
  <c r="CG59" i="15"/>
  <c r="CG46" i="15"/>
  <c r="CG53" i="15"/>
  <c r="CG60" i="15"/>
  <c r="CH25" i="15"/>
  <c r="CH26" i="15"/>
  <c r="CH33" i="15"/>
  <c r="CH34" i="15"/>
  <c r="CH29" i="15"/>
  <c r="CG47" i="15"/>
  <c r="CA22" i="18"/>
  <c r="CB133" i="15"/>
  <c r="CB73" i="18"/>
  <c r="CH30" i="15"/>
  <c r="CE55" i="15"/>
  <c r="BZ141" i="15"/>
  <c r="BZ142" i="15"/>
  <c r="CE19" i="18"/>
  <c r="CE75" i="18"/>
  <c r="BZ138" i="16"/>
  <c r="CA135" i="16"/>
  <c r="CB12" i="18"/>
  <c r="CB15" i="18"/>
  <c r="CB22" i="18"/>
  <c r="CB137" i="15"/>
  <c r="CB44" i="18"/>
  <c r="BE117" i="16"/>
  <c r="BE120" i="16"/>
  <c r="BD48" i="18"/>
  <c r="CF58" i="16"/>
  <c r="CE136" i="16"/>
  <c r="CF65" i="16"/>
  <c r="CE130" i="16"/>
  <c r="CF44" i="16"/>
  <c r="CG126" i="16"/>
  <c r="CH123" i="16"/>
  <c r="CF72" i="16"/>
  <c r="CD114" i="15"/>
  <c r="CC124" i="15"/>
  <c r="CE67" i="15"/>
  <c r="CE101" i="15"/>
  <c r="CF88" i="16"/>
  <c r="CF136" i="16"/>
  <c r="CD116" i="15"/>
  <c r="CF24" i="16"/>
  <c r="CA44" i="18"/>
  <c r="CE95" i="15"/>
  <c r="CE109" i="15"/>
  <c r="CB113" i="15"/>
  <c r="CB117" i="15"/>
  <c r="CB72" i="18"/>
  <c r="CE100" i="15"/>
  <c r="CE93" i="15"/>
  <c r="CE107" i="15"/>
  <c r="CE106" i="15"/>
  <c r="CG127" i="15"/>
  <c r="CG129" i="15"/>
  <c r="CG128" i="15"/>
  <c r="CG130" i="15"/>
  <c r="CA55" i="18"/>
  <c r="CA141" i="15"/>
  <c r="CA142" i="15"/>
  <c r="CF85" i="15"/>
  <c r="CF67" i="15"/>
  <c r="CG22" i="16"/>
  <c r="CG65" i="16"/>
  <c r="CG51" i="15"/>
  <c r="CG58" i="15"/>
  <c r="CG21" i="16"/>
  <c r="CF86" i="15"/>
  <c r="CE102" i="15"/>
  <c r="CF48" i="15"/>
  <c r="CF131" i="15"/>
  <c r="CG73" i="15"/>
  <c r="CG79" i="15"/>
  <c r="CG75" i="15"/>
  <c r="CG81" i="15"/>
  <c r="CG74" i="15"/>
  <c r="CG80" i="15"/>
  <c r="CG76" i="15"/>
  <c r="CG82" i="15"/>
  <c r="CG20" i="16"/>
  <c r="CG88" i="16"/>
  <c r="CJ38" i="15"/>
  <c r="CI14" i="16"/>
  <c r="CF93" i="15"/>
  <c r="CG23" i="16"/>
  <c r="CG72" i="16"/>
  <c r="CG19" i="16"/>
  <c r="CG81" i="16"/>
  <c r="CD65" i="15"/>
  <c r="CD62" i="15"/>
  <c r="CD122" i="15"/>
  <c r="CD92" i="15"/>
  <c r="CF87" i="15"/>
  <c r="CF94" i="15"/>
  <c r="CC106" i="15"/>
  <c r="CC96" i="15"/>
  <c r="CE65" i="15"/>
  <c r="CE62" i="15"/>
  <c r="CE122" i="15"/>
  <c r="CF95" i="15"/>
  <c r="CK7" i="18"/>
  <c r="CK6" i="18"/>
  <c r="CI7" i="17"/>
  <c r="CI18" i="17"/>
  <c r="CI19" i="17"/>
  <c r="CI6" i="17"/>
  <c r="CG32" i="16"/>
  <c r="CH29" i="16"/>
  <c r="CG38" i="16"/>
  <c r="CH35" i="16"/>
  <c r="CH30" i="16"/>
  <c r="CH118" i="16"/>
  <c r="CH31" i="16"/>
  <c r="CH119" i="16"/>
  <c r="CH24" i="18"/>
  <c r="CH37" i="16"/>
  <c r="CH36" i="16"/>
  <c r="CH124" i="16"/>
  <c r="CI7" i="16"/>
  <c r="CI6" i="16"/>
  <c r="CH15" i="15"/>
  <c r="CH21" i="16"/>
  <c r="CH17" i="15"/>
  <c r="CH18" i="15"/>
  <c r="CH21" i="15"/>
  <c r="CH22" i="15"/>
  <c r="CH13" i="15"/>
  <c r="CH12" i="15"/>
  <c r="CH36" i="15"/>
  <c r="CH11" i="16"/>
  <c r="CH37" i="15"/>
  <c r="CH12" i="16"/>
  <c r="CI7" i="15"/>
  <c r="CI6" i="15"/>
  <c r="CH44" i="15"/>
  <c r="CH45" i="15"/>
  <c r="CH47" i="15"/>
  <c r="CH54" i="15"/>
  <c r="CH61" i="15"/>
  <c r="CH46" i="15"/>
  <c r="CH53" i="15"/>
  <c r="CH60" i="15"/>
  <c r="CI29" i="15"/>
  <c r="CI30" i="15"/>
  <c r="CI25" i="15"/>
  <c r="CI26" i="15"/>
  <c r="CI33" i="15"/>
  <c r="CI34" i="15"/>
  <c r="CB138" i="15"/>
  <c r="CB55" i="18"/>
  <c r="CB140" i="15"/>
  <c r="CF75" i="18"/>
  <c r="CA74" i="18"/>
  <c r="CC133" i="15"/>
  <c r="CC73" i="18"/>
  <c r="CC18" i="18"/>
  <c r="CC20" i="18"/>
  <c r="CF19" i="18"/>
  <c r="BZ74" i="18"/>
  <c r="CA138" i="16"/>
  <c r="CB135" i="16"/>
  <c r="BE48" i="18"/>
  <c r="BF117" i="16"/>
  <c r="BF120" i="16"/>
  <c r="CC12" i="18"/>
  <c r="CG51" i="16"/>
  <c r="CF130" i="16"/>
  <c r="CH38" i="16"/>
  <c r="CI35" i="16"/>
  <c r="CH125" i="16"/>
  <c r="CG102" i="16"/>
  <c r="CG109" i="16"/>
  <c r="CE69" i="15"/>
  <c r="CE123" i="15"/>
  <c r="CE124" i="15"/>
  <c r="CE115" i="15"/>
  <c r="CG44" i="16"/>
  <c r="CE116" i="15"/>
  <c r="CG24" i="16"/>
  <c r="CG95" i="16"/>
  <c r="CG58" i="16"/>
  <c r="CG54" i="15"/>
  <c r="CG61" i="15"/>
  <c r="CF66" i="15"/>
  <c r="CF100" i="15"/>
  <c r="CE110" i="15"/>
  <c r="CE14" i="18"/>
  <c r="CE114" i="15"/>
  <c r="CE96" i="15"/>
  <c r="CF107" i="15"/>
  <c r="CH128" i="15"/>
  <c r="CH130" i="15"/>
  <c r="CH127" i="15"/>
  <c r="CH129" i="15"/>
  <c r="CH22" i="16"/>
  <c r="CH65" i="16"/>
  <c r="CF68" i="15"/>
  <c r="CF102" i="15"/>
  <c r="CF101" i="15"/>
  <c r="CG88" i="15"/>
  <c r="CG66" i="15"/>
  <c r="CF109" i="15"/>
  <c r="CD106" i="15"/>
  <c r="CD110" i="15"/>
  <c r="CD14" i="18"/>
  <c r="CD96" i="15"/>
  <c r="CG93" i="15"/>
  <c r="CG107" i="15"/>
  <c r="CG86" i="15"/>
  <c r="CG67" i="15"/>
  <c r="CH51" i="15"/>
  <c r="CH58" i="15"/>
  <c r="CH52" i="15"/>
  <c r="CH59" i="15"/>
  <c r="CH20" i="16"/>
  <c r="CH51" i="16"/>
  <c r="CC113" i="15"/>
  <c r="CC117" i="15"/>
  <c r="CC72" i="18"/>
  <c r="CC110" i="15"/>
  <c r="CC14" i="18"/>
  <c r="CK38" i="15"/>
  <c r="CJ14" i="16"/>
  <c r="CG87" i="15"/>
  <c r="CG48" i="15"/>
  <c r="CH74" i="15"/>
  <c r="CH80" i="15"/>
  <c r="CH76" i="15"/>
  <c r="CH82" i="15"/>
  <c r="CH75" i="15"/>
  <c r="CH81" i="15"/>
  <c r="CH87" i="15"/>
  <c r="CH73" i="15"/>
  <c r="CH79" i="15"/>
  <c r="CH23" i="16"/>
  <c r="CH72" i="16"/>
  <c r="CH19" i="16"/>
  <c r="CH81" i="16"/>
  <c r="CF108" i="15"/>
  <c r="CD69" i="15"/>
  <c r="CD123" i="15"/>
  <c r="CD124" i="15"/>
  <c r="CD99" i="15"/>
  <c r="CD103" i="15"/>
  <c r="CD13" i="18"/>
  <c r="CG85" i="15"/>
  <c r="CF65" i="15"/>
  <c r="CF55" i="15"/>
  <c r="CE99" i="15"/>
  <c r="CG131" i="15"/>
  <c r="CL7" i="18"/>
  <c r="CL6" i="18"/>
  <c r="CJ6" i="17"/>
  <c r="CJ7" i="17"/>
  <c r="CJ18" i="17"/>
  <c r="CJ19" i="17"/>
  <c r="CH58" i="16"/>
  <c r="CH95" i="16"/>
  <c r="CH32" i="16"/>
  <c r="CI29" i="16"/>
  <c r="CI36" i="16"/>
  <c r="CI124" i="16"/>
  <c r="CI30" i="16"/>
  <c r="CI118" i="16"/>
  <c r="CI31" i="16"/>
  <c r="CI119" i="16"/>
  <c r="CI24" i="18"/>
  <c r="CI37" i="16"/>
  <c r="CI125" i="16"/>
  <c r="CI99" i="18"/>
  <c r="CJ7" i="16"/>
  <c r="CJ6" i="16"/>
  <c r="CI17" i="15"/>
  <c r="CI18" i="15"/>
  <c r="CI21" i="15"/>
  <c r="CI22" i="15"/>
  <c r="CI12" i="15"/>
  <c r="CI13" i="15"/>
  <c r="CI36" i="15"/>
  <c r="CI11" i="16"/>
  <c r="CI37" i="15"/>
  <c r="CI12" i="16"/>
  <c r="CI15" i="15"/>
  <c r="CI19" i="16"/>
  <c r="CI81" i="16"/>
  <c r="CJ7" i="15"/>
  <c r="CJ6" i="15"/>
  <c r="CI47" i="15"/>
  <c r="CI45" i="15"/>
  <c r="CI46" i="15"/>
  <c r="CI44" i="15"/>
  <c r="CI51" i="15"/>
  <c r="CI58" i="15"/>
  <c r="CJ33" i="15"/>
  <c r="CJ34" i="15"/>
  <c r="CJ29" i="15"/>
  <c r="CJ30" i="15"/>
  <c r="CJ25" i="15"/>
  <c r="CF115" i="15"/>
  <c r="CB141" i="15"/>
  <c r="CB142" i="15"/>
  <c r="CB74" i="18"/>
  <c r="CH126" i="16"/>
  <c r="CI123" i="16"/>
  <c r="CI126" i="16"/>
  <c r="CJ123" i="16"/>
  <c r="CH99" i="18"/>
  <c r="CJ26" i="15"/>
  <c r="CC138" i="15"/>
  <c r="CC55" i="18"/>
  <c r="CD18" i="18"/>
  <c r="CD20" i="18"/>
  <c r="CG19" i="18"/>
  <c r="CG75" i="18"/>
  <c r="CE133" i="15"/>
  <c r="CE73" i="18"/>
  <c r="CE18" i="18"/>
  <c r="CE20" i="18"/>
  <c r="CC15" i="18"/>
  <c r="CC22" i="18"/>
  <c r="CB138" i="16"/>
  <c r="CC135" i="16"/>
  <c r="CF114" i="15"/>
  <c r="CF116" i="15"/>
  <c r="CD12" i="18"/>
  <c r="CD15" i="18"/>
  <c r="CD137" i="15"/>
  <c r="CD44" i="18"/>
  <c r="CE12" i="18"/>
  <c r="CE137" i="15"/>
  <c r="CE44" i="18"/>
  <c r="BG117" i="16"/>
  <c r="BG120" i="16"/>
  <c r="BF48" i="18"/>
  <c r="CC137" i="15"/>
  <c r="CG136" i="16"/>
  <c r="CG130" i="16"/>
  <c r="CH88" i="16"/>
  <c r="CH102" i="16"/>
  <c r="CI20" i="16"/>
  <c r="CI51" i="16"/>
  <c r="CH24" i="16"/>
  <c r="CH109" i="16"/>
  <c r="CH44" i="16"/>
  <c r="CG68" i="15"/>
  <c r="CG102" i="15"/>
  <c r="CG95" i="15"/>
  <c r="CG109" i="15"/>
  <c r="CG94" i="15"/>
  <c r="CG108" i="15"/>
  <c r="CG101" i="15"/>
  <c r="CD133" i="15"/>
  <c r="CE103" i="15"/>
  <c r="CE13" i="18"/>
  <c r="CE113" i="15"/>
  <c r="CE117" i="15"/>
  <c r="CE72" i="18"/>
  <c r="CD113" i="15"/>
  <c r="CD117" i="15"/>
  <c r="CD72" i="18"/>
  <c r="CF69" i="15"/>
  <c r="CF123" i="15"/>
  <c r="CI23" i="16"/>
  <c r="CH86" i="15"/>
  <c r="CH94" i="15"/>
  <c r="CI74" i="15"/>
  <c r="CI80" i="15"/>
  <c r="CI76" i="15"/>
  <c r="CI82" i="15"/>
  <c r="CI73" i="15"/>
  <c r="CI79" i="15"/>
  <c r="CI75" i="15"/>
  <c r="CI81" i="15"/>
  <c r="CI128" i="15"/>
  <c r="CI130" i="15"/>
  <c r="CI127" i="15"/>
  <c r="CI129" i="15"/>
  <c r="CI22" i="16"/>
  <c r="CI65" i="16"/>
  <c r="CH85" i="15"/>
  <c r="CG55" i="15"/>
  <c r="CH48" i="15"/>
  <c r="CG100" i="15"/>
  <c r="CG114" i="15"/>
  <c r="CI54" i="15"/>
  <c r="CI61" i="15"/>
  <c r="CI52" i="15"/>
  <c r="CI59" i="15"/>
  <c r="CI21" i="16"/>
  <c r="CI58" i="16"/>
  <c r="CF62" i="15"/>
  <c r="CF122" i="15"/>
  <c r="CF92" i="15"/>
  <c r="CL38" i="15"/>
  <c r="CK14" i="16"/>
  <c r="CH93" i="15"/>
  <c r="CF99" i="15"/>
  <c r="CF103" i="15"/>
  <c r="CF13" i="18"/>
  <c r="CH131" i="15"/>
  <c r="CH88" i="15"/>
  <c r="CH68" i="15"/>
  <c r="CM7" i="18"/>
  <c r="CM6" i="18"/>
  <c r="CK7" i="17"/>
  <c r="CK18" i="17"/>
  <c r="CK19" i="17"/>
  <c r="CK6" i="17"/>
  <c r="CI32" i="16"/>
  <c r="CJ29" i="16"/>
  <c r="CI38" i="16"/>
  <c r="CJ35" i="16"/>
  <c r="CI44" i="16"/>
  <c r="CJ36" i="16"/>
  <c r="CJ124" i="16"/>
  <c r="CJ30" i="16"/>
  <c r="CJ118" i="16"/>
  <c r="CJ31" i="16"/>
  <c r="CJ119" i="16"/>
  <c r="CJ24" i="18"/>
  <c r="CJ37" i="16"/>
  <c r="CJ125" i="16"/>
  <c r="CJ99" i="18"/>
  <c r="CK6" i="16"/>
  <c r="CK7" i="16"/>
  <c r="CJ12" i="15"/>
  <c r="CJ13" i="15"/>
  <c r="CJ36" i="15"/>
  <c r="CJ11" i="16"/>
  <c r="CJ37" i="15"/>
  <c r="CJ12" i="16"/>
  <c r="CJ15" i="15"/>
  <c r="CJ21" i="16"/>
  <c r="CJ17" i="15"/>
  <c r="CJ18" i="15"/>
  <c r="CJ21" i="15"/>
  <c r="CJ22" i="15"/>
  <c r="CJ44" i="15"/>
  <c r="CK6" i="15"/>
  <c r="CK7" i="15"/>
  <c r="CJ47" i="15"/>
  <c r="CJ46" i="15"/>
  <c r="CJ45" i="15"/>
  <c r="CJ52" i="15"/>
  <c r="CJ59" i="15"/>
  <c r="CK29" i="15"/>
  <c r="CK30" i="15"/>
  <c r="CK33" i="15"/>
  <c r="CK34" i="15"/>
  <c r="CK25" i="15"/>
  <c r="CK26" i="15"/>
  <c r="CE138" i="15"/>
  <c r="CE55" i="18"/>
  <c r="CC141" i="15"/>
  <c r="CD22" i="18"/>
  <c r="CD138" i="15"/>
  <c r="CD141" i="15"/>
  <c r="CH75" i="18"/>
  <c r="CH19" i="18"/>
  <c r="CC138" i="16"/>
  <c r="CD135" i="16"/>
  <c r="CD140" i="15"/>
  <c r="CE15" i="18"/>
  <c r="CE22" i="18"/>
  <c r="CE140" i="15"/>
  <c r="CC140" i="15"/>
  <c r="CC44" i="18"/>
  <c r="BG48" i="18"/>
  <c r="BH117" i="16"/>
  <c r="BH120" i="16"/>
  <c r="CI88" i="16"/>
  <c r="CH136" i="16"/>
  <c r="CH130" i="16"/>
  <c r="CJ38" i="16"/>
  <c r="CK35" i="16"/>
  <c r="CJ126" i="16"/>
  <c r="CK123" i="16"/>
  <c r="CI102" i="16"/>
  <c r="CF124" i="15"/>
  <c r="CG115" i="15"/>
  <c r="CI24" i="16"/>
  <c r="CI109" i="16"/>
  <c r="CI131" i="15"/>
  <c r="CG116" i="15"/>
  <c r="CI95" i="16"/>
  <c r="CD73" i="18"/>
  <c r="CI72" i="16"/>
  <c r="CI130" i="16"/>
  <c r="CI53" i="15"/>
  <c r="CI60" i="15"/>
  <c r="CH95" i="15"/>
  <c r="CH109" i="15"/>
  <c r="CH107" i="15"/>
  <c r="CJ73" i="15"/>
  <c r="CJ79" i="15"/>
  <c r="CJ75" i="15"/>
  <c r="CJ81" i="15"/>
  <c r="CJ74" i="15"/>
  <c r="CJ80" i="15"/>
  <c r="CJ86" i="15"/>
  <c r="CJ76" i="15"/>
  <c r="CJ82" i="15"/>
  <c r="CJ88" i="15"/>
  <c r="CH102" i="15"/>
  <c r="CI68" i="15"/>
  <c r="CG62" i="15"/>
  <c r="CG122" i="15"/>
  <c r="CG92" i="15"/>
  <c r="CI88" i="15"/>
  <c r="CH67" i="15"/>
  <c r="CH101" i="15"/>
  <c r="CJ127" i="15"/>
  <c r="CJ129" i="15"/>
  <c r="CJ130" i="15"/>
  <c r="CJ128" i="15"/>
  <c r="CJ22" i="16"/>
  <c r="CJ65" i="16"/>
  <c r="CJ20" i="16"/>
  <c r="CJ51" i="16"/>
  <c r="CM38" i="15"/>
  <c r="CL14" i="16"/>
  <c r="CH55" i="15"/>
  <c r="CH65" i="15"/>
  <c r="CI86" i="15"/>
  <c r="CH108" i="15"/>
  <c r="CJ23" i="16"/>
  <c r="CH66" i="15"/>
  <c r="CH100" i="15"/>
  <c r="CF106" i="15"/>
  <c r="CF110" i="15"/>
  <c r="CF14" i="18"/>
  <c r="CF96" i="15"/>
  <c r="CI48" i="15"/>
  <c r="CG65" i="15"/>
  <c r="CI87" i="15"/>
  <c r="CJ51" i="15"/>
  <c r="CJ58" i="15"/>
  <c r="CJ54" i="15"/>
  <c r="CJ61" i="15"/>
  <c r="CJ19" i="16"/>
  <c r="CJ81" i="16"/>
  <c r="CI93" i="15"/>
  <c r="CI85" i="15"/>
  <c r="CN7" i="18"/>
  <c r="CN6" i="18"/>
  <c r="CL6" i="17"/>
  <c r="CL7" i="17"/>
  <c r="CL18" i="17"/>
  <c r="CL19" i="17"/>
  <c r="CJ58" i="16"/>
  <c r="CJ95" i="16"/>
  <c r="CJ32" i="16"/>
  <c r="CK29" i="16"/>
  <c r="CK30" i="16"/>
  <c r="CK118" i="16"/>
  <c r="CK31" i="16"/>
  <c r="CK119" i="16"/>
  <c r="CK24" i="18"/>
  <c r="CK36" i="16"/>
  <c r="CK37" i="16"/>
  <c r="CK125" i="16"/>
  <c r="CK99" i="18"/>
  <c r="CL7" i="16"/>
  <c r="CL6" i="16"/>
  <c r="CK15" i="15"/>
  <c r="CK19" i="16"/>
  <c r="CK81" i="16"/>
  <c r="CK12" i="15"/>
  <c r="CK13" i="15"/>
  <c r="CK36" i="15"/>
  <c r="CK11" i="16"/>
  <c r="CK37" i="15"/>
  <c r="CK12" i="16"/>
  <c r="CK17" i="15"/>
  <c r="CK18" i="15"/>
  <c r="CK21" i="15"/>
  <c r="CK22" i="15"/>
  <c r="CL7" i="15"/>
  <c r="CL6" i="15"/>
  <c r="CK44" i="15"/>
  <c r="CK46" i="15"/>
  <c r="CK47" i="15"/>
  <c r="CK45" i="15"/>
  <c r="CL25" i="15"/>
  <c r="CL26" i="15"/>
  <c r="CL33" i="15"/>
  <c r="CL34" i="15"/>
  <c r="CL29" i="15"/>
  <c r="CL30" i="15"/>
  <c r="CC142" i="15"/>
  <c r="CC74" i="18"/>
  <c r="CD142" i="15"/>
  <c r="CD74" i="18"/>
  <c r="CE141" i="15"/>
  <c r="CE142" i="15"/>
  <c r="CE74" i="18"/>
  <c r="CD55" i="18"/>
  <c r="CI75" i="18"/>
  <c r="CI19" i="18"/>
  <c r="CF133" i="15"/>
  <c r="CF138" i="15"/>
  <c r="CF18" i="18"/>
  <c r="CF20" i="18"/>
  <c r="CD138" i="16"/>
  <c r="CE135" i="16"/>
  <c r="BH48" i="18"/>
  <c r="BI117" i="16"/>
  <c r="BI120" i="16"/>
  <c r="CF12" i="18"/>
  <c r="CF15" i="18"/>
  <c r="CF137" i="15"/>
  <c r="CF44" i="18"/>
  <c r="CJ88" i="16"/>
  <c r="CK38" i="16"/>
  <c r="CL35" i="16"/>
  <c r="CK124" i="16"/>
  <c r="CK126" i="16"/>
  <c r="CL123" i="16"/>
  <c r="CJ102" i="16"/>
  <c r="CI136" i="16"/>
  <c r="CH115" i="15"/>
  <c r="CJ44" i="16"/>
  <c r="CJ24" i="16"/>
  <c r="CH116" i="15"/>
  <c r="CI67" i="15"/>
  <c r="CI101" i="15"/>
  <c r="CK21" i="16"/>
  <c r="CK58" i="16"/>
  <c r="CI94" i="15"/>
  <c r="CI108" i="15"/>
  <c r="CK20" i="16"/>
  <c r="CK51" i="16"/>
  <c r="CJ53" i="15"/>
  <c r="CJ60" i="15"/>
  <c r="CJ109" i="16"/>
  <c r="CF113" i="15"/>
  <c r="CF117" i="15"/>
  <c r="CF72" i="18"/>
  <c r="CJ72" i="16"/>
  <c r="CK23" i="16"/>
  <c r="CK109" i="16"/>
  <c r="CI66" i="15"/>
  <c r="CI100" i="15"/>
  <c r="CH114" i="15"/>
  <c r="CH69" i="15"/>
  <c r="CH123" i="15"/>
  <c r="CI95" i="15"/>
  <c r="CI109" i="15"/>
  <c r="CI107" i="15"/>
  <c r="CK22" i="16"/>
  <c r="CK65" i="16"/>
  <c r="CJ93" i="15"/>
  <c r="CJ131" i="15"/>
  <c r="CI102" i="15"/>
  <c r="CK73" i="15"/>
  <c r="CK79" i="15"/>
  <c r="CK75" i="15"/>
  <c r="CK81" i="15"/>
  <c r="CK76" i="15"/>
  <c r="CK82" i="15"/>
  <c r="CK74" i="15"/>
  <c r="CK80" i="15"/>
  <c r="CJ95" i="15"/>
  <c r="CG69" i="15"/>
  <c r="CG123" i="15"/>
  <c r="CG124" i="15"/>
  <c r="CG99" i="15"/>
  <c r="CG103" i="15"/>
  <c r="CG13" i="18"/>
  <c r="CK52" i="15"/>
  <c r="CK59" i="15"/>
  <c r="CK53" i="15"/>
  <c r="CK60" i="15"/>
  <c r="CK51" i="15"/>
  <c r="CK58" i="15"/>
  <c r="CK127" i="15"/>
  <c r="CK129" i="15"/>
  <c r="CK130" i="15"/>
  <c r="CK128" i="15"/>
  <c r="CJ48" i="15"/>
  <c r="CN38" i="15"/>
  <c r="CN14" i="16"/>
  <c r="CM14" i="16"/>
  <c r="CH99" i="15"/>
  <c r="CH103" i="15"/>
  <c r="CH13" i="18"/>
  <c r="CJ87" i="15"/>
  <c r="CI55" i="15"/>
  <c r="CH62" i="15"/>
  <c r="CH122" i="15"/>
  <c r="CH92" i="15"/>
  <c r="CG106" i="15"/>
  <c r="CG110" i="15"/>
  <c r="CG14" i="18"/>
  <c r="CG96" i="15"/>
  <c r="CJ85" i="15"/>
  <c r="CM7" i="17"/>
  <c r="CM18" i="17"/>
  <c r="CM19" i="17"/>
  <c r="CM6" i="17"/>
  <c r="CK32" i="16"/>
  <c r="CL29" i="16"/>
  <c r="CL30" i="16"/>
  <c r="CL118" i="16"/>
  <c r="CL31" i="16"/>
  <c r="CL119" i="16"/>
  <c r="CL24" i="18"/>
  <c r="CL37" i="16"/>
  <c r="CL125" i="16"/>
  <c r="CL99" i="18"/>
  <c r="CL36" i="16"/>
  <c r="CL124" i="16"/>
  <c r="CM7" i="16"/>
  <c r="CM6" i="16"/>
  <c r="CK44" i="16"/>
  <c r="CL17" i="15"/>
  <c r="CL18" i="15"/>
  <c r="CL21" i="15"/>
  <c r="CL22" i="15"/>
  <c r="CL15" i="15"/>
  <c r="CL20" i="16"/>
  <c r="CL13" i="15"/>
  <c r="CL12" i="15"/>
  <c r="CL36" i="15"/>
  <c r="CL11" i="16"/>
  <c r="CL37" i="15"/>
  <c r="CL12" i="16"/>
  <c r="CM6" i="15"/>
  <c r="CM7" i="15"/>
  <c r="CL45" i="15"/>
  <c r="CL47" i="15"/>
  <c r="CL46" i="15"/>
  <c r="CM29" i="15"/>
  <c r="CM30" i="15"/>
  <c r="CM25" i="15"/>
  <c r="CM26" i="15"/>
  <c r="CM33" i="15"/>
  <c r="CM34" i="15"/>
  <c r="CL44" i="15"/>
  <c r="CI114" i="15"/>
  <c r="CF73" i="18"/>
  <c r="CF22" i="18"/>
  <c r="CJ19" i="18"/>
  <c r="CG18" i="18"/>
  <c r="CG20" i="18"/>
  <c r="CJ75" i="18"/>
  <c r="CE138" i="16"/>
  <c r="CF135" i="16"/>
  <c r="BJ117" i="16"/>
  <c r="BJ120" i="16"/>
  <c r="BI48" i="18"/>
  <c r="CG12" i="18"/>
  <c r="CG15" i="18"/>
  <c r="CG137" i="15"/>
  <c r="CG140" i="15"/>
  <c r="CJ136" i="16"/>
  <c r="CK88" i="16"/>
  <c r="CJ130" i="16"/>
  <c r="CK72" i="16"/>
  <c r="CL126" i="16"/>
  <c r="CM123" i="16"/>
  <c r="CK102" i="16"/>
  <c r="CH124" i="15"/>
  <c r="CK95" i="16"/>
  <c r="CI115" i="15"/>
  <c r="CF140" i="15"/>
  <c r="CJ67" i="15"/>
  <c r="CJ101" i="15"/>
  <c r="CJ94" i="15"/>
  <c r="CJ108" i="15"/>
  <c r="CK24" i="16"/>
  <c r="CL21" i="16"/>
  <c r="CL58" i="16"/>
  <c r="CK54" i="15"/>
  <c r="CK61" i="15"/>
  <c r="CI116" i="15"/>
  <c r="CG133" i="15"/>
  <c r="CJ68" i="15"/>
  <c r="CJ102" i="15"/>
  <c r="CG113" i="15"/>
  <c r="CG117" i="15"/>
  <c r="CG72" i="18"/>
  <c r="CL128" i="15"/>
  <c r="CL130" i="15"/>
  <c r="CL129" i="15"/>
  <c r="CL127" i="15"/>
  <c r="CL22" i="16"/>
  <c r="CL102" i="16"/>
  <c r="CL19" i="16"/>
  <c r="CL81" i="16"/>
  <c r="CK131" i="15"/>
  <c r="CK94" i="15"/>
  <c r="CK67" i="15"/>
  <c r="CK87" i="15"/>
  <c r="CL51" i="15"/>
  <c r="CL58" i="15"/>
  <c r="CL53" i="15"/>
  <c r="CL60" i="15"/>
  <c r="CL52" i="15"/>
  <c r="CL59" i="15"/>
  <c r="CL54" i="15"/>
  <c r="CL61" i="15"/>
  <c r="CH106" i="15"/>
  <c r="CH110" i="15"/>
  <c r="CH14" i="18"/>
  <c r="CH96" i="15"/>
  <c r="CI65" i="15"/>
  <c r="CI62" i="15"/>
  <c r="CI122" i="15"/>
  <c r="CI92" i="15"/>
  <c r="CJ109" i="15"/>
  <c r="CK85" i="15"/>
  <c r="CL74" i="15"/>
  <c r="CL80" i="15"/>
  <c r="CL76" i="15"/>
  <c r="CL82" i="15"/>
  <c r="CL73" i="15"/>
  <c r="CL79" i="15"/>
  <c r="CL75" i="15"/>
  <c r="CL81" i="15"/>
  <c r="CL87" i="15"/>
  <c r="CJ55" i="15"/>
  <c r="CJ65" i="15"/>
  <c r="CK86" i="15"/>
  <c r="CJ107" i="15"/>
  <c r="CM15" i="15"/>
  <c r="CM23" i="16"/>
  <c r="CL23" i="16"/>
  <c r="CL72" i="16"/>
  <c r="CK48" i="15"/>
  <c r="CK88" i="15"/>
  <c r="CF55" i="18"/>
  <c r="CF141" i="15"/>
  <c r="CJ66" i="15"/>
  <c r="CJ100" i="15"/>
  <c r="CN6" i="17"/>
  <c r="CN7" i="17"/>
  <c r="CN18" i="17"/>
  <c r="CN19" i="17"/>
  <c r="CL51" i="16"/>
  <c r="CL88" i="16"/>
  <c r="CL38" i="16"/>
  <c r="CM35" i="16"/>
  <c r="CL32" i="16"/>
  <c r="CM29" i="16"/>
  <c r="CM36" i="16"/>
  <c r="CM124" i="16"/>
  <c r="CM37" i="16"/>
  <c r="CM125" i="16"/>
  <c r="CM99" i="18"/>
  <c r="CM30" i="16"/>
  <c r="CM118" i="16"/>
  <c r="CM31" i="16"/>
  <c r="CM119" i="16"/>
  <c r="CM24" i="18"/>
  <c r="CN7" i="16"/>
  <c r="CN6" i="16"/>
  <c r="CM17" i="15"/>
  <c r="CM18" i="15"/>
  <c r="CM21" i="15"/>
  <c r="CM22" i="15"/>
  <c r="CM12" i="15"/>
  <c r="CM13" i="15"/>
  <c r="CM36" i="15"/>
  <c r="CM11" i="16"/>
  <c r="CM37" i="15"/>
  <c r="CM12" i="16"/>
  <c r="CN7" i="15"/>
  <c r="CN6" i="15"/>
  <c r="CM47" i="15"/>
  <c r="CM45" i="15"/>
  <c r="CM44" i="15"/>
  <c r="CM46" i="15"/>
  <c r="CM53" i="15"/>
  <c r="CM60" i="15"/>
  <c r="CN33" i="15"/>
  <c r="CN34" i="15"/>
  <c r="CN29" i="15"/>
  <c r="CN30" i="15"/>
  <c r="CN25" i="15"/>
  <c r="CN26" i="15"/>
  <c r="CF142" i="15"/>
  <c r="CF74" i="18"/>
  <c r="CH113" i="15"/>
  <c r="CH117" i="15"/>
  <c r="CH72" i="18"/>
  <c r="CG22" i="18"/>
  <c r="CK75" i="18"/>
  <c r="CK19" i="18"/>
  <c r="CH133" i="15"/>
  <c r="CH73" i="18"/>
  <c r="CH18" i="18"/>
  <c r="CH20" i="18"/>
  <c r="CG138" i="15"/>
  <c r="CG55" i="18"/>
  <c r="CF138" i="16"/>
  <c r="CG135" i="16"/>
  <c r="CG73" i="18"/>
  <c r="CH12" i="18"/>
  <c r="CH137" i="15"/>
  <c r="CH44" i="18"/>
  <c r="BK117" i="16"/>
  <c r="BK120" i="16"/>
  <c r="BJ48" i="18"/>
  <c r="CK130" i="16"/>
  <c r="CK136" i="16"/>
  <c r="CM126" i="16"/>
  <c r="CN123" i="16"/>
  <c r="CL95" i="16"/>
  <c r="CL109" i="16"/>
  <c r="CG44" i="18"/>
  <c r="CL44" i="16"/>
  <c r="CJ115" i="15"/>
  <c r="CJ114" i="15"/>
  <c r="CJ69" i="15"/>
  <c r="CJ123" i="15"/>
  <c r="CL65" i="16"/>
  <c r="CK68" i="15"/>
  <c r="CK102" i="15"/>
  <c r="CK95" i="15"/>
  <c r="CK109" i="15"/>
  <c r="CM20" i="16"/>
  <c r="CM51" i="16"/>
  <c r="CL24" i="16"/>
  <c r="CL131" i="15"/>
  <c r="CJ116" i="15"/>
  <c r="CH15" i="18"/>
  <c r="CH140" i="15"/>
  <c r="CK101" i="15"/>
  <c r="CK108" i="15"/>
  <c r="CM51" i="15"/>
  <c r="CM58" i="15"/>
  <c r="CM52" i="15"/>
  <c r="CM59" i="15"/>
  <c r="CM54" i="15"/>
  <c r="CM61" i="15"/>
  <c r="CI106" i="15"/>
  <c r="CI110" i="15"/>
  <c r="CI14" i="18"/>
  <c r="CI96" i="15"/>
  <c r="CL66" i="15"/>
  <c r="CM74" i="15"/>
  <c r="CM80" i="15"/>
  <c r="CM76" i="15"/>
  <c r="CM82" i="15"/>
  <c r="CM88" i="15"/>
  <c r="CM75" i="15"/>
  <c r="CM81" i="15"/>
  <c r="CM73" i="15"/>
  <c r="CM79" i="15"/>
  <c r="CM21" i="16"/>
  <c r="CM58" i="16"/>
  <c r="CH138" i="15"/>
  <c r="CL85" i="15"/>
  <c r="CL94" i="15"/>
  <c r="CL108" i="15"/>
  <c r="CM128" i="15"/>
  <c r="CM130" i="15"/>
  <c r="CM129" i="15"/>
  <c r="CM127" i="15"/>
  <c r="CM22" i="16"/>
  <c r="CM65" i="16"/>
  <c r="CM19" i="16"/>
  <c r="CM81" i="16"/>
  <c r="CK93" i="15"/>
  <c r="CJ62" i="15"/>
  <c r="CJ122" i="15"/>
  <c r="CJ92" i="15"/>
  <c r="CJ99" i="15"/>
  <c r="CJ103" i="15"/>
  <c r="CJ13" i="18"/>
  <c r="CL88" i="15"/>
  <c r="CI69" i="15"/>
  <c r="CI123" i="15"/>
  <c r="CI124" i="15"/>
  <c r="CI99" i="15"/>
  <c r="CI103" i="15"/>
  <c r="CI13" i="18"/>
  <c r="CL48" i="15"/>
  <c r="CK55" i="15"/>
  <c r="CK92" i="15"/>
  <c r="CK66" i="15"/>
  <c r="CK100" i="15"/>
  <c r="CL86" i="15"/>
  <c r="CL93" i="15"/>
  <c r="CL95" i="15"/>
  <c r="CM72" i="16"/>
  <c r="CM109" i="16"/>
  <c r="CM32" i="16"/>
  <c r="CN29" i="16"/>
  <c r="CM38" i="16"/>
  <c r="CN35" i="16"/>
  <c r="CN36" i="16"/>
  <c r="CN31" i="16"/>
  <c r="CN30" i="16"/>
  <c r="CN37" i="16"/>
  <c r="CN12" i="15"/>
  <c r="CN13" i="15"/>
  <c r="CN36" i="15"/>
  <c r="CN11" i="16"/>
  <c r="CN37" i="15"/>
  <c r="CN12" i="16"/>
  <c r="CN13" i="16"/>
  <c r="CM13" i="16"/>
  <c r="CN15" i="15"/>
  <c r="CN23" i="16"/>
  <c r="CN17" i="15"/>
  <c r="CN18" i="15"/>
  <c r="CN21" i="15"/>
  <c r="CN22" i="15"/>
  <c r="CN44" i="15"/>
  <c r="CJ124" i="15"/>
  <c r="CJ133" i="15"/>
  <c r="CN45" i="15"/>
  <c r="CN46" i="15"/>
  <c r="CN47" i="15"/>
  <c r="CG141" i="15"/>
  <c r="CG142" i="15"/>
  <c r="CG74" i="18"/>
  <c r="CH22" i="18"/>
  <c r="CL19" i="18"/>
  <c r="CI18" i="18"/>
  <c r="CI20" i="18"/>
  <c r="CJ18" i="18"/>
  <c r="CJ20" i="18"/>
  <c r="CL75" i="18"/>
  <c r="CG138" i="16"/>
  <c r="CH135" i="16"/>
  <c r="BL117" i="16"/>
  <c r="BL120" i="16"/>
  <c r="BK48" i="18"/>
  <c r="CI12" i="18"/>
  <c r="CI15" i="18"/>
  <c r="CI137" i="15"/>
  <c r="CI140" i="15"/>
  <c r="CL136" i="16"/>
  <c r="CL130" i="16"/>
  <c r="J36" i="16"/>
  <c r="CN124" i="16"/>
  <c r="J124" i="16"/>
  <c r="J31" i="16"/>
  <c r="CN119" i="16"/>
  <c r="J37" i="16"/>
  <c r="CN125" i="16"/>
  <c r="CM88" i="16"/>
  <c r="J30" i="16"/>
  <c r="CN118" i="16"/>
  <c r="J118" i="16"/>
  <c r="CM67" i="15"/>
  <c r="CM95" i="16"/>
  <c r="CM24" i="16"/>
  <c r="CM102" i="16"/>
  <c r="CK116" i="15"/>
  <c r="CM131" i="15"/>
  <c r="CM44" i="16"/>
  <c r="CM130" i="16"/>
  <c r="CK115" i="15"/>
  <c r="CI113" i="15"/>
  <c r="CI117" i="15"/>
  <c r="CI72" i="18"/>
  <c r="CL109" i="15"/>
  <c r="CL13" i="16"/>
  <c r="CN52" i="15"/>
  <c r="CN59" i="15"/>
  <c r="CN51" i="15"/>
  <c r="CN58" i="15"/>
  <c r="CN53" i="15"/>
  <c r="CN60" i="15"/>
  <c r="CN54" i="15"/>
  <c r="CN61" i="15"/>
  <c r="CN73" i="15"/>
  <c r="CN79" i="15"/>
  <c r="CN75" i="15"/>
  <c r="CN81" i="15"/>
  <c r="CN76" i="15"/>
  <c r="CN82" i="15"/>
  <c r="CN88" i="15"/>
  <c r="CN74" i="15"/>
  <c r="CN80" i="15"/>
  <c r="CN127" i="15"/>
  <c r="CN129" i="15"/>
  <c r="J129" i="15"/>
  <c r="CN128" i="15"/>
  <c r="J128" i="15"/>
  <c r="CN130" i="15"/>
  <c r="J130" i="15"/>
  <c r="CL55" i="15"/>
  <c r="CL65" i="15"/>
  <c r="CK107" i="15"/>
  <c r="CK114" i="15"/>
  <c r="CM86" i="15"/>
  <c r="CK62" i="15"/>
  <c r="CK122" i="15"/>
  <c r="CM95" i="15"/>
  <c r="CN19" i="16"/>
  <c r="CN81" i="16"/>
  <c r="J81" i="16"/>
  <c r="CN20" i="16"/>
  <c r="J20" i="16"/>
  <c r="CL68" i="15"/>
  <c r="CL102" i="15"/>
  <c r="CL107" i="15"/>
  <c r="CK65" i="15"/>
  <c r="CL67" i="15"/>
  <c r="CL101" i="15"/>
  <c r="CL115" i="15"/>
  <c r="CM85" i="15"/>
  <c r="CM93" i="15"/>
  <c r="CL100" i="15"/>
  <c r="CK106" i="15"/>
  <c r="CK96" i="15"/>
  <c r="CI133" i="15"/>
  <c r="CJ96" i="15"/>
  <c r="CJ106" i="15"/>
  <c r="CJ110" i="15"/>
  <c r="CJ14" i="18"/>
  <c r="CH141" i="15"/>
  <c r="CH142" i="15"/>
  <c r="CH55" i="18"/>
  <c r="CM87" i="15"/>
  <c r="CN22" i="16"/>
  <c r="J22" i="16"/>
  <c r="CN21" i="16"/>
  <c r="CN58" i="16"/>
  <c r="J58" i="16"/>
  <c r="CM48" i="15"/>
  <c r="J23" i="16"/>
  <c r="CN72" i="16"/>
  <c r="J72" i="16"/>
  <c r="CN109" i="16"/>
  <c r="J109" i="16"/>
  <c r="CN32" i="16"/>
  <c r="CN38" i="16"/>
  <c r="J125" i="16"/>
  <c r="J126" i="16"/>
  <c r="CN99" i="18"/>
  <c r="J99" i="18"/>
  <c r="CI22" i="18"/>
  <c r="CM19" i="18"/>
  <c r="CH74" i="18"/>
  <c r="CM75" i="18"/>
  <c r="CH138" i="16"/>
  <c r="CI135" i="16"/>
  <c r="CM94" i="15"/>
  <c r="CM108" i="15"/>
  <c r="CK12" i="18"/>
  <c r="CJ12" i="18"/>
  <c r="CJ15" i="18"/>
  <c r="CJ22" i="18"/>
  <c r="CJ137" i="15"/>
  <c r="CJ140" i="15"/>
  <c r="BM117" i="16"/>
  <c r="BM120" i="16"/>
  <c r="BL48" i="18"/>
  <c r="J38" i="16"/>
  <c r="CM136" i="16"/>
  <c r="J32" i="16"/>
  <c r="CN24" i="18"/>
  <c r="J24" i="18"/>
  <c r="J119" i="16"/>
  <c r="J120" i="16"/>
  <c r="CN51" i="16"/>
  <c r="J51" i="16"/>
  <c r="CN126" i="16"/>
  <c r="CN88" i="16"/>
  <c r="J88" i="16"/>
  <c r="J21" i="16"/>
  <c r="J19" i="16"/>
  <c r="CL116" i="15"/>
  <c r="CN44" i="16"/>
  <c r="J44" i="16"/>
  <c r="CM101" i="15"/>
  <c r="J54" i="15"/>
  <c r="J51" i="15"/>
  <c r="CI44" i="18"/>
  <c r="J53" i="15"/>
  <c r="J52" i="15"/>
  <c r="CN102" i="16"/>
  <c r="J102" i="16"/>
  <c r="CN65" i="16"/>
  <c r="J65" i="16"/>
  <c r="CL114" i="15"/>
  <c r="CN24" i="16"/>
  <c r="J24" i="16"/>
  <c r="CN95" i="16"/>
  <c r="J95" i="16"/>
  <c r="CJ113" i="15"/>
  <c r="CJ117" i="15"/>
  <c r="CJ72" i="18"/>
  <c r="CM68" i="15"/>
  <c r="CM102" i="15"/>
  <c r="CK110" i="15"/>
  <c r="CK14" i="18"/>
  <c r="CL69" i="15"/>
  <c r="CL123" i="15"/>
  <c r="CL99" i="15"/>
  <c r="CL103" i="15"/>
  <c r="CL13" i="18"/>
  <c r="CM107" i="15"/>
  <c r="CM65" i="15"/>
  <c r="CM99" i="15"/>
  <c r="CM62" i="15"/>
  <c r="CM122" i="15"/>
  <c r="CI138" i="15"/>
  <c r="CI73" i="18"/>
  <c r="CM66" i="15"/>
  <c r="CM100" i="15"/>
  <c r="CK69" i="15"/>
  <c r="CK123" i="15"/>
  <c r="CK124" i="15"/>
  <c r="CK99" i="15"/>
  <c r="CM109" i="15"/>
  <c r="J46" i="15"/>
  <c r="CJ138" i="15"/>
  <c r="CJ73" i="18"/>
  <c r="CM55" i="15"/>
  <c r="CN87" i="15"/>
  <c r="CN48" i="15"/>
  <c r="J44" i="15"/>
  <c r="CK13" i="16"/>
  <c r="CM92" i="15"/>
  <c r="CL62" i="15"/>
  <c r="CL122" i="15"/>
  <c r="CL92" i="15"/>
  <c r="CN131" i="15"/>
  <c r="J127" i="15"/>
  <c r="CN85" i="15"/>
  <c r="J45" i="15"/>
  <c r="CN86" i="15"/>
  <c r="J47" i="15"/>
  <c r="CN75" i="18"/>
  <c r="J75" i="18"/>
  <c r="CN19" i="18"/>
  <c r="J19" i="18"/>
  <c r="CK18" i="18"/>
  <c r="CK20" i="18"/>
  <c r="CI138" i="16"/>
  <c r="CJ135" i="16"/>
  <c r="CK137" i="15"/>
  <c r="CK44" i="18"/>
  <c r="CM115" i="15"/>
  <c r="BM48" i="18"/>
  <c r="BN117" i="16"/>
  <c r="BN120" i="16"/>
  <c r="CN136" i="16"/>
  <c r="J136" i="16"/>
  <c r="CN130" i="16"/>
  <c r="J130" i="16"/>
  <c r="CJ44" i="18"/>
  <c r="CL124" i="15"/>
  <c r="CM116" i="15"/>
  <c r="CM114" i="15"/>
  <c r="CK103" i="15"/>
  <c r="CK13" i="18"/>
  <c r="CK15" i="18"/>
  <c r="CK113" i="15"/>
  <c r="CK117" i="15"/>
  <c r="CK72" i="18"/>
  <c r="CM69" i="15"/>
  <c r="CM123" i="15"/>
  <c r="CM103" i="15"/>
  <c r="CM13" i="18"/>
  <c r="CL106" i="15"/>
  <c r="CL110" i="15"/>
  <c r="CL14" i="18"/>
  <c r="CL96" i="15"/>
  <c r="CJ55" i="18"/>
  <c r="CJ141" i="15"/>
  <c r="CJ142" i="15"/>
  <c r="CL133" i="15"/>
  <c r="CI55" i="18"/>
  <c r="CI141" i="15"/>
  <c r="CI142" i="15"/>
  <c r="CJ13" i="16"/>
  <c r="J48" i="15"/>
  <c r="CK133" i="15"/>
  <c r="CN66" i="15"/>
  <c r="J131" i="15"/>
  <c r="CM106" i="15"/>
  <c r="CM110" i="15"/>
  <c r="CM14" i="18"/>
  <c r="CM96" i="15"/>
  <c r="CN55" i="15"/>
  <c r="J55" i="15"/>
  <c r="CK140" i="15"/>
  <c r="CL18" i="18"/>
  <c r="CL20" i="18"/>
  <c r="CI74" i="18"/>
  <c r="CJ74" i="18"/>
  <c r="CK22" i="18"/>
  <c r="CJ138" i="16"/>
  <c r="CK135" i="16"/>
  <c r="BO117" i="16"/>
  <c r="BO120" i="16"/>
  <c r="BN48" i="18"/>
  <c r="CL12" i="18"/>
  <c r="CL15" i="18"/>
  <c r="CL22" i="18"/>
  <c r="CL137" i="15"/>
  <c r="CL44" i="18"/>
  <c r="CM12" i="18"/>
  <c r="CM15" i="18"/>
  <c r="CM137" i="15"/>
  <c r="CM44" i="18"/>
  <c r="CM124" i="15"/>
  <c r="CM113" i="15"/>
  <c r="CM117" i="15"/>
  <c r="CM72" i="18"/>
  <c r="CN65" i="15"/>
  <c r="J65" i="15"/>
  <c r="J58" i="15"/>
  <c r="CN100" i="15"/>
  <c r="J100" i="15"/>
  <c r="J66" i="15"/>
  <c r="CN94" i="15"/>
  <c r="J94" i="15"/>
  <c r="J60" i="15"/>
  <c r="CN93" i="15"/>
  <c r="J93" i="15"/>
  <c r="J59" i="15"/>
  <c r="CN67" i="15"/>
  <c r="CN95" i="15"/>
  <c r="J95" i="15"/>
  <c r="J61" i="15"/>
  <c r="CL113" i="15"/>
  <c r="CL117" i="15"/>
  <c r="CL72" i="18"/>
  <c r="CN99" i="15"/>
  <c r="J99" i="15"/>
  <c r="CN83" i="16"/>
  <c r="CK138" i="15"/>
  <c r="CK73" i="18"/>
  <c r="CN68" i="15"/>
  <c r="CN62" i="15"/>
  <c r="CN92" i="15"/>
  <c r="J92" i="15"/>
  <c r="CI13" i="16"/>
  <c r="J89" i="16"/>
  <c r="J90" i="16"/>
  <c r="CL138" i="15"/>
  <c r="CL73" i="18"/>
  <c r="CL140" i="15"/>
  <c r="CN108" i="15"/>
  <c r="J108" i="15"/>
  <c r="CM133" i="15"/>
  <c r="CM73" i="18"/>
  <c r="CM18" i="18"/>
  <c r="CM20" i="18"/>
  <c r="CM22" i="18"/>
  <c r="CK138" i="16"/>
  <c r="CL135" i="16"/>
  <c r="CN109" i="15"/>
  <c r="J109" i="15"/>
  <c r="CM140" i="15"/>
  <c r="BO48" i="18"/>
  <c r="BP117" i="16"/>
  <c r="BP120" i="16"/>
  <c r="CN107" i="15"/>
  <c r="J107" i="15"/>
  <c r="CN122" i="15"/>
  <c r="J62" i="15"/>
  <c r="J82" i="16"/>
  <c r="J83" i="16"/>
  <c r="CN102" i="15"/>
  <c r="J68" i="15"/>
  <c r="CN69" i="15"/>
  <c r="CN101" i="15"/>
  <c r="J67" i="15"/>
  <c r="CL141" i="15"/>
  <c r="CL55" i="18"/>
  <c r="CK55" i="18"/>
  <c r="CK141" i="15"/>
  <c r="CK142" i="15"/>
  <c r="CN90" i="16"/>
  <c r="CN106" i="15"/>
  <c r="CN96" i="15"/>
  <c r="CH13" i="16"/>
  <c r="J103" i="16"/>
  <c r="J104" i="16"/>
  <c r="CL142" i="15"/>
  <c r="CL74" i="18"/>
  <c r="CM138" i="15"/>
  <c r="CM55" i="18"/>
  <c r="CK74" i="18"/>
  <c r="CL138" i="16"/>
  <c r="CM135" i="16"/>
  <c r="BQ117" i="16"/>
  <c r="BQ120" i="16"/>
  <c r="BP48" i="18"/>
  <c r="CN114" i="15"/>
  <c r="J114" i="15"/>
  <c r="CN110" i="15"/>
  <c r="CN137" i="15"/>
  <c r="CN44" i="18"/>
  <c r="J106" i="15"/>
  <c r="J101" i="15"/>
  <c r="CN115" i="15"/>
  <c r="J115" i="15"/>
  <c r="CN123" i="15"/>
  <c r="J123" i="15"/>
  <c r="J69" i="15"/>
  <c r="CN113" i="15"/>
  <c r="CN103" i="15"/>
  <c r="J102" i="15"/>
  <c r="CN116" i="15"/>
  <c r="J116" i="15"/>
  <c r="J122" i="15"/>
  <c r="CN12" i="18"/>
  <c r="J12" i="18"/>
  <c r="J96" i="15"/>
  <c r="CG13" i="16"/>
  <c r="J96" i="16"/>
  <c r="J97" i="16"/>
  <c r="J110" i="16"/>
  <c r="J111" i="16"/>
  <c r="CN104" i="16"/>
  <c r="CN97" i="16"/>
  <c r="CM141" i="15"/>
  <c r="CM142" i="15"/>
  <c r="CM74" i="18"/>
  <c r="CM138" i="16"/>
  <c r="CN135" i="16"/>
  <c r="BR117" i="16"/>
  <c r="BR120" i="16"/>
  <c r="BQ48" i="18"/>
  <c r="CN140" i="15"/>
  <c r="CN124" i="15"/>
  <c r="CN133" i="15"/>
  <c r="CN13" i="18"/>
  <c r="J13" i="18"/>
  <c r="J103" i="15"/>
  <c r="CN117" i="15"/>
  <c r="J113" i="15"/>
  <c r="CN14" i="18"/>
  <c r="J110" i="15"/>
  <c r="CF13" i="16"/>
  <c r="CN111" i="16"/>
  <c r="CN15" i="18"/>
  <c r="J15" i="18"/>
  <c r="J14" i="18"/>
  <c r="J133" i="15"/>
  <c r="J124" i="15"/>
  <c r="CN18" i="18"/>
  <c r="J137" i="16"/>
  <c r="J138" i="16"/>
  <c r="J100" i="18"/>
  <c r="BS117" i="16"/>
  <c r="BS120" i="16"/>
  <c r="BR48" i="18"/>
  <c r="CN73" i="18"/>
  <c r="J73" i="18"/>
  <c r="CN138" i="15"/>
  <c r="CN72" i="18"/>
  <c r="J72" i="18"/>
  <c r="J117" i="15"/>
  <c r="CE13" i="16"/>
  <c r="CN138" i="16"/>
  <c r="CN20" i="18"/>
  <c r="J18" i="18"/>
  <c r="BS48" i="18"/>
  <c r="BT117" i="16"/>
  <c r="BT120" i="16"/>
  <c r="CN55" i="18"/>
  <c r="CN141" i="15"/>
  <c r="CN142" i="15"/>
  <c r="CD13" i="16"/>
  <c r="CN22" i="18"/>
  <c r="J22" i="18"/>
  <c r="J20" i="18"/>
  <c r="CN74" i="18"/>
  <c r="J74" i="18"/>
  <c r="BU117" i="16"/>
  <c r="BU120" i="16"/>
  <c r="BT48" i="18"/>
  <c r="CC13" i="16"/>
  <c r="BU48" i="18"/>
  <c r="BV117" i="16"/>
  <c r="BV120" i="16"/>
  <c r="CB13" i="16"/>
  <c r="BW117" i="16"/>
  <c r="BW120" i="16"/>
  <c r="BV48" i="18"/>
  <c r="CA13" i="16"/>
  <c r="BX117" i="16"/>
  <c r="BX120" i="16"/>
  <c r="BW48" i="18"/>
  <c r="BZ13" i="16"/>
  <c r="BY117" i="16"/>
  <c r="BY120" i="16"/>
  <c r="BX48" i="18"/>
  <c r="BY13" i="16"/>
  <c r="BZ117" i="16"/>
  <c r="BZ120" i="16"/>
  <c r="BY48" i="18"/>
  <c r="BX13" i="16"/>
  <c r="CA117" i="16"/>
  <c r="CA120" i="16"/>
  <c r="BZ48" i="18"/>
  <c r="BW13" i="16"/>
  <c r="CA48" i="18"/>
  <c r="CB117" i="16"/>
  <c r="CB120" i="16"/>
  <c r="BV13" i="16"/>
  <c r="CC117" i="16"/>
  <c r="CC120" i="16"/>
  <c r="CB48" i="18"/>
  <c r="BU13" i="16"/>
  <c r="CD117" i="16"/>
  <c r="CD120" i="16"/>
  <c r="CC48" i="18"/>
  <c r="BT13" i="16"/>
  <c r="CE117" i="16"/>
  <c r="CE120" i="16"/>
  <c r="CD48" i="18"/>
  <c r="BS13" i="16"/>
  <c r="CF117" i="16"/>
  <c r="CF120" i="16"/>
  <c r="CE48" i="18"/>
  <c r="BR13" i="16"/>
  <c r="CG117" i="16"/>
  <c r="CG120" i="16"/>
  <c r="CF48" i="18"/>
  <c r="BQ13" i="16"/>
  <c r="CH117" i="16"/>
  <c r="CH120" i="16"/>
  <c r="CG48" i="18"/>
  <c r="BP13" i="16"/>
  <c r="CI117" i="16"/>
  <c r="CI120" i="16"/>
  <c r="CH48" i="18"/>
  <c r="BO13" i="16"/>
  <c r="CJ117" i="16"/>
  <c r="CJ120" i="16"/>
  <c r="CI48" i="18"/>
  <c r="BN13" i="16"/>
  <c r="CK117" i="16"/>
  <c r="CK120" i="16"/>
  <c r="CJ48" i="18"/>
  <c r="BM13" i="16"/>
  <c r="CK48" i="18"/>
  <c r="CL117" i="16"/>
  <c r="CL120" i="16"/>
  <c r="BL13" i="16"/>
  <c r="CM117" i="16"/>
  <c r="CM120" i="16"/>
  <c r="CL48" i="18"/>
  <c r="BK13" i="16"/>
  <c r="CM48" i="18"/>
  <c r="CN117" i="16"/>
  <c r="CN120" i="16"/>
  <c r="CN48" i="18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J52" i="16"/>
  <c r="J53" i="16"/>
  <c r="J73" i="16"/>
  <c r="J74" i="16"/>
  <c r="J66" i="16"/>
  <c r="J67" i="16"/>
  <c r="J59" i="16"/>
  <c r="J60" i="16"/>
  <c r="CN53" i="16"/>
  <c r="CN74" i="16"/>
  <c r="CN67" i="16"/>
  <c r="CN60" i="16"/>
  <c r="J45" i="16"/>
  <c r="J46" i="16"/>
  <c r="CN46" i="16"/>
  <c r="J25" i="18"/>
  <c r="J131" i="16"/>
  <c r="J132" i="16"/>
  <c r="J27" i="18"/>
  <c r="M111" i="18"/>
  <c r="M114" i="18"/>
  <c r="M113" i="18"/>
  <c r="J107" i="18"/>
  <c r="J98" i="18"/>
  <c r="M57" i="18"/>
  <c r="M59" i="18"/>
  <c r="N111" i="18"/>
  <c r="N114" i="18"/>
  <c r="M65" i="18"/>
  <c r="M13" i="19"/>
  <c r="M12" i="19"/>
  <c r="M20" i="19"/>
  <c r="N113" i="18"/>
  <c r="N57" i="18"/>
  <c r="O111" i="18"/>
  <c r="O114" i="18"/>
  <c r="M14" i="19"/>
  <c r="M21" i="19"/>
  <c r="O113" i="18"/>
  <c r="P114" i="18"/>
  <c r="O57" i="18"/>
  <c r="P113" i="18"/>
  <c r="Q111" i="18"/>
  <c r="Q114" i="18"/>
  <c r="M61" i="18"/>
  <c r="M67" i="18"/>
  <c r="Q113" i="18"/>
  <c r="R111" i="18"/>
  <c r="R114" i="18"/>
  <c r="Q57" i="18"/>
  <c r="R113" i="18"/>
  <c r="R57" i="18"/>
  <c r="S111" i="18"/>
  <c r="S114" i="18"/>
  <c r="N58" i="18"/>
  <c r="N59" i="18"/>
  <c r="S113" i="18"/>
  <c r="S57" i="18"/>
  <c r="T114" i="18"/>
  <c r="N12" i="19"/>
  <c r="N20" i="19"/>
  <c r="N65" i="18"/>
  <c r="T113" i="18"/>
  <c r="U111" i="18"/>
  <c r="U114" i="18"/>
  <c r="N13" i="19"/>
  <c r="N21" i="19"/>
  <c r="U113" i="18"/>
  <c r="U57" i="18"/>
  <c r="V111" i="18"/>
  <c r="V114" i="18"/>
  <c r="N14" i="19"/>
  <c r="V113" i="18"/>
  <c r="W111" i="18"/>
  <c r="W114" i="18"/>
  <c r="V57" i="18"/>
  <c r="N61" i="18"/>
  <c r="N67" i="18"/>
  <c r="W113" i="18"/>
  <c r="X114" i="18"/>
  <c r="W57" i="18"/>
  <c r="X113" i="18"/>
  <c r="Y111" i="18"/>
  <c r="Y114" i="18"/>
  <c r="Y113" i="18"/>
  <c r="Y57" i="18"/>
  <c r="Z111" i="18"/>
  <c r="Z114" i="18"/>
  <c r="O58" i="18"/>
  <c r="O59" i="18"/>
  <c r="Z113" i="18"/>
  <c r="Z57" i="18"/>
  <c r="AA111" i="18"/>
  <c r="AA114" i="18"/>
  <c r="AA113" i="18"/>
  <c r="AB114" i="18"/>
  <c r="AA57" i="18"/>
  <c r="O12" i="19"/>
  <c r="O65" i="18"/>
  <c r="AB113" i="18"/>
  <c r="AC111" i="18"/>
  <c r="AC114" i="18"/>
  <c r="O20" i="19"/>
  <c r="O13" i="19"/>
  <c r="O21" i="19"/>
  <c r="AC113" i="18"/>
  <c r="AD111" i="18"/>
  <c r="AD114" i="18"/>
  <c r="AC57" i="18"/>
  <c r="O14" i="19"/>
  <c r="AD113" i="18"/>
  <c r="AE111" i="18"/>
  <c r="AE114" i="18"/>
  <c r="AD57" i="18"/>
  <c r="AE113" i="18"/>
  <c r="AE57" i="18"/>
  <c r="AF114" i="18"/>
  <c r="O61" i="18"/>
  <c r="O67" i="18"/>
  <c r="AF113" i="18"/>
  <c r="AG111" i="18"/>
  <c r="AG114" i="18"/>
  <c r="AG113" i="18"/>
  <c r="AH111" i="18"/>
  <c r="AH114" i="18"/>
  <c r="AG57" i="18"/>
  <c r="AH113" i="18"/>
  <c r="AI111" i="18"/>
  <c r="AI114" i="18"/>
  <c r="AH57" i="18"/>
  <c r="AI113" i="18"/>
  <c r="AJ111" i="18"/>
  <c r="AJ114" i="18"/>
  <c r="AI57" i="18"/>
  <c r="AJ113" i="18"/>
  <c r="AK111" i="18"/>
  <c r="AK114" i="18"/>
  <c r="AJ57" i="18"/>
  <c r="P12" i="19"/>
  <c r="AK113" i="18"/>
  <c r="AK57" i="18"/>
  <c r="AL111" i="18"/>
  <c r="AL114" i="18"/>
  <c r="P20" i="19"/>
  <c r="P13" i="19"/>
  <c r="P21" i="19"/>
  <c r="AL113" i="18"/>
  <c r="AL57" i="18"/>
  <c r="AM111" i="18"/>
  <c r="AM114" i="18"/>
  <c r="P14" i="19"/>
  <c r="AM113" i="18"/>
  <c r="AN111" i="18"/>
  <c r="AN114" i="18"/>
  <c r="AM57" i="18"/>
  <c r="P61" i="18"/>
  <c r="P67" i="18"/>
  <c r="AN113" i="18"/>
  <c r="AO111" i="18"/>
  <c r="AO114" i="18"/>
  <c r="AN57" i="18"/>
  <c r="AO113" i="18"/>
  <c r="AP111" i="18"/>
  <c r="AP114" i="18"/>
  <c r="AO57" i="18"/>
  <c r="AP113" i="18"/>
  <c r="AQ111" i="18"/>
  <c r="AQ114" i="18"/>
  <c r="AP57" i="18"/>
  <c r="Q58" i="18"/>
  <c r="Q59" i="18"/>
  <c r="AQ113" i="18"/>
  <c r="AQ57" i="18"/>
  <c r="AR111" i="18"/>
  <c r="AR114" i="18"/>
  <c r="AR113" i="18"/>
  <c r="AR57" i="18"/>
  <c r="AS111" i="18"/>
  <c r="AS114" i="18"/>
  <c r="Q12" i="19"/>
  <c r="Q20" i="19"/>
  <c r="Q65" i="18"/>
  <c r="AS113" i="18"/>
  <c r="AS57" i="18"/>
  <c r="AT111" i="18"/>
  <c r="AT114" i="18"/>
  <c r="Q13" i="19"/>
  <c r="Q14" i="19"/>
  <c r="AT113" i="18"/>
  <c r="AT57" i="18"/>
  <c r="AU111" i="18"/>
  <c r="AU114" i="18"/>
  <c r="Q21" i="19"/>
  <c r="AU113" i="18"/>
  <c r="AV111" i="18"/>
  <c r="AV114" i="18"/>
  <c r="AU57" i="18"/>
  <c r="Q61" i="18"/>
  <c r="Q67" i="18"/>
  <c r="AV113" i="18"/>
  <c r="AW111" i="18"/>
  <c r="AW114" i="18"/>
  <c r="AV57" i="18"/>
  <c r="AW113" i="18"/>
  <c r="AW57" i="18"/>
  <c r="AX111" i="18"/>
  <c r="AX114" i="18"/>
  <c r="AX113" i="18"/>
  <c r="AX57" i="18"/>
  <c r="AY111" i="18"/>
  <c r="AY114" i="18"/>
  <c r="R58" i="18"/>
  <c r="R59" i="18"/>
  <c r="R12" i="19"/>
  <c r="AY113" i="18"/>
  <c r="AY57" i="18"/>
  <c r="AZ111" i="18"/>
  <c r="AZ114" i="18"/>
  <c r="R65" i="18"/>
  <c r="AZ113" i="18"/>
  <c r="BA111" i="18"/>
  <c r="BA114" i="18"/>
  <c r="AZ57" i="18"/>
  <c r="R20" i="19"/>
  <c r="R13" i="19"/>
  <c r="R21" i="19"/>
  <c r="BA113" i="18"/>
  <c r="BA57" i="18"/>
  <c r="BB111" i="18"/>
  <c r="BB114" i="18"/>
  <c r="R14" i="19"/>
  <c r="R61" i="18"/>
  <c r="R67" i="18"/>
  <c r="BB113" i="18"/>
  <c r="BB57" i="18"/>
  <c r="BC111" i="18"/>
  <c r="BC114" i="18"/>
  <c r="BC113" i="18"/>
  <c r="BC57" i="18"/>
  <c r="BD111" i="18"/>
  <c r="BD114" i="18"/>
  <c r="BD113" i="18"/>
  <c r="BE111" i="18"/>
  <c r="BE114" i="18"/>
  <c r="BD57" i="18"/>
  <c r="S58" i="18"/>
  <c r="S59" i="18"/>
  <c r="BE113" i="18"/>
  <c r="BE57" i="18"/>
  <c r="BF111" i="18"/>
  <c r="BF114" i="18"/>
  <c r="S12" i="19"/>
  <c r="S61" i="18"/>
  <c r="S65" i="18"/>
  <c r="BF113" i="18"/>
  <c r="BG111" i="18"/>
  <c r="BG114" i="18"/>
  <c r="BF57" i="18"/>
  <c r="S20" i="19"/>
  <c r="S13" i="19"/>
  <c r="S21" i="19"/>
  <c r="S67" i="18"/>
  <c r="BG113" i="18"/>
  <c r="BG57" i="18"/>
  <c r="BH111" i="18"/>
  <c r="BH114" i="18"/>
  <c r="S14" i="19"/>
  <c r="BH113" i="18"/>
  <c r="BH57" i="18"/>
  <c r="BI111" i="18"/>
  <c r="BI114" i="18"/>
  <c r="BI113" i="18"/>
  <c r="BJ111" i="18"/>
  <c r="BJ114" i="18"/>
  <c r="BI57" i="18"/>
  <c r="BJ113" i="18"/>
  <c r="BJ57" i="18"/>
  <c r="BK111" i="18"/>
  <c r="BK114" i="18"/>
  <c r="T12" i="19"/>
  <c r="T61" i="18"/>
  <c r="T13" i="19"/>
  <c r="BK113" i="18"/>
  <c r="BL111" i="18"/>
  <c r="BL114" i="18"/>
  <c r="BK57" i="18"/>
  <c r="T20" i="19"/>
  <c r="T67" i="18"/>
  <c r="T21" i="19"/>
  <c r="BL113" i="18"/>
  <c r="BL57" i="18"/>
  <c r="BM111" i="18"/>
  <c r="BM114" i="18"/>
  <c r="T14" i="19"/>
  <c r="BM113" i="18"/>
  <c r="BM57" i="18"/>
  <c r="BN111" i="18"/>
  <c r="BN114" i="18"/>
  <c r="BN113" i="18"/>
  <c r="U58" i="18"/>
  <c r="U59" i="18"/>
  <c r="BN57" i="18"/>
  <c r="BO111" i="18"/>
  <c r="BO114" i="18"/>
  <c r="U65" i="18"/>
  <c r="U12" i="19"/>
  <c r="U20" i="19"/>
  <c r="BO113" i="18"/>
  <c r="BO57" i="18"/>
  <c r="BP111" i="18"/>
  <c r="BP114" i="18"/>
  <c r="BS49" i="18"/>
  <c r="U13" i="19"/>
  <c r="U21" i="19"/>
  <c r="U61" i="18"/>
  <c r="U67" i="18"/>
  <c r="BP113" i="18"/>
  <c r="BQ111" i="18"/>
  <c r="BQ114" i="18"/>
  <c r="BP57" i="18"/>
  <c r="U14" i="19"/>
  <c r="V58" i="18"/>
  <c r="V59" i="18"/>
  <c r="BQ113" i="18"/>
  <c r="BQ57" i="18"/>
  <c r="BR111" i="18"/>
  <c r="BR114" i="18"/>
  <c r="BR113" i="18"/>
  <c r="BR57" i="18"/>
  <c r="BS111" i="18"/>
  <c r="BS114" i="18"/>
  <c r="V65" i="18"/>
  <c r="V12" i="19"/>
  <c r="V20" i="19"/>
  <c r="BS113" i="18"/>
  <c r="BT111" i="18"/>
  <c r="BT114" i="18"/>
  <c r="BS57" i="18"/>
  <c r="V13" i="19"/>
  <c r="V21" i="19"/>
  <c r="V61" i="18"/>
  <c r="V67" i="18"/>
  <c r="BT113" i="18"/>
  <c r="BU111" i="18"/>
  <c r="BU114" i="18"/>
  <c r="BT57" i="18"/>
  <c r="V14" i="19"/>
  <c r="BU113" i="18"/>
  <c r="BV111" i="18"/>
  <c r="BV114" i="18"/>
  <c r="BU57" i="18"/>
  <c r="BV113" i="18"/>
  <c r="BW111" i="18"/>
  <c r="BW114" i="18"/>
  <c r="BV57" i="18"/>
  <c r="W58" i="18"/>
  <c r="W59" i="18"/>
  <c r="W65" i="18"/>
  <c r="W13" i="19"/>
  <c r="W12" i="19"/>
  <c r="W20" i="19"/>
  <c r="BW113" i="18"/>
  <c r="BW57" i="18"/>
  <c r="BX111" i="18"/>
  <c r="BX114" i="18"/>
  <c r="W61" i="18"/>
  <c r="W67" i="18"/>
  <c r="W14" i="19"/>
  <c r="W21" i="19"/>
  <c r="BX113" i="18"/>
  <c r="BX57" i="18"/>
  <c r="BY111" i="18"/>
  <c r="BY114" i="18"/>
  <c r="BY113" i="18"/>
  <c r="BZ111" i="18"/>
  <c r="BZ114" i="18"/>
  <c r="BY57" i="18"/>
  <c r="BZ113" i="18"/>
  <c r="BZ57" i="18"/>
  <c r="CA111" i="18"/>
  <c r="CA114" i="18"/>
  <c r="X24" i="17"/>
  <c r="CA113" i="18"/>
  <c r="CA57" i="18"/>
  <c r="CB111" i="18"/>
  <c r="CB114" i="18"/>
  <c r="CB113" i="18"/>
  <c r="CC111" i="18"/>
  <c r="CC114" i="18"/>
  <c r="CB57" i="18"/>
  <c r="CC113" i="18"/>
  <c r="CD111" i="18"/>
  <c r="CD114" i="18"/>
  <c r="CC57" i="18"/>
  <c r="CD113" i="18"/>
  <c r="CD57" i="18"/>
  <c r="CE111" i="18"/>
  <c r="CE114" i="18"/>
  <c r="X61" i="18"/>
  <c r="X12" i="19"/>
  <c r="CE113" i="18"/>
  <c r="CE57" i="18"/>
  <c r="CF111" i="18"/>
  <c r="CF114" i="18"/>
  <c r="X13" i="19"/>
  <c r="X21" i="19"/>
  <c r="X67" i="18"/>
  <c r="X20" i="19"/>
  <c r="CF113" i="18"/>
  <c r="CG111" i="18"/>
  <c r="CG114" i="18"/>
  <c r="CF57" i="18"/>
  <c r="X14" i="19"/>
  <c r="Y24" i="17"/>
  <c r="CG113" i="18"/>
  <c r="CG57" i="18"/>
  <c r="CH111" i="18"/>
  <c r="CH114" i="18"/>
  <c r="CH113" i="18"/>
  <c r="CI111" i="18"/>
  <c r="CI114" i="18"/>
  <c r="CH57" i="18"/>
  <c r="Y58" i="18"/>
  <c r="Y59" i="18"/>
  <c r="CI113" i="18"/>
  <c r="CI57" i="18"/>
  <c r="CJ111" i="18"/>
  <c r="CJ114" i="18"/>
  <c r="Y12" i="19"/>
  <c r="CJ113" i="18"/>
  <c r="CK111" i="18"/>
  <c r="CK114" i="18"/>
  <c r="CJ57" i="18"/>
  <c r="Y20" i="19"/>
  <c r="Y65" i="18"/>
  <c r="CK113" i="18"/>
  <c r="CK57" i="18"/>
  <c r="CL111" i="18"/>
  <c r="CL114" i="18"/>
  <c r="Y13" i="19"/>
  <c r="Y21" i="19"/>
  <c r="Y61" i="18"/>
  <c r="Y67" i="18"/>
  <c r="CL113" i="18"/>
  <c r="CM111" i="18"/>
  <c r="CM114" i="18"/>
  <c r="CL57" i="18"/>
  <c r="Y14" i="19"/>
  <c r="Z24" i="17"/>
  <c r="CM113" i="18"/>
  <c r="CM57" i="18"/>
  <c r="J108" i="18"/>
  <c r="CN111" i="18"/>
  <c r="CN114" i="18"/>
  <c r="J114" i="18"/>
  <c r="Z58" i="18"/>
  <c r="Z59" i="18"/>
  <c r="CN113" i="18"/>
  <c r="J113" i="18"/>
  <c r="CN57" i="18"/>
  <c r="Z61" i="18"/>
  <c r="Z12" i="19"/>
  <c r="Z20" i="19"/>
  <c r="Z65" i="18"/>
  <c r="Z13" i="19"/>
  <c r="Z21" i="19"/>
  <c r="Z67" i="18"/>
  <c r="AA24" i="17"/>
  <c r="Z14" i="19"/>
  <c r="AA58" i="18"/>
  <c r="AA59" i="18"/>
  <c r="AA12" i="19"/>
  <c r="AA65" i="18"/>
  <c r="AA20" i="19"/>
  <c r="AA61" i="18"/>
  <c r="AA13" i="19"/>
  <c r="AA21" i="19"/>
  <c r="AA67" i="18"/>
  <c r="AA14" i="19"/>
  <c r="AB24" i="17"/>
  <c r="AB12" i="19"/>
  <c r="AB13" i="19"/>
  <c r="AB21" i="19"/>
  <c r="AB61" i="18"/>
  <c r="AB67" i="18"/>
  <c r="AB20" i="19"/>
  <c r="AB14" i="19"/>
  <c r="AC24" i="17"/>
  <c r="AC58" i="18"/>
  <c r="AC59" i="18"/>
  <c r="AC65" i="18"/>
  <c r="AC12" i="19"/>
  <c r="AC13" i="19"/>
  <c r="AC21" i="19"/>
  <c r="AC61" i="18"/>
  <c r="AC67" i="18"/>
  <c r="AC20" i="19"/>
  <c r="AC14" i="19"/>
  <c r="AD24" i="17"/>
  <c r="AD58" i="18"/>
  <c r="AD59" i="18"/>
  <c r="AD61" i="18"/>
  <c r="AD65" i="18"/>
  <c r="AD12" i="19"/>
  <c r="AD13" i="19"/>
  <c r="AD21" i="19"/>
  <c r="AD67" i="18"/>
  <c r="AD20" i="19"/>
  <c r="AD14" i="19"/>
  <c r="AE24" i="17"/>
  <c r="AE58" i="18"/>
  <c r="AE59" i="18"/>
  <c r="AE65" i="18"/>
  <c r="AE12" i="19"/>
  <c r="AE13" i="19"/>
  <c r="AE21" i="19"/>
  <c r="AE61" i="18"/>
  <c r="AE67" i="18"/>
  <c r="AE20" i="19"/>
  <c r="AE14" i="19"/>
  <c r="AF24" i="17"/>
  <c r="AF61" i="18"/>
  <c r="AF12" i="19"/>
  <c r="AF20" i="19"/>
  <c r="AF13" i="19"/>
  <c r="AF21" i="19"/>
  <c r="AF67" i="18"/>
  <c r="AG24" i="17"/>
  <c r="AF14" i="19"/>
  <c r="AG58" i="18"/>
  <c r="AG59" i="18"/>
  <c r="AG37" i="18"/>
  <c r="AG38" i="18"/>
  <c r="AG64" i="18"/>
  <c r="AG12" i="19"/>
  <c r="AG65" i="18"/>
  <c r="AG61" i="18"/>
  <c r="AG20" i="19"/>
  <c r="AG13" i="19"/>
  <c r="AG21" i="19"/>
  <c r="AG67" i="18"/>
  <c r="AH24" i="17"/>
  <c r="AG14" i="19"/>
  <c r="AH58" i="18"/>
  <c r="AH59" i="18"/>
  <c r="AH61" i="18"/>
  <c r="AH12" i="19"/>
  <c r="AH37" i="18"/>
  <c r="AH38" i="18"/>
  <c r="AH64" i="18"/>
  <c r="AH65" i="18"/>
  <c r="AH13" i="19"/>
  <c r="AH21" i="19"/>
  <c r="AH67" i="18"/>
  <c r="AH20" i="19"/>
  <c r="AH14" i="19"/>
  <c r="AI24" i="17"/>
  <c r="AI58" i="18"/>
  <c r="AI59" i="18"/>
  <c r="AI37" i="18"/>
  <c r="AI38" i="18"/>
  <c r="AI64" i="18"/>
  <c r="AI65" i="18"/>
  <c r="AI12" i="19"/>
  <c r="AI13" i="19"/>
  <c r="AI21" i="19"/>
  <c r="AI61" i="18"/>
  <c r="AI67" i="18"/>
  <c r="AI20" i="19"/>
  <c r="AI14" i="19"/>
  <c r="AJ24" i="17"/>
  <c r="AJ58" i="18"/>
  <c r="AJ59" i="18"/>
  <c r="AJ12" i="19"/>
  <c r="AJ37" i="18"/>
  <c r="AJ38" i="18"/>
  <c r="AJ64" i="18"/>
  <c r="AJ65" i="18"/>
  <c r="AJ13" i="19"/>
  <c r="AJ21" i="19"/>
  <c r="AJ20" i="19"/>
  <c r="AJ61" i="18"/>
  <c r="AJ67" i="18"/>
  <c r="AJ14" i="19"/>
  <c r="AK24" i="17"/>
  <c r="AK58" i="18"/>
  <c r="AK59" i="18"/>
  <c r="AK37" i="18"/>
  <c r="AK38" i="18"/>
  <c r="AK64" i="18"/>
  <c r="AK65" i="18"/>
  <c r="AK12" i="19"/>
  <c r="AK13" i="19"/>
  <c r="AK21" i="19"/>
  <c r="AK20" i="19"/>
  <c r="AK61" i="18"/>
  <c r="AK67" i="18"/>
  <c r="AK14" i="19"/>
  <c r="AL24" i="17"/>
  <c r="AL58" i="18"/>
  <c r="AL59" i="18"/>
  <c r="AL37" i="18"/>
  <c r="AL38" i="18"/>
  <c r="AL64" i="18"/>
  <c r="AL65" i="18"/>
  <c r="AL12" i="19"/>
  <c r="AL13" i="19"/>
  <c r="AL21" i="19"/>
  <c r="AL20" i="19"/>
  <c r="AL61" i="18"/>
  <c r="AL67" i="18"/>
  <c r="AL14" i="19"/>
  <c r="AM24" i="17"/>
  <c r="AM58" i="18"/>
  <c r="AM59" i="18"/>
  <c r="AM61" i="18"/>
  <c r="AM12" i="19"/>
  <c r="AM37" i="18"/>
  <c r="AM38" i="18"/>
  <c r="AM64" i="18"/>
  <c r="AM65" i="18"/>
  <c r="AM20" i="19"/>
  <c r="AM13" i="19"/>
  <c r="AM21" i="19"/>
  <c r="AN24" i="17"/>
  <c r="AM67" i="18"/>
  <c r="AM14" i="19"/>
  <c r="AN58" i="18"/>
  <c r="AN59" i="18"/>
  <c r="AN61" i="18"/>
  <c r="AN12" i="19"/>
  <c r="AN37" i="18"/>
  <c r="AN38" i="18"/>
  <c r="AN64" i="18"/>
  <c r="AN65" i="18"/>
  <c r="AN13" i="19"/>
  <c r="AN21" i="19"/>
  <c r="AO24" i="17"/>
  <c r="AN67" i="18"/>
  <c r="AN20" i="19"/>
  <c r="AN14" i="19"/>
  <c r="AO58" i="18"/>
  <c r="AO59" i="18"/>
  <c r="AO37" i="18"/>
  <c r="AO38" i="18"/>
  <c r="AO64" i="18"/>
  <c r="AO65" i="18"/>
  <c r="AO12" i="19"/>
  <c r="AO13" i="19"/>
  <c r="AO21" i="19"/>
  <c r="AO20" i="19"/>
  <c r="AO14" i="19"/>
  <c r="AP24" i="17"/>
  <c r="AO61" i="18"/>
  <c r="AO67" i="18"/>
  <c r="AP58" i="18"/>
  <c r="AP59" i="18"/>
  <c r="AP37" i="18"/>
  <c r="AP38" i="18"/>
  <c r="AP64" i="18"/>
  <c r="AP65" i="18"/>
  <c r="AP12" i="19"/>
  <c r="AP13" i="19"/>
  <c r="AP21" i="19"/>
  <c r="AP61" i="18"/>
  <c r="AP67" i="18"/>
  <c r="AP20" i="19"/>
  <c r="AP14" i="19"/>
  <c r="AQ24" i="17"/>
  <c r="AQ58" i="18"/>
  <c r="AQ59" i="18"/>
  <c r="AQ37" i="18"/>
  <c r="AQ38" i="18"/>
  <c r="AQ64" i="18"/>
  <c r="AQ65" i="18"/>
  <c r="AQ12" i="19"/>
  <c r="AQ13" i="19"/>
  <c r="AQ21" i="19"/>
  <c r="AQ61" i="18"/>
  <c r="AQ67" i="18"/>
  <c r="AQ20" i="19"/>
  <c r="AQ14" i="19"/>
  <c r="AR24" i="17"/>
  <c r="AR58" i="18"/>
  <c r="AR59" i="18"/>
  <c r="AR37" i="18"/>
  <c r="AR38" i="18"/>
  <c r="AR64" i="18"/>
  <c r="AR65" i="18"/>
  <c r="AR12" i="19"/>
  <c r="AR13" i="19"/>
  <c r="AR21" i="19"/>
  <c r="AR61" i="18"/>
  <c r="AR67" i="18"/>
  <c r="AR20" i="19"/>
  <c r="AR14" i="19"/>
  <c r="AS24" i="17"/>
  <c r="AS58" i="18"/>
  <c r="AS59" i="18"/>
  <c r="AS61" i="18"/>
  <c r="AS12" i="19"/>
  <c r="AS37" i="18"/>
  <c r="AS38" i="18"/>
  <c r="AS64" i="18"/>
  <c r="AS65" i="18"/>
  <c r="AS13" i="19"/>
  <c r="AS21" i="19"/>
  <c r="AS20" i="19"/>
  <c r="AS67" i="18"/>
  <c r="AS14" i="19"/>
  <c r="AT24" i="17"/>
  <c r="AT58" i="18"/>
  <c r="AT59" i="18"/>
  <c r="AT37" i="18"/>
  <c r="AT38" i="18"/>
  <c r="AT64" i="18"/>
  <c r="AT65" i="18"/>
  <c r="AT12" i="19"/>
  <c r="AT13" i="19"/>
  <c r="AT21" i="19"/>
  <c r="AT61" i="18"/>
  <c r="AT67" i="18"/>
  <c r="AT20" i="19"/>
  <c r="AT14" i="19"/>
  <c r="AU24" i="17"/>
  <c r="AU58" i="18"/>
  <c r="AU59" i="18"/>
  <c r="AU61" i="18"/>
  <c r="AU12" i="19"/>
  <c r="AU37" i="18"/>
  <c r="AU38" i="18"/>
  <c r="AU64" i="18"/>
  <c r="AU65" i="18"/>
  <c r="AU13" i="19"/>
  <c r="AU21" i="19"/>
  <c r="AU20" i="19"/>
  <c r="AU67" i="18"/>
  <c r="AU14" i="19"/>
  <c r="AV24" i="17"/>
  <c r="AV58" i="18"/>
  <c r="AV59" i="18"/>
  <c r="AV61" i="18"/>
  <c r="AV37" i="18"/>
  <c r="AV38" i="18"/>
  <c r="AV64" i="18"/>
  <c r="AV65" i="18"/>
  <c r="AV12" i="19"/>
  <c r="AV13" i="19"/>
  <c r="AV21" i="19"/>
  <c r="AV67" i="18"/>
  <c r="AV20" i="19"/>
  <c r="AW24" i="17"/>
  <c r="AV14" i="19"/>
  <c r="AW58" i="18"/>
  <c r="AW59" i="18"/>
  <c r="AW12" i="19"/>
  <c r="AW37" i="18"/>
  <c r="AW38" i="18"/>
  <c r="AW64" i="18"/>
  <c r="AW65" i="18"/>
  <c r="AW13" i="19"/>
  <c r="AW21" i="19"/>
  <c r="AW20" i="19"/>
  <c r="AW61" i="18"/>
  <c r="AW67" i="18"/>
  <c r="AW14" i="19"/>
  <c r="AX24" i="17"/>
  <c r="AX58" i="18"/>
  <c r="AX59" i="18"/>
  <c r="AX61" i="18"/>
  <c r="AX37" i="18"/>
  <c r="AX38" i="18"/>
  <c r="AX64" i="18"/>
  <c r="AX65" i="18"/>
  <c r="AX12" i="19"/>
  <c r="AX13" i="19"/>
  <c r="AX21" i="19"/>
  <c r="AX67" i="18"/>
  <c r="AX20" i="19"/>
  <c r="AX14" i="19"/>
  <c r="AY24" i="17"/>
  <c r="AY58" i="18"/>
  <c r="AY59" i="18"/>
  <c r="AY37" i="18"/>
  <c r="AY38" i="18"/>
  <c r="AY64" i="18"/>
  <c r="AY65" i="18"/>
  <c r="AY12" i="19"/>
  <c r="AY13" i="19"/>
  <c r="AY21" i="19"/>
  <c r="AY61" i="18"/>
  <c r="AY67" i="18"/>
  <c r="AY20" i="19"/>
  <c r="AY14" i="19"/>
  <c r="AZ24" i="17"/>
  <c r="AZ58" i="18"/>
  <c r="AZ59" i="18"/>
  <c r="AZ37" i="18"/>
  <c r="AZ38" i="18"/>
  <c r="AZ64" i="18"/>
  <c r="AZ65" i="18"/>
  <c r="AZ12" i="19"/>
  <c r="AZ13" i="19"/>
  <c r="AZ21" i="19"/>
  <c r="AZ61" i="18"/>
  <c r="AZ67" i="18"/>
  <c r="AZ20" i="19"/>
  <c r="AZ14" i="19"/>
  <c r="BA24" i="17"/>
  <c r="BA12" i="19"/>
  <c r="BA37" i="18"/>
  <c r="BA38" i="18"/>
  <c r="BA64" i="18"/>
  <c r="BA65" i="18"/>
  <c r="BA58" i="18"/>
  <c r="BA59" i="18"/>
  <c r="BA13" i="19"/>
  <c r="BA21" i="19"/>
  <c r="BA20" i="19"/>
  <c r="BA61" i="18"/>
  <c r="BA67" i="18"/>
  <c r="BA14" i="19"/>
  <c r="BB24" i="17"/>
  <c r="BB58" i="18"/>
  <c r="BB59" i="18"/>
  <c r="BB61" i="18"/>
  <c r="BB37" i="18"/>
  <c r="BB38" i="18"/>
  <c r="BB64" i="18"/>
  <c r="BB65" i="18"/>
  <c r="BB12" i="19"/>
  <c r="BB13" i="19"/>
  <c r="BB21" i="19"/>
  <c r="BB67" i="18"/>
  <c r="BB20" i="19"/>
  <c r="BB14" i="19"/>
  <c r="BC24" i="17"/>
  <c r="BC58" i="18"/>
  <c r="BC59" i="18"/>
  <c r="BC37" i="18"/>
  <c r="BC38" i="18"/>
  <c r="BC64" i="18"/>
  <c r="BC65" i="18"/>
  <c r="BC12" i="19"/>
  <c r="BC13" i="19"/>
  <c r="BC21" i="19"/>
  <c r="BC61" i="18"/>
  <c r="BC67" i="18"/>
  <c r="BC20" i="19"/>
  <c r="BC14" i="19"/>
  <c r="BD24" i="17"/>
  <c r="BD58" i="18"/>
  <c r="BD59" i="18"/>
  <c r="BD12" i="19"/>
  <c r="BD37" i="18"/>
  <c r="BD38" i="18"/>
  <c r="BD64" i="18"/>
  <c r="BD65" i="18"/>
  <c r="BD13" i="19"/>
  <c r="BD21" i="19"/>
  <c r="BD20" i="19"/>
  <c r="BD61" i="18"/>
  <c r="BD67" i="18"/>
  <c r="BD14" i="19"/>
  <c r="BE24" i="17"/>
  <c r="BE58" i="18"/>
  <c r="BE59" i="18"/>
  <c r="BE12" i="19"/>
  <c r="BE37" i="18"/>
  <c r="BE38" i="18"/>
  <c r="BE64" i="18"/>
  <c r="BE65" i="18"/>
  <c r="BE13" i="19"/>
  <c r="BE21" i="19"/>
  <c r="BE61" i="18"/>
  <c r="BE67" i="18"/>
  <c r="BE20" i="19"/>
  <c r="BE14" i="19"/>
  <c r="BF24" i="17"/>
  <c r="BF37" i="18"/>
  <c r="BF38" i="18"/>
  <c r="BF64" i="18"/>
  <c r="BF65" i="18"/>
  <c r="BF12" i="19"/>
  <c r="BF58" i="18"/>
  <c r="BF59" i="18"/>
  <c r="BF13" i="19"/>
  <c r="BF21" i="19"/>
  <c r="BF61" i="18"/>
  <c r="BF67" i="18"/>
  <c r="BF20" i="19"/>
  <c r="BF14" i="19"/>
  <c r="BG24" i="17"/>
  <c r="BG58" i="18"/>
  <c r="BG59" i="18"/>
  <c r="BG61" i="18"/>
  <c r="BG12" i="19"/>
  <c r="BG37" i="18"/>
  <c r="BG38" i="18"/>
  <c r="BG64" i="18"/>
  <c r="BG65" i="18"/>
  <c r="BG13" i="19"/>
  <c r="BG14" i="19"/>
  <c r="BG20" i="19"/>
  <c r="BG67" i="18"/>
  <c r="BG21" i="19"/>
  <c r="BH24" i="17"/>
  <c r="BH58" i="18"/>
  <c r="BH59" i="18"/>
  <c r="BH37" i="18"/>
  <c r="BH38" i="18"/>
  <c r="BH64" i="18"/>
  <c r="BH65" i="18"/>
  <c r="BH12" i="19"/>
  <c r="BH13" i="19"/>
  <c r="BH21" i="19"/>
  <c r="BH61" i="18"/>
  <c r="BH67" i="18"/>
  <c r="BH20" i="19"/>
  <c r="BH14" i="19"/>
  <c r="BI24" i="17"/>
  <c r="BI58" i="18"/>
  <c r="BI59" i="18"/>
  <c r="BI37" i="18"/>
  <c r="BI38" i="18"/>
  <c r="BI64" i="18"/>
  <c r="BI65" i="18"/>
  <c r="BI12" i="19"/>
  <c r="BI13" i="19"/>
  <c r="BI21" i="19"/>
  <c r="BI61" i="18"/>
  <c r="BI67" i="18"/>
  <c r="BI20" i="19"/>
  <c r="BI14" i="19"/>
  <c r="BJ24" i="17"/>
  <c r="BJ58" i="18"/>
  <c r="BJ59" i="18"/>
  <c r="BJ12" i="19"/>
  <c r="BJ37" i="18"/>
  <c r="BJ38" i="18"/>
  <c r="BJ64" i="18"/>
  <c r="BJ65" i="18"/>
  <c r="BJ13" i="19"/>
  <c r="BJ21" i="19"/>
  <c r="BJ61" i="18"/>
  <c r="BJ67" i="18"/>
  <c r="BJ20" i="19"/>
  <c r="BJ14" i="19"/>
  <c r="BK24" i="17"/>
  <c r="BK12" i="19"/>
  <c r="BK37" i="18"/>
  <c r="BK38" i="18"/>
  <c r="BK64" i="18"/>
  <c r="BK65" i="18"/>
  <c r="BK58" i="18"/>
  <c r="BK59" i="18"/>
  <c r="BK13" i="19"/>
  <c r="BK21" i="19"/>
  <c r="BK20" i="19"/>
  <c r="BK61" i="18"/>
  <c r="BK67" i="18"/>
  <c r="BK14" i="19"/>
  <c r="BL24" i="17"/>
  <c r="BL58" i="18"/>
  <c r="BL59" i="18"/>
  <c r="BL37" i="18"/>
  <c r="BL38" i="18"/>
  <c r="BL64" i="18"/>
  <c r="BL65" i="18"/>
  <c r="BL12" i="19"/>
  <c r="BL13" i="19"/>
  <c r="BL21" i="19"/>
  <c r="BL61" i="18"/>
  <c r="BL67" i="18"/>
  <c r="BL20" i="19"/>
  <c r="BL14" i="19"/>
  <c r="BM24" i="17"/>
  <c r="BM58" i="18"/>
  <c r="BM59" i="18"/>
  <c r="BM37" i="18"/>
  <c r="BM38" i="18"/>
  <c r="BM64" i="18"/>
  <c r="BM65" i="18"/>
  <c r="BM12" i="19"/>
  <c r="BM13" i="19"/>
  <c r="BM21" i="19"/>
  <c r="BM61" i="18"/>
  <c r="BM67" i="18"/>
  <c r="BM20" i="19"/>
  <c r="BM14" i="19"/>
  <c r="BN24" i="17"/>
  <c r="BN58" i="18"/>
  <c r="BN59" i="18"/>
  <c r="BN61" i="18"/>
  <c r="BN37" i="18"/>
  <c r="BN38" i="18"/>
  <c r="BN64" i="18"/>
  <c r="BN65" i="18"/>
  <c r="BN12" i="19"/>
  <c r="BN13" i="19"/>
  <c r="BN21" i="19"/>
  <c r="BN67" i="18"/>
  <c r="BN20" i="19"/>
  <c r="BN14" i="19"/>
  <c r="BO24" i="17"/>
  <c r="BO58" i="18"/>
  <c r="BO59" i="18"/>
  <c r="BO37" i="18"/>
  <c r="BO38" i="18"/>
  <c r="BO64" i="18"/>
  <c r="BO65" i="18"/>
  <c r="BO12" i="19"/>
  <c r="BO13" i="19"/>
  <c r="BO21" i="19"/>
  <c r="BO61" i="18"/>
  <c r="BO67" i="18"/>
  <c r="BO20" i="19"/>
  <c r="BO14" i="19"/>
  <c r="BP24" i="17"/>
  <c r="BP37" i="18"/>
  <c r="BP38" i="18"/>
  <c r="BP64" i="18"/>
  <c r="BP65" i="18"/>
  <c r="BP12" i="19"/>
  <c r="BP58" i="18"/>
  <c r="BP59" i="18"/>
  <c r="BP13" i="19"/>
  <c r="BP21" i="19"/>
  <c r="BP20" i="19"/>
  <c r="BP61" i="18"/>
  <c r="BP67" i="18"/>
  <c r="BP14" i="19"/>
  <c r="BQ24" i="17"/>
  <c r="BQ58" i="18"/>
  <c r="BQ59" i="18"/>
  <c r="BQ37" i="18"/>
  <c r="BQ38" i="18"/>
  <c r="BQ64" i="18"/>
  <c r="BQ65" i="18"/>
  <c r="BQ12" i="19"/>
  <c r="BQ13" i="19"/>
  <c r="BQ21" i="19"/>
  <c r="BQ61" i="18"/>
  <c r="BQ67" i="18"/>
  <c r="BQ20" i="19"/>
  <c r="BQ14" i="19"/>
  <c r="BR24" i="17"/>
  <c r="BR58" i="18"/>
  <c r="BR59" i="18"/>
  <c r="BR61" i="18"/>
  <c r="BR12" i="19"/>
  <c r="BR37" i="18"/>
  <c r="BR38" i="18"/>
  <c r="BR64" i="18"/>
  <c r="BR65" i="18"/>
  <c r="BR13" i="19"/>
  <c r="BR21" i="19"/>
  <c r="BR20" i="19"/>
  <c r="BR67" i="18"/>
  <c r="BR14" i="19"/>
  <c r="BS24" i="17"/>
  <c r="BS12" i="19"/>
  <c r="BS37" i="18"/>
  <c r="BS38" i="18"/>
  <c r="BS64" i="18"/>
  <c r="BS65" i="18"/>
  <c r="BS58" i="18"/>
  <c r="BS59" i="18"/>
  <c r="BS13" i="19"/>
  <c r="BS21" i="19"/>
  <c r="BS61" i="18"/>
  <c r="BS67" i="18"/>
  <c r="BS20" i="19"/>
  <c r="BS14" i="19"/>
  <c r="BT24" i="17"/>
  <c r="BT58" i="18"/>
  <c r="BT37" i="18"/>
  <c r="BT12" i="19"/>
  <c r="BT20" i="19"/>
  <c r="BT38" i="18"/>
  <c r="BT64" i="18"/>
  <c r="BT65" i="18"/>
  <c r="BT13" i="19"/>
  <c r="BU58" i="18"/>
  <c r="BT59" i="18"/>
  <c r="BU24" i="17"/>
  <c r="BT61" i="18"/>
  <c r="BT67" i="18"/>
  <c r="BT21" i="19"/>
  <c r="BT14" i="19"/>
  <c r="BU12" i="19"/>
  <c r="BU37" i="18"/>
  <c r="BU38" i="18"/>
  <c r="BU59" i="18"/>
  <c r="BU20" i="19"/>
  <c r="BV58" i="18"/>
  <c r="BU64" i="18"/>
  <c r="BU65" i="18"/>
  <c r="BU13" i="19"/>
  <c r="BU61" i="18"/>
  <c r="BU67" i="18"/>
  <c r="BU21" i="19"/>
  <c r="BU14" i="19"/>
  <c r="BV24" i="17"/>
  <c r="BV12" i="19"/>
  <c r="BV37" i="18"/>
  <c r="BV38" i="18"/>
  <c r="BV20" i="19"/>
  <c r="BV59" i="18"/>
  <c r="BV61" i="18"/>
  <c r="BV64" i="18"/>
  <c r="BV65" i="18"/>
  <c r="BV13" i="19"/>
  <c r="BW58" i="18"/>
  <c r="BV67" i="18"/>
  <c r="BV21" i="19"/>
  <c r="BV14" i="19"/>
  <c r="BW24" i="17"/>
  <c r="BW37" i="18"/>
  <c r="BW12" i="19"/>
  <c r="BW20" i="19"/>
  <c r="BW38" i="18"/>
  <c r="BX58" i="18"/>
  <c r="BW59" i="18"/>
  <c r="BW64" i="18"/>
  <c r="BW65" i="18"/>
  <c r="BW13" i="19"/>
  <c r="BW61" i="18"/>
  <c r="BW67" i="18"/>
  <c r="BW21" i="19"/>
  <c r="BW14" i="19"/>
  <c r="BX24" i="17"/>
  <c r="BY58" i="18"/>
  <c r="BY59" i="18"/>
  <c r="BX37" i="18"/>
  <c r="BX12" i="19"/>
  <c r="BX20" i="19"/>
  <c r="BX59" i="18"/>
  <c r="BX38" i="18"/>
  <c r="BX61" i="18"/>
  <c r="BX64" i="18"/>
  <c r="BX65" i="18"/>
  <c r="BX13" i="19"/>
  <c r="BX21" i="19"/>
  <c r="BX14" i="19"/>
  <c r="BX67" i="18"/>
  <c r="BY24" i="17"/>
  <c r="BZ58" i="18"/>
  <c r="BZ59" i="18"/>
  <c r="BY61" i="18"/>
  <c r="BY37" i="18"/>
  <c r="BY38" i="18"/>
  <c r="BY64" i="18"/>
  <c r="BY65" i="18"/>
  <c r="BY12" i="19"/>
  <c r="BY13" i="19"/>
  <c r="BY21" i="19"/>
  <c r="BY67" i="18"/>
  <c r="BZ24" i="17"/>
  <c r="BY20" i="19"/>
  <c r="BY14" i="19"/>
  <c r="CA58" i="18"/>
  <c r="CA59" i="18"/>
  <c r="BZ61" i="18"/>
  <c r="BZ12" i="19"/>
  <c r="BZ37" i="18"/>
  <c r="BZ38" i="18"/>
  <c r="BZ64" i="18"/>
  <c r="BZ65" i="18"/>
  <c r="BZ13" i="19"/>
  <c r="BZ21" i="19"/>
  <c r="BZ20" i="19"/>
  <c r="BZ67" i="18"/>
  <c r="CA24" i="17"/>
  <c r="BZ14" i="19"/>
  <c r="CB58" i="18"/>
  <c r="CA61" i="18"/>
  <c r="CA37" i="18"/>
  <c r="CA38" i="18"/>
  <c r="CA64" i="18"/>
  <c r="CA65" i="18"/>
  <c r="CA12" i="19"/>
  <c r="CA13" i="19"/>
  <c r="CA21" i="19"/>
  <c r="CB59" i="18"/>
  <c r="CA67" i="18"/>
  <c r="CA20" i="19"/>
  <c r="CB24" i="17"/>
  <c r="CA14" i="19"/>
  <c r="CB61" i="18"/>
  <c r="CB37" i="18"/>
  <c r="CB38" i="18"/>
  <c r="CB64" i="18"/>
  <c r="CB65" i="18"/>
  <c r="CB12" i="19"/>
  <c r="CB13" i="19"/>
  <c r="CB21" i="19"/>
  <c r="CC58" i="18"/>
  <c r="CC59" i="18"/>
  <c r="CB67" i="18"/>
  <c r="CB20" i="19"/>
  <c r="CC24" i="17"/>
  <c r="CB14" i="19"/>
  <c r="CC37" i="18"/>
  <c r="CC38" i="18"/>
  <c r="CC64" i="18"/>
  <c r="CC65" i="18"/>
  <c r="CC12" i="19"/>
  <c r="CC13" i="19"/>
  <c r="CC21" i="19"/>
  <c r="CD58" i="18"/>
  <c r="CC61" i="18"/>
  <c r="CC67" i="18"/>
  <c r="CC20" i="19"/>
  <c r="CC14" i="19"/>
  <c r="CD59" i="18"/>
  <c r="CD24" i="17"/>
  <c r="CD61" i="18"/>
  <c r="CD12" i="19"/>
  <c r="CD37" i="18"/>
  <c r="CD38" i="18"/>
  <c r="CD64" i="18"/>
  <c r="CD65" i="18"/>
  <c r="CE58" i="18"/>
  <c r="CE59" i="18"/>
  <c r="CD13" i="19"/>
  <c r="CD21" i="19"/>
  <c r="CD67" i="18"/>
  <c r="CD20" i="19"/>
  <c r="CE24" i="17"/>
  <c r="CD14" i="19"/>
  <c r="CE61" i="18"/>
  <c r="CE37" i="18"/>
  <c r="CE38" i="18"/>
  <c r="CE64" i="18"/>
  <c r="CE65" i="18"/>
  <c r="CE12" i="19"/>
  <c r="CF24" i="17"/>
  <c r="CE13" i="19"/>
  <c r="CE21" i="19"/>
  <c r="CE67" i="18"/>
  <c r="CE20" i="19"/>
  <c r="CF58" i="18"/>
  <c r="CE14" i="19"/>
  <c r="CF59" i="18"/>
  <c r="CF37" i="18"/>
  <c r="CF38" i="18"/>
  <c r="CF64" i="18"/>
  <c r="CF65" i="18"/>
  <c r="CF12" i="19"/>
  <c r="CF61" i="18"/>
  <c r="CF67" i="18"/>
  <c r="CG24" i="17"/>
  <c r="CF13" i="19"/>
  <c r="CF21" i="19"/>
  <c r="CF20" i="19"/>
  <c r="CG37" i="18"/>
  <c r="CG38" i="18"/>
  <c r="CG64" i="18"/>
  <c r="CG65" i="18"/>
  <c r="CG58" i="18"/>
  <c r="CG59" i="18"/>
  <c r="CF14" i="19"/>
  <c r="CG12" i="19"/>
  <c r="CG20" i="19"/>
  <c r="CG13" i="19"/>
  <c r="CG21" i="19"/>
  <c r="CG61" i="18"/>
  <c r="CG67" i="18"/>
  <c r="CG14" i="19"/>
  <c r="CH24" i="17"/>
  <c r="CH58" i="18"/>
  <c r="CH59" i="18"/>
  <c r="CH61" i="18"/>
  <c r="CH12" i="19"/>
  <c r="CH20" i="19"/>
  <c r="CH37" i="18"/>
  <c r="CH38" i="18"/>
  <c r="CH64" i="18"/>
  <c r="CH65" i="18"/>
  <c r="CH13" i="19"/>
  <c r="CH21" i="19"/>
  <c r="CH67" i="18"/>
  <c r="CH14" i="19"/>
  <c r="CI58" i="18"/>
  <c r="CI59" i="18"/>
  <c r="CI24" i="17"/>
  <c r="CI61" i="18"/>
  <c r="CI12" i="19"/>
  <c r="CI20" i="19"/>
  <c r="CI37" i="18"/>
  <c r="CI38" i="18"/>
  <c r="CI64" i="18"/>
  <c r="CI65" i="18"/>
  <c r="CI13" i="19"/>
  <c r="CJ58" i="18"/>
  <c r="CJ24" i="17"/>
  <c r="CI14" i="19"/>
  <c r="CI21" i="19"/>
  <c r="CI67" i="18"/>
  <c r="CJ59" i="18"/>
  <c r="CJ61" i="18"/>
  <c r="CJ37" i="18"/>
  <c r="CJ38" i="18"/>
  <c r="CJ64" i="18"/>
  <c r="CJ65" i="18"/>
  <c r="CJ13" i="19"/>
  <c r="CJ21" i="19"/>
  <c r="CJ12" i="19"/>
  <c r="CJ67" i="18"/>
  <c r="CJ20" i="19"/>
  <c r="CJ14" i="19"/>
  <c r="CK58" i="18"/>
  <c r="CK59" i="18"/>
  <c r="CK24" i="17"/>
  <c r="CK37" i="18"/>
  <c r="CK38" i="18"/>
  <c r="CK64" i="18"/>
  <c r="CK65" i="18"/>
  <c r="CK13" i="19"/>
  <c r="CK21" i="19"/>
  <c r="CK12" i="19"/>
  <c r="CK61" i="18"/>
  <c r="CK67" i="18"/>
  <c r="CK20" i="19"/>
  <c r="CK14" i="19"/>
  <c r="CL24" i="17"/>
  <c r="CL58" i="18"/>
  <c r="CL59" i="18"/>
  <c r="CL61" i="18"/>
  <c r="CL37" i="18"/>
  <c r="CL38" i="18"/>
  <c r="CL64" i="18"/>
  <c r="CL65" i="18"/>
  <c r="CL13" i="19"/>
  <c r="CL21" i="19"/>
  <c r="CL12" i="19"/>
  <c r="CL67" i="18"/>
  <c r="CL20" i="19"/>
  <c r="CL14" i="19"/>
  <c r="CM24" i="17"/>
  <c r="J76" i="18"/>
  <c r="J77" i="18"/>
  <c r="CM58" i="18"/>
  <c r="CM59" i="18"/>
  <c r="CM37" i="18"/>
  <c r="CM38" i="18"/>
  <c r="CM64" i="18"/>
  <c r="CM65" i="18"/>
  <c r="CM13" i="19"/>
  <c r="CM21" i="19"/>
  <c r="CM12" i="19"/>
  <c r="CM20" i="19"/>
  <c r="CM61" i="18"/>
  <c r="CM67" i="18"/>
  <c r="CM14" i="19"/>
  <c r="J25" i="17"/>
  <c r="J21" i="17"/>
  <c r="J14" i="17"/>
  <c r="J80" i="18"/>
  <c r="J29" i="18"/>
  <c r="J79" i="18"/>
  <c r="J81" i="18"/>
  <c r="J83" i="18"/>
  <c r="J15" i="17"/>
  <c r="J16" i="17"/>
  <c r="CN16" i="17"/>
  <c r="CN58" i="18"/>
  <c r="CN24" i="17"/>
  <c r="J84" i="18"/>
  <c r="CN97" i="18"/>
  <c r="J31" i="18"/>
  <c r="J33" i="18"/>
  <c r="J35" i="18"/>
  <c r="J97" i="18"/>
  <c r="CN101" i="18"/>
  <c r="J91" i="18"/>
  <c r="J92" i="18"/>
  <c r="J101" i="18"/>
  <c r="CN103" i="18"/>
  <c r="J86" i="18"/>
  <c r="J87" i="18"/>
  <c r="CN12" i="19"/>
  <c r="CN20" i="19"/>
  <c r="CN37" i="18"/>
  <c r="J37" i="18"/>
  <c r="J103" i="18"/>
  <c r="CN56" i="18"/>
  <c r="CN59" i="18"/>
  <c r="CN38" i="18"/>
  <c r="J38" i="18"/>
  <c r="CN61" i="18"/>
  <c r="CN64" i="18"/>
  <c r="CN65" i="18"/>
  <c r="CN13" i="19"/>
  <c r="CN21" i="19"/>
  <c r="CN67" i="18"/>
  <c r="CN14" i="19"/>
  <c r="L16" i="19"/>
  <c r="AF19" i="19"/>
  <c r="AF22" i="19"/>
  <c r="AN19" i="19"/>
  <c r="AN22" i="19"/>
  <c r="AE19" i="19"/>
  <c r="AE22" i="19"/>
  <c r="BW19" i="19"/>
  <c r="BW22" i="19"/>
  <c r="AJ19" i="19"/>
  <c r="AJ22" i="19"/>
  <c r="M19" i="19"/>
  <c r="M22" i="19"/>
  <c r="AS19" i="19"/>
  <c r="AS22" i="19"/>
  <c r="BK19" i="19"/>
  <c r="BK22" i="19"/>
  <c r="BI19" i="19"/>
  <c r="BI22" i="19"/>
  <c r="BS19" i="19"/>
  <c r="BS22" i="19"/>
  <c r="AB19" i="19"/>
  <c r="AB22" i="19"/>
  <c r="AU19" i="19"/>
  <c r="AU22" i="19"/>
  <c r="AO19" i="19"/>
  <c r="AO22" i="19"/>
  <c r="CC19" i="19"/>
  <c r="CC22" i="19"/>
  <c r="Q19" i="19"/>
  <c r="Q22" i="19"/>
  <c r="AP19" i="19"/>
  <c r="AP22" i="19"/>
  <c r="BX19" i="19"/>
  <c r="BX22" i="19"/>
  <c r="BU19" i="19"/>
  <c r="BU22" i="19"/>
  <c r="W19" i="19"/>
  <c r="W22" i="19"/>
  <c r="BH19" i="19"/>
  <c r="BH22" i="19"/>
  <c r="CN19" i="19"/>
  <c r="CN22" i="19"/>
  <c r="CF19" i="19"/>
  <c r="CF22" i="19"/>
  <c r="CD19" i="19"/>
  <c r="CD22" i="19"/>
  <c r="AW19" i="19"/>
  <c r="AW22" i="19"/>
  <c r="BL19" i="19"/>
  <c r="BL22" i="19"/>
  <c r="N19" i="19"/>
  <c r="N22" i="19"/>
  <c r="BV19" i="19"/>
  <c r="BV22" i="19"/>
  <c r="BZ19" i="19"/>
  <c r="BZ22" i="19"/>
  <c r="S19" i="19"/>
  <c r="S22" i="19"/>
  <c r="AA19" i="19"/>
  <c r="AA22" i="19"/>
  <c r="AK19" i="19"/>
  <c r="AK22" i="19"/>
  <c r="L19" i="19"/>
  <c r="L22" i="19"/>
  <c r="CA19" i="19"/>
  <c r="CA22" i="19"/>
  <c r="BN19" i="19"/>
  <c r="BN22" i="19"/>
  <c r="CK19" i="19"/>
  <c r="CK22" i="19"/>
  <c r="BF19" i="19"/>
  <c r="BF22" i="19"/>
  <c r="Y19" i="19"/>
  <c r="Y22" i="19"/>
  <c r="CM19" i="19"/>
  <c r="CM22" i="19"/>
  <c r="AR19" i="19"/>
  <c r="AR22" i="19"/>
  <c r="AD19" i="19"/>
  <c r="AD22" i="19"/>
  <c r="AG19" i="19"/>
  <c r="AG22" i="19"/>
  <c r="BO19" i="19"/>
  <c r="BO22" i="19"/>
  <c r="BY19" i="19"/>
  <c r="BY22" i="19"/>
  <c r="V19" i="19"/>
  <c r="V22" i="19"/>
  <c r="AY19" i="19"/>
  <c r="AY22" i="19"/>
  <c r="X19" i="19"/>
  <c r="X22" i="19"/>
  <c r="AI19" i="19"/>
  <c r="AI22" i="19"/>
  <c r="R19" i="19"/>
  <c r="R22" i="19"/>
  <c r="AM19" i="19"/>
  <c r="AM22" i="19"/>
  <c r="T19" i="19"/>
  <c r="T22" i="19"/>
  <c r="CG19" i="19"/>
  <c r="CG22" i="19"/>
  <c r="AH19" i="19"/>
  <c r="AH22" i="19"/>
  <c r="BE19" i="19"/>
  <c r="BE22" i="19"/>
  <c r="CL19" i="19"/>
  <c r="CL22" i="19"/>
  <c r="BD19" i="19"/>
  <c r="BD22" i="19"/>
  <c r="BG19" i="19"/>
  <c r="BG22" i="19"/>
  <c r="AX19" i="19"/>
  <c r="AX22" i="19"/>
  <c r="O19" i="19"/>
  <c r="O22" i="19"/>
  <c r="U19" i="19"/>
  <c r="U22" i="19"/>
  <c r="BT19" i="19"/>
  <c r="BT22" i="19"/>
  <c r="BP19" i="19"/>
  <c r="BP22" i="19"/>
  <c r="P19" i="19"/>
  <c r="P22" i="19"/>
  <c r="BJ19" i="19"/>
  <c r="BJ22" i="19"/>
  <c r="CB19" i="19"/>
  <c r="CB22" i="19"/>
  <c r="CH19" i="19"/>
  <c r="CH22" i="19"/>
  <c r="BC19" i="19"/>
  <c r="BC22" i="19"/>
  <c r="BB19" i="19"/>
  <c r="BB22" i="19"/>
  <c r="CJ19" i="19"/>
  <c r="CJ22" i="19"/>
  <c r="AC19" i="19"/>
  <c r="AC22" i="19"/>
  <c r="AV19" i="19"/>
  <c r="AV22" i="19"/>
  <c r="BM19" i="19"/>
  <c r="BM22" i="19"/>
  <c r="AT19" i="19"/>
  <c r="AT22" i="19"/>
  <c r="CI19" i="19"/>
  <c r="CI22" i="19"/>
  <c r="BQ19" i="19"/>
  <c r="BQ22" i="19"/>
  <c r="Z19" i="19"/>
  <c r="Z22" i="19"/>
  <c r="AQ19" i="19"/>
  <c r="AQ22" i="19"/>
  <c r="BA19" i="19"/>
  <c r="BA22" i="19"/>
  <c r="CE19" i="19"/>
  <c r="CE22" i="19"/>
  <c r="AL19" i="19"/>
  <c r="AL22" i="19"/>
  <c r="BR19" i="19"/>
  <c r="BR22" i="19"/>
  <c r="AZ19" i="19"/>
  <c r="AZ22" i="19"/>
  <c r="L24" i="19"/>
  <c r="L25" i="19"/>
  <c r="L2" i="24" a="1"/>
  <c r="L2" i="24"/>
  <c r="L3" i="24" a="1"/>
  <c r="L3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<sst xmlns="http://schemas.openxmlformats.org/spreadsheetml/2006/main" count="858" uniqueCount="286">
  <si>
    <t>[date]</t>
  </si>
  <si>
    <t>[$n]</t>
  </si>
  <si>
    <t>Next Annual Escalation</t>
  </si>
  <si>
    <t>Variable Opex</t>
  </si>
  <si>
    <t>Fixed Opex</t>
  </si>
  <si>
    <t>Electricity</t>
  </si>
  <si>
    <t>General Maintenance</t>
  </si>
  <si>
    <t>Admin</t>
  </si>
  <si>
    <t>Other</t>
  </si>
  <si>
    <t>[$r]</t>
  </si>
  <si>
    <t>Longterm Capex</t>
  </si>
  <si>
    <t>Method</t>
  </si>
  <si>
    <t>SL</t>
  </si>
  <si>
    <t>Margin over LIBOR</t>
  </si>
  <si>
    <t>Quaterly Repayments</t>
  </si>
  <si>
    <t>Cash Sweep Cut Off</t>
  </si>
  <si>
    <t>[%]</t>
  </si>
  <si>
    <t>Cash at Bank</t>
  </si>
  <si>
    <t>Opening PP&amp;E</t>
  </si>
  <si>
    <t>Working Capital</t>
  </si>
  <si>
    <t>Debtors</t>
  </si>
  <si>
    <t>Creditors</t>
  </si>
  <si>
    <t>Tax Payable</t>
  </si>
  <si>
    <t>Opening Balance Sheet</t>
  </si>
  <si>
    <t>Current Assets</t>
  </si>
  <si>
    <t>Non Current Assets</t>
  </si>
  <si>
    <t>TOTAL ASSETS</t>
  </si>
  <si>
    <t>TOTAL LIABILITIES</t>
  </si>
  <si>
    <t>NET ASSETS</t>
  </si>
  <si>
    <t>Shareholder Equity</t>
  </si>
  <si>
    <t>TOTAL EQUITY</t>
  </si>
  <si>
    <t>Bikes</t>
  </si>
  <si>
    <t>Cars</t>
  </si>
  <si>
    <t>LCVs</t>
  </si>
  <si>
    <t>HCVs</t>
  </si>
  <si>
    <t>Qtrs between (inclusive):</t>
  </si>
  <si>
    <t>Start Date</t>
  </si>
  <si>
    <t>End Date</t>
  </si>
  <si>
    <t>Qtrl escalation</t>
  </si>
  <si>
    <t>[% p.q]</t>
  </si>
  <si>
    <t>thereafter</t>
  </si>
  <si>
    <t>Premium charged for all cash trips</t>
  </si>
  <si>
    <t>Toll rounding</t>
  </si>
  <si>
    <t>Tag trips</t>
  </si>
  <si>
    <t>cash trips</t>
  </si>
  <si>
    <t>round theoretical toll down to nearest cent</t>
  </si>
  <si>
    <t>round tag toll up to nearest ten cents</t>
  </si>
  <si>
    <t>Period Start</t>
  </si>
  <si>
    <t>Period End</t>
  </si>
  <si>
    <t>Units</t>
  </si>
  <si>
    <t>Sum</t>
  </si>
  <si>
    <t>ModelOff 2013 Finals</t>
  </si>
  <si>
    <t>Value</t>
  </si>
  <si>
    <t>Notes</t>
  </si>
  <si>
    <t>Assumptions</t>
  </si>
  <si>
    <t>General</t>
  </si>
  <si>
    <t>Traffic</t>
  </si>
  <si>
    <t>[trips]</t>
  </si>
  <si>
    <t>Model Periods per year</t>
  </si>
  <si>
    <t>[#]</t>
  </si>
  <si>
    <t>Tolling</t>
  </si>
  <si>
    <t>Theoretical Tolls at 1 Jan 2014</t>
  </si>
  <si>
    <t>Tolling Escalation per annum</t>
  </si>
  <si>
    <t>[info]</t>
  </si>
  <si>
    <t>CPI Escalation</t>
  </si>
  <si>
    <t>[% p.a.]</t>
  </si>
  <si>
    <t>[% p.a. effective]</t>
  </si>
  <si>
    <t>Per Trip Costs</t>
  </si>
  <si>
    <t>Opex per tag trip</t>
  </si>
  <si>
    <t>Opex per cash trip</t>
  </si>
  <si>
    <t>Proportion of tag trips where no toll is received</t>
  </si>
  <si>
    <t>Revenue Leakage</t>
  </si>
  <si>
    <t>[$r / qtr]</t>
  </si>
  <si>
    <t>Capital Expenditure</t>
  </si>
  <si>
    <t>Asset Class 1</t>
  </si>
  <si>
    <t>Asset Class 2</t>
  </si>
  <si>
    <t>Asset Class 3</t>
  </si>
  <si>
    <t>Asset Class 4</t>
  </si>
  <si>
    <t>Quarter ending:</t>
  </si>
  <si>
    <t>Capex by quarter</t>
  </si>
  <si>
    <t>Depreciation Assumptions</t>
  </si>
  <si>
    <t>[years, method]</t>
  </si>
  <si>
    <t>Tax Useful Life</t>
  </si>
  <si>
    <t>Accounting Useful Life</t>
  </si>
  <si>
    <t>DDB</t>
  </si>
  <si>
    <t>Financing Assumptions</t>
  </si>
  <si>
    <t>Each quarter thereafter</t>
  </si>
  <si>
    <t>Senior Facility</t>
  </si>
  <si>
    <t>LIBOR</t>
  </si>
  <si>
    <t>Forecast LIBOR</t>
  </si>
  <si>
    <t>Taxation Rate</t>
  </si>
  <si>
    <t>Minimum Cash at Bank Balance</t>
  </si>
  <si>
    <t>(for limiting distributions)</t>
  </si>
  <si>
    <t>Creditors (% of quarterly Opex)</t>
  </si>
  <si>
    <t>One quarter in arrears</t>
  </si>
  <si>
    <t>Depreciation of Opening PP&amp;E</t>
  </si>
  <si>
    <t>Accounting Depreciation in period</t>
  </si>
  <si>
    <t>Tax Depreciation in period</t>
  </si>
  <si>
    <t>Opening PP&amp;E Balance (Tax)</t>
  </si>
  <si>
    <t>Opening PP&amp;E Balance (Accounting)</t>
  </si>
  <si>
    <t>see balance sheet</t>
  </si>
  <si>
    <t>End Sheet</t>
  </si>
  <si>
    <t>Add a table of contents that links to the sub levels, for the workbook we give them to build a dashboard from.</t>
  </si>
  <si>
    <t>That will make it a little easier for them to navigate around it.</t>
  </si>
  <si>
    <t>Total</t>
  </si>
  <si>
    <t>[$n / trip]</t>
  </si>
  <si>
    <t>Section Header</t>
  </si>
  <si>
    <t>Concession End Date</t>
  </si>
  <si>
    <t>(For reference)</t>
  </si>
  <si>
    <t>Case Study</t>
  </si>
  <si>
    <t>Paragraph #</t>
  </si>
  <si>
    <t>All qtrs thereafter up to and including:</t>
  </si>
  <si>
    <t>Formatting Legend</t>
  </si>
  <si>
    <t>User Variable Assumption</t>
  </si>
  <si>
    <t>Fixed Assumption</t>
  </si>
  <si>
    <t>Date cell</t>
  </si>
  <si>
    <t>Standard calculation (+'ve)</t>
  </si>
  <si>
    <t>Standard calculation (zero)</t>
  </si>
  <si>
    <t>Standard calculation (-'ve)</t>
  </si>
  <si>
    <t>Unique formula in row</t>
  </si>
  <si>
    <t>Units labelling</t>
  </si>
  <si>
    <t>Bold Total</t>
  </si>
  <si>
    <t>Workings / Refernece Cell</t>
  </si>
  <si>
    <t>Sheet Header</t>
  </si>
  <si>
    <t>DTA (timing differences)</t>
  </si>
  <si>
    <t>DTL (timing differences)</t>
  </si>
  <si>
    <t>Debtors (% of quarterly Revenue rom Tag trips)</t>
  </si>
  <si>
    <t>Interest Basis</t>
  </si>
  <si>
    <t>Percentage calculation</t>
  </si>
  <si>
    <t>2 Decimal Place number (e.g. toll price)</t>
  </si>
  <si>
    <t>Section</t>
  </si>
  <si>
    <t>Sheet</t>
  </si>
  <si>
    <t>Model Start and Acquisition</t>
  </si>
  <si>
    <t>Discount Rate</t>
  </si>
  <si>
    <t>QCFD sweep limit</t>
  </si>
  <si>
    <t>Operations</t>
  </si>
  <si>
    <t>Revenues</t>
  </si>
  <si>
    <t>Indicators</t>
  </si>
  <si>
    <t>Days in period</t>
  </si>
  <si>
    <t>Days in year</t>
  </si>
  <si>
    <t>Quarterly change to CPI index at end of period</t>
  </si>
  <si>
    <t>Cumulative CPI index</t>
  </si>
  <si>
    <t>Step change to tolling prices at start of period</t>
  </si>
  <si>
    <t>Cumulative Tolling index</t>
  </si>
  <si>
    <t>Exit flag</t>
  </si>
  <si>
    <t>Period Counter</t>
  </si>
  <si>
    <t>[index]</t>
  </si>
  <si>
    <t>[flag]</t>
  </si>
  <si>
    <t>[counter]</t>
  </si>
  <si>
    <t>Traffic Numbers</t>
  </si>
  <si>
    <t>Quarterly Traffic Volume</t>
  </si>
  <si>
    <t>[trips/qtr]</t>
  </si>
  <si>
    <t>Proportion of trips that are tag trips</t>
  </si>
  <si>
    <t>Tag trip volume in quarter</t>
  </si>
  <si>
    <t>Cash trip volume in quarter</t>
  </si>
  <si>
    <t>Toll Schedules</t>
  </si>
  <si>
    <t>Theoretical Toll</t>
  </si>
  <si>
    <t>Tag toll charged</t>
  </si>
  <si>
    <t>Cash toll charged</t>
  </si>
  <si>
    <t>Revenue</t>
  </si>
  <si>
    <t>Cash Trips</t>
  </si>
  <si>
    <t>Less: Revenue Leakage</t>
  </si>
  <si>
    <t>Revenue Summary</t>
  </si>
  <si>
    <t>Total Revenue</t>
  </si>
  <si>
    <t>Operations Period</t>
  </si>
  <si>
    <t>Expenses</t>
  </si>
  <si>
    <t>Opex for tag trips</t>
  </si>
  <si>
    <t>Opex for cash trips</t>
  </si>
  <si>
    <t>Total Variable Opex</t>
  </si>
  <si>
    <t>Total Fixed Opex</t>
  </si>
  <si>
    <t>Total Opex</t>
  </si>
  <si>
    <t>CPI</t>
  </si>
  <si>
    <t>Debtors Balance (end of quarter)</t>
  </si>
  <si>
    <t>Creditors Balance (end of quarter)</t>
  </si>
  <si>
    <t>Change in Debtors Balance</t>
  </si>
  <si>
    <t>Change in Creditors Balance</t>
  </si>
  <si>
    <t>Change in Net Working Capital</t>
  </si>
  <si>
    <t>Capex, Depreciation, Amortisation</t>
  </si>
  <si>
    <t>Capex Spending</t>
  </si>
  <si>
    <t>Capex Expenditure</t>
  </si>
  <si>
    <t>Opening Capex - Accounting</t>
  </si>
  <si>
    <t>Opening Balance</t>
  </si>
  <si>
    <t>Add: Capex</t>
  </si>
  <si>
    <t>Less: Depreciation</t>
  </si>
  <si>
    <t>Closing Balance</t>
  </si>
  <si>
    <t>Opening Capex - Tax</t>
  </si>
  <si>
    <t>New Capex - Accounting</t>
  </si>
  <si>
    <t>Periods to end</t>
  </si>
  <si>
    <t>Counter</t>
  </si>
  <si>
    <t>Depreciation - Opening</t>
  </si>
  <si>
    <t>New Capex - Tax</t>
  </si>
  <si>
    <t>Depreciation Summary</t>
  </si>
  <si>
    <t>Opening - Accounting</t>
  </si>
  <si>
    <t>Opening - Tax</t>
  </si>
  <si>
    <t>Debt</t>
  </si>
  <si>
    <t>Add: Drawdown</t>
  </si>
  <si>
    <t>Account Balance</t>
  </si>
  <si>
    <t>Interest Expense</t>
  </si>
  <si>
    <t>Interest Rate</t>
  </si>
  <si>
    <t>[% pa]</t>
  </si>
  <si>
    <t>Less: Repayment Scheduled</t>
  </si>
  <si>
    <t>Less: Repayment Sweep</t>
  </si>
  <si>
    <t>Sweep Active?</t>
  </si>
  <si>
    <t>QCFD (pre-sweep)</t>
  </si>
  <si>
    <t>Amount to sweep</t>
  </si>
  <si>
    <t>Accounts</t>
  </si>
  <si>
    <t>Income Statement</t>
  </si>
  <si>
    <t>EBITDA</t>
  </si>
  <si>
    <t>EBIT</t>
  </si>
  <si>
    <t>Senior Interest</t>
  </si>
  <si>
    <t>Net Profit Before Tax</t>
  </si>
  <si>
    <t>Net Profit After Tax</t>
  </si>
  <si>
    <t>Distributions to Equity</t>
  </si>
  <si>
    <t>To Retained Earnings</t>
  </si>
  <si>
    <t>Balance Sheet</t>
  </si>
  <si>
    <t>Assets</t>
  </si>
  <si>
    <t>New PP&amp;E</t>
  </si>
  <si>
    <t>Liabilities</t>
  </si>
  <si>
    <t>Check</t>
  </si>
  <si>
    <t>Retained Earnings</t>
  </si>
  <si>
    <t>Cash Flow Waterfall</t>
  </si>
  <si>
    <t>Changes in Working Capital</t>
  </si>
  <si>
    <t>Cash flow for debt service</t>
  </si>
  <si>
    <t>Senior Facility Interest</t>
  </si>
  <si>
    <t>Senior facility scheduled repayment</t>
  </si>
  <si>
    <t>Sweep to senior facility</t>
  </si>
  <si>
    <t>Distributions</t>
  </si>
  <si>
    <t>Opening Cash Balance</t>
  </si>
  <si>
    <t>Change in Cash</t>
  </si>
  <si>
    <t>Closing Cash Balance</t>
  </si>
  <si>
    <t>Tax Calculations</t>
  </si>
  <si>
    <t>Add back Accounting Depreciation</t>
  </si>
  <si>
    <t>Less: Tax Depreciation (opening capex)</t>
  </si>
  <si>
    <t>Less: Tax Depreciation (new capex)</t>
  </si>
  <si>
    <t>Change in period</t>
  </si>
  <si>
    <t>[check]</t>
  </si>
  <si>
    <t>Tax Payable/Refunded</t>
  </si>
  <si>
    <t>[trips/day]</t>
  </si>
  <si>
    <t>Tax (Paid)/Refunded</t>
  </si>
  <si>
    <t>Tax (expense)/refund</t>
  </si>
  <si>
    <t>red font</t>
  </si>
  <si>
    <t>Timing Differences</t>
  </si>
  <si>
    <t>DTA/DTL Account</t>
  </si>
  <si>
    <t>DTA Closing Balance</t>
  </si>
  <si>
    <t>DTL Closing Balance</t>
  </si>
  <si>
    <t>Tax Payable/(Refunded) next quarter</t>
  </si>
  <si>
    <t>Taxable Base</t>
  </si>
  <si>
    <t>Change in DTA</t>
  </si>
  <si>
    <t>Change in DTL</t>
  </si>
  <si>
    <t>Returns to Equity</t>
  </si>
  <si>
    <t>Cash Flows to Equity (excl. Purchase price)</t>
  </si>
  <si>
    <t>End of Concession sale</t>
  </si>
  <si>
    <t>Present Value of cash flows at acquisition date</t>
  </si>
  <si>
    <t>Cash Flows to Equity (incl. Purchase price)</t>
  </si>
  <si>
    <t>Purchase Price</t>
  </si>
  <si>
    <t>XIRR</t>
  </si>
  <si>
    <t>Total Cash Flows</t>
  </si>
  <si>
    <t>Cash Account</t>
  </si>
  <si>
    <t>Starting ADT by vehicle class</t>
  </si>
  <si>
    <t>Q1 2014 (Per day)</t>
  </si>
  <si>
    <t>All capital expenditure is assumed to be incurred and funded on the final day of the quarter, and funded by cash</t>
  </si>
  <si>
    <t>Step change to ADT at start of period</t>
  </si>
  <si>
    <t>Cumulative ADT escalation index</t>
  </si>
  <si>
    <t>Indexed</t>
  </si>
  <si>
    <t>Qtrly Escalation of ADT (Bikes)</t>
  </si>
  <si>
    <t>Qtrly Escalation of ADT (Cars)</t>
  </si>
  <si>
    <t>Qtrly Escalation of ADT (LCVs)</t>
  </si>
  <si>
    <t>Qtrly Escalation of ADT (HCVs)</t>
  </si>
  <si>
    <t>Apply each quarter start, 90/360 basis</t>
  </si>
  <si>
    <t>90/360 convention. Rates quoted are simple annual rates</t>
  </si>
  <si>
    <t>Depreciation (Accounting): Opening PP&amp;E</t>
  </si>
  <si>
    <t>Depreciation (Accounting): New PP&amp;E</t>
  </si>
  <si>
    <t>Quarterly Cash For for Distribution (pre sweep)</t>
  </si>
  <si>
    <t>Quarterly Cash For Distribution</t>
  </si>
  <si>
    <t>Investment Overview</t>
  </si>
  <si>
    <t>Financial Statement Summary</t>
  </si>
  <si>
    <t>[$m]</t>
  </si>
  <si>
    <t>Opex</t>
  </si>
  <si>
    <t>Total Current Assets</t>
  </si>
  <si>
    <t>Total Non Current Assets</t>
  </si>
  <si>
    <t>Total Assets</t>
  </si>
  <si>
    <t>Total Liabilities</t>
  </si>
  <si>
    <t>Total Equity</t>
  </si>
  <si>
    <t>Debt Profile</t>
  </si>
  <si>
    <t>Debt Profile Workings:</t>
  </si>
  <si>
    <t>Traffic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</si>
</sst>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;\-#,##0.;\-"/>
    <numFmt numFmtId="165" formatCode="#,##0_);\(#,##0\);\-"/>
    <numFmt numFmtId="166" formatCode="[$-C09]dd\-mmm\-yy;@"/>
    <numFmt numFmtId="167" formatCode="#,##0.00_);\(#,##0.00\);\-"/>
    <numFmt numFmtId="168" formatCode="0.00%_);\(0.00%\);\-"/>
    <numFmt numFmtId="169" formatCode="0_);\(0\);\-"/>
    <numFmt numFmtId="170" formatCode="#,##0.0000_);\(#,##0.0000\);\-"/>
    <numFmt numFmtId="171" formatCode="#,##0.000_);\(#,##0.000\);\-"/>
    <numFmt numFmtId="172" formatCode="0.000%"/>
    <numFmt numFmtId="173" formatCode="0.00_ ;[Red]\-0.00\ 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0" tint="-0.34998626667073579"/>
      <name val="Arial"/>
      <family val="2"/>
    </font>
    <font>
      <sz val="10"/>
      <color rgb="FF0000FF"/>
      <name val="Arial"/>
      <family val="2"/>
    </font>
    <font>
      <i/>
      <u/>
      <sz val="10"/>
      <name val="Arial"/>
      <family val="2"/>
    </font>
    <font>
      <b/>
      <u/>
      <sz val="8"/>
      <color theme="10"/>
      <name val="Arial"/>
      <family val="2"/>
    </font>
    <font>
      <u/>
      <sz val="8"/>
      <color theme="10"/>
      <name val="Arial"/>
      <family val="2"/>
    </font>
    <font>
      <sz val="8"/>
      <color theme="0" tint="-0.34998626667073579"/>
      <name val="Arial"/>
      <family val="2"/>
    </font>
    <font>
      <i/>
      <sz val="10"/>
      <color theme="1"/>
      <name val="Arial"/>
      <family val="2"/>
    </font>
    <font>
      <sz val="10"/>
      <color rgb="FF7030A0"/>
      <name val="Arial"/>
      <family val="2"/>
    </font>
    <font>
      <b/>
      <sz val="16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2" fillId="3" borderId="0" applyNumberFormat="0" applyFont="0" applyAlignment="0"/>
    <xf numFmtId="0" fontId="17" fillId="0" borderId="0" applyNumberFormat="0" applyFill="0" applyBorder="0" applyAlignment="0" applyProtection="0"/>
    <xf numFmtId="15" fontId="6" fillId="0" borderId="0" applyFill="0" applyBorder="0" applyAlignment="0"/>
    <xf numFmtId="0" fontId="8" fillId="4" borderId="2">
      <alignment horizontal="left"/>
    </xf>
    <xf numFmtId="165" fontId="6" fillId="0" borderId="0" applyFill="0" applyBorder="0" applyAlignment="0"/>
    <xf numFmtId="0" fontId="15" fillId="0" borderId="0" applyNumberFormat="0" applyFill="0" applyBorder="0" applyAlignment="0"/>
    <xf numFmtId="166" fontId="15" fillId="2" borderId="3" applyAlignment="0">
      <protection locked="0"/>
    </xf>
    <xf numFmtId="167" fontId="15" fillId="2" borderId="3" applyAlignment="0">
      <protection locked="0"/>
    </xf>
    <xf numFmtId="165" fontId="15" fillId="2" borderId="3" applyAlignment="0">
      <alignment horizontal="right"/>
      <protection locked="0"/>
    </xf>
    <xf numFmtId="168" fontId="15" fillId="2" borderId="3" applyAlignment="0"/>
    <xf numFmtId="169" fontId="15" fillId="2" borderId="3" applyAlignment="0">
      <protection locked="0"/>
    </xf>
    <xf numFmtId="166" fontId="15" fillId="0" borderId="3" applyAlignment="0"/>
    <xf numFmtId="165" fontId="15" fillId="0" borderId="3" applyAlignment="0"/>
    <xf numFmtId="167" fontId="6" fillId="0" borderId="0" applyFill="0" applyBorder="0" applyAlignment="0"/>
    <xf numFmtId="168" fontId="10" fillId="0" borderId="0" applyFill="0" applyBorder="0" applyAlignment="0"/>
    <xf numFmtId="166" fontId="19" fillId="0" borderId="0" applyFill="0" applyBorder="0" applyAlignment="0"/>
    <xf numFmtId="0" fontId="19" fillId="0" borderId="0" applyNumberFormat="0" applyFill="0" applyBorder="0" applyAlignment="0"/>
    <xf numFmtId="164" fontId="22" fillId="5" borderId="0" applyBorder="0" applyAlignment="0"/>
    <xf numFmtId="165" fontId="11" fillId="0" borderId="0" applyNumberFormat="0" applyFill="0" applyAlignment="0"/>
    <xf numFmtId="165" fontId="1" fillId="0" borderId="0" applyFill="0" applyBorder="0" applyAlignment="0"/>
    <xf numFmtId="167" fontId="1" fillId="0" borderId="0" applyFill="0" applyBorder="0" applyAlignment="0"/>
    <xf numFmtId="15" fontId="1" fillId="0" borderId="0" applyFill="0" applyBorder="0" applyAlignment="0"/>
    <xf numFmtId="9" fontId="23" fillId="0" borderId="0" applyFont="0" applyFill="0" applyBorder="0" applyAlignment="0" applyProtection="0"/>
  </cellStyleXfs>
  <cellXfs count="14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4" fontId="10" fillId="0" borderId="0" xfId="0" applyNumberFormat="1" applyFont="1" applyAlignment="1">
      <alignment horizontal="left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0" fontId="18" fillId="0" borderId="0" xfId="2" applyFont="1"/>
    <xf numFmtId="15" fontId="6" fillId="0" borderId="0" xfId="3"/>
    <xf numFmtId="0" fontId="8" fillId="4" borderId="2" xfId="4">
      <alignment horizontal="left"/>
    </xf>
    <xf numFmtId="165" fontId="6" fillId="0" borderId="0" xfId="5"/>
    <xf numFmtId="0" fontId="15" fillId="0" borderId="0" xfId="6"/>
    <xf numFmtId="165" fontId="8" fillId="0" borderId="0" xfId="5" applyFont="1"/>
    <xf numFmtId="0" fontId="19" fillId="0" borderId="0" xfId="17"/>
    <xf numFmtId="165" fontId="6" fillId="0" borderId="0" xfId="5" applyAlignment="1"/>
    <xf numFmtId="165" fontId="6" fillId="4" borderId="2" xfId="5" applyFill="1" applyBorder="1" applyAlignment="1">
      <alignment horizontal="left"/>
    </xf>
    <xf numFmtId="0" fontId="19" fillId="4" borderId="2" xfId="17" applyFill="1" applyBorder="1" applyAlignment="1">
      <alignment horizontal="left"/>
    </xf>
    <xf numFmtId="165" fontId="15" fillId="2" borderId="3" xfId="9" applyAlignment="1">
      <protection locked="0"/>
    </xf>
    <xf numFmtId="165" fontId="19" fillId="0" borderId="0" xfId="17" applyNumberFormat="1"/>
    <xf numFmtId="165" fontId="15" fillId="0" borderId="3" xfId="13"/>
    <xf numFmtId="165" fontId="9" fillId="0" borderId="0" xfId="5" applyFont="1"/>
    <xf numFmtId="166" fontId="15" fillId="2" borderId="3" xfId="7">
      <protection locked="0"/>
    </xf>
    <xf numFmtId="167" fontId="15" fillId="2" borderId="3" xfId="8">
      <protection locked="0"/>
    </xf>
    <xf numFmtId="0" fontId="15" fillId="0" borderId="0" xfId="6" applyAlignment="1"/>
    <xf numFmtId="168" fontId="15" fillId="2" borderId="3" xfId="10"/>
    <xf numFmtId="167" fontId="15" fillId="2" borderId="3" xfId="8" applyAlignment="1">
      <protection locked="0"/>
    </xf>
    <xf numFmtId="166" fontId="15" fillId="0" borderId="3" xfId="12" applyAlignment="1"/>
    <xf numFmtId="165" fontId="15" fillId="0" borderId="3" xfId="13" applyAlignment="1"/>
    <xf numFmtId="165" fontId="6" fillId="0" borderId="4" xfId="5" applyBorder="1"/>
    <xf numFmtId="165" fontId="6" fillId="0" borderId="5" xfId="5" applyBorder="1"/>
    <xf numFmtId="165" fontId="15" fillId="0" borderId="6" xfId="6" applyNumberFormat="1" applyBorder="1"/>
    <xf numFmtId="0" fontId="15" fillId="0" borderId="7" xfId="6" applyBorder="1"/>
    <xf numFmtId="15" fontId="6" fillId="0" borderId="6" xfId="3" applyBorder="1"/>
    <xf numFmtId="166" fontId="15" fillId="2" borderId="8" xfId="7" applyBorder="1" applyAlignment="1">
      <alignment horizontal="right"/>
      <protection locked="0"/>
    </xf>
    <xf numFmtId="15" fontId="6" fillId="0" borderId="9" xfId="3" applyBorder="1"/>
    <xf numFmtId="165" fontId="6" fillId="0" borderId="10" xfId="5" applyBorder="1"/>
    <xf numFmtId="165" fontId="6" fillId="0" borderId="11" xfId="5" applyBorder="1"/>
    <xf numFmtId="0" fontId="15" fillId="0" borderId="12" xfId="6" applyBorder="1"/>
    <xf numFmtId="168" fontId="15" fillId="2" borderId="13" xfId="10" applyBorder="1" applyAlignment="1"/>
    <xf numFmtId="168" fontId="15" fillId="2" borderId="14" xfId="10" applyBorder="1" applyAlignment="1"/>
    <xf numFmtId="170" fontId="15" fillId="2" borderId="3" xfId="8" applyNumberFormat="1">
      <protection locked="0"/>
    </xf>
    <xf numFmtId="165" fontId="20" fillId="0" borderId="0" xfId="5" applyFont="1"/>
    <xf numFmtId="15" fontId="7" fillId="0" borderId="0" xfId="3" applyFont="1"/>
    <xf numFmtId="0" fontId="7" fillId="0" borderId="0" xfId="0" applyFont="1" applyAlignment="1">
      <alignment horizontal="right"/>
    </xf>
    <xf numFmtId="165" fontId="6" fillId="0" borderId="0" xfId="5" applyAlignment="1">
      <alignment horizontal="right"/>
    </xf>
    <xf numFmtId="165" fontId="6" fillId="0" borderId="1" xfId="5" applyBorder="1"/>
    <xf numFmtId="165" fontId="8" fillId="0" borderId="1" xfId="5" applyFont="1" applyBorder="1"/>
    <xf numFmtId="165" fontId="6" fillId="0" borderId="0" xfId="5" applyAlignment="1">
      <alignment horizontal="left" indent="1"/>
    </xf>
    <xf numFmtId="165" fontId="15" fillId="2" borderId="15" xfId="9" applyBorder="1" applyAlignment="1">
      <protection locked="0"/>
    </xf>
    <xf numFmtId="165" fontId="8" fillId="0" borderId="0" xfId="5" applyFont="1" applyBorder="1"/>
    <xf numFmtId="168" fontId="10" fillId="0" borderId="0" xfId="15"/>
    <xf numFmtId="167" fontId="6" fillId="0" borderId="0" xfId="14"/>
    <xf numFmtId="0" fontId="15" fillId="4" borderId="2" xfId="6" applyFill="1" applyBorder="1" applyAlignment="1">
      <alignment horizontal="left"/>
    </xf>
    <xf numFmtId="165" fontId="7" fillId="0" borderId="0" xfId="0" applyNumberFormat="1" applyFont="1"/>
    <xf numFmtId="165" fontId="7" fillId="0" borderId="1" xfId="0" applyNumberFormat="1" applyFont="1" applyBorder="1"/>
    <xf numFmtId="0" fontId="21" fillId="0" borderId="0" xfId="0" applyFont="1"/>
    <xf numFmtId="165" fontId="9" fillId="0" borderId="0" xfId="5" applyFont="1" applyAlignment="1">
      <alignment horizontal="left"/>
    </xf>
    <xf numFmtId="0" fontId="6" fillId="0" borderId="0" xfId="0" applyFont="1"/>
    <xf numFmtId="164" fontId="22" fillId="5" borderId="0" xfId="18" applyAlignment="1">
      <alignment horizontal="left"/>
    </xf>
    <xf numFmtId="164" fontId="22" fillId="5" borderId="0" xfId="18"/>
    <xf numFmtId="165" fontId="15" fillId="0" borderId="0" xfId="6" applyNumberFormat="1"/>
    <xf numFmtId="164" fontId="22" fillId="5" borderId="0" xfId="18" applyAlignment="1">
      <alignment horizontal="center"/>
    </xf>
    <xf numFmtId="0" fontId="7" fillId="6" borderId="0" xfId="0" applyFont="1" applyFill="1" applyAlignment="1">
      <alignment horizontal="center"/>
    </xf>
    <xf numFmtId="0" fontId="8" fillId="4" borderId="2" xfId="4" applyAlignment="1">
      <alignment horizontal="center"/>
    </xf>
    <xf numFmtId="0" fontId="7" fillId="0" borderId="0" xfId="0" applyFont="1" applyAlignment="1">
      <alignment horizontal="center"/>
    </xf>
    <xf numFmtId="0" fontId="8" fillId="6" borderId="0" xfId="0" applyFont="1" applyFill="1" applyAlignment="1">
      <alignment horizontal="left"/>
    </xf>
    <xf numFmtId="15" fontId="11" fillId="0" borderId="0" xfId="19" applyNumberFormat="1"/>
    <xf numFmtId="165" fontId="11" fillId="0" borderId="0" xfId="19"/>
    <xf numFmtId="171" fontId="11" fillId="0" borderId="0" xfId="19" applyNumberFormat="1"/>
    <xf numFmtId="171" fontId="6" fillId="0" borderId="0" xfId="5" applyNumberFormat="1"/>
    <xf numFmtId="165" fontId="5" fillId="0" borderId="0" xfId="5" applyFont="1"/>
    <xf numFmtId="168" fontId="11" fillId="0" borderId="0" xfId="19" applyNumberFormat="1"/>
    <xf numFmtId="165" fontId="8" fillId="0" borderId="0" xfId="0" applyNumberFormat="1" applyFont="1"/>
    <xf numFmtId="165" fontId="6" fillId="0" borderId="0" xfId="5" applyBorder="1"/>
    <xf numFmtId="165" fontId="8" fillId="0" borderId="1" xfId="0" applyNumberFormat="1" applyFont="1" applyBorder="1"/>
    <xf numFmtId="165" fontId="6" fillId="7" borderId="0" xfId="5" applyFill="1"/>
    <xf numFmtId="165" fontId="6" fillId="7" borderId="0" xfId="5" applyFill="1" applyBorder="1"/>
    <xf numFmtId="165" fontId="11" fillId="7" borderId="0" xfId="19" applyFill="1"/>
    <xf numFmtId="165" fontId="6" fillId="7" borderId="1" xfId="5" applyFill="1" applyBorder="1"/>
    <xf numFmtId="165" fontId="6" fillId="0" borderId="16" xfId="5" applyBorder="1"/>
    <xf numFmtId="0" fontId="7" fillId="0" borderId="16" xfId="0" applyFont="1" applyBorder="1"/>
    <xf numFmtId="0" fontId="15" fillId="0" borderId="16" xfId="6" applyBorder="1"/>
    <xf numFmtId="0" fontId="0" fillId="0" borderId="16" xfId="0" applyBorder="1"/>
    <xf numFmtId="165" fontId="6" fillId="0" borderId="0" xfId="5" applyFill="1"/>
    <xf numFmtId="10" fontId="7" fillId="0" borderId="0" xfId="0" applyNumberFormat="1" applyFont="1"/>
    <xf numFmtId="172" fontId="7" fillId="0" borderId="0" xfId="0" applyNumberFormat="1" applyFont="1"/>
    <xf numFmtId="165" fontId="5" fillId="0" borderId="1" xfId="5" applyFont="1" applyBorder="1"/>
    <xf numFmtId="165" fontId="4" fillId="0" borderId="0" xfId="5" applyFont="1"/>
    <xf numFmtId="0" fontId="11" fillId="0" borderId="0" xfId="19" applyNumberFormat="1"/>
    <xf numFmtId="165" fontId="4" fillId="0" borderId="1" xfId="5" applyFont="1" applyBorder="1"/>
    <xf numFmtId="0" fontId="4" fillId="0" borderId="0" xfId="0" applyFont="1"/>
    <xf numFmtId="167" fontId="6" fillId="0" borderId="1" xfId="14" applyBorder="1"/>
    <xf numFmtId="0" fontId="3" fillId="0" borderId="0" xfId="0" applyFont="1"/>
    <xf numFmtId="165" fontId="3" fillId="0" borderId="0" xfId="5" applyFont="1"/>
    <xf numFmtId="165" fontId="11" fillId="0" borderId="1" xfId="19" applyBorder="1"/>
    <xf numFmtId="165" fontId="3" fillId="0" borderId="1" xfId="5" applyFont="1" applyBorder="1"/>
    <xf numFmtId="168" fontId="11" fillId="0" borderId="0" xfId="19" applyNumberFormat="1" applyAlignment="1">
      <alignment horizontal="right"/>
    </xf>
    <xf numFmtId="167" fontId="3" fillId="0" borderId="0" xfId="14" applyFont="1"/>
    <xf numFmtId="167" fontId="3" fillId="0" borderId="1" xfId="14" applyFont="1" applyBorder="1"/>
    <xf numFmtId="165" fontId="11" fillId="0" borderId="0" xfId="19" applyFill="1"/>
    <xf numFmtId="165" fontId="3" fillId="0" borderId="0" xfId="5" applyFont="1" applyFill="1"/>
    <xf numFmtId="165" fontId="8" fillId="4" borderId="2" xfId="4" applyNumberFormat="1">
      <alignment horizontal="left"/>
    </xf>
    <xf numFmtId="165" fontId="11" fillId="8" borderId="0" xfId="19" applyFill="1"/>
    <xf numFmtId="165" fontId="11" fillId="0" borderId="0" xfId="19" applyNumberFormat="1"/>
    <xf numFmtId="165" fontId="6" fillId="0" borderId="17" xfId="5" applyBorder="1"/>
    <xf numFmtId="168" fontId="7" fillId="0" borderId="0" xfId="0" applyNumberFormat="1" applyFont="1"/>
    <xf numFmtId="168" fontId="10" fillId="0" borderId="17" xfId="15" applyBorder="1"/>
    <xf numFmtId="165" fontId="2" fillId="0" borderId="0" xfId="5" applyFont="1"/>
    <xf numFmtId="0" fontId="2" fillId="6" borderId="0" xfId="0" applyFont="1" applyFill="1" applyAlignment="1">
      <alignment horizontal="center"/>
    </xf>
    <xf numFmtId="0" fontId="0" fillId="9" borderId="0" xfId="0" applyFill="1"/>
    <xf numFmtId="0" fontId="0" fillId="11" borderId="0" xfId="0" applyFill="1"/>
    <xf numFmtId="0" fontId="0" fillId="8" borderId="0" xfId="0" applyFill="1"/>
    <xf numFmtId="0" fontId="0" fillId="12" borderId="0" xfId="0" applyFill="1"/>
    <xf numFmtId="0" fontId="0" fillId="13" borderId="0" xfId="0" applyFill="1"/>
    <xf numFmtId="0" fontId="0" fillId="10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15" fontId="6" fillId="0" borderId="0" xfId="3" applyBorder="1"/>
    <xf numFmtId="0" fontId="8" fillId="0" borderId="0" xfId="5" applyNumberFormat="1" applyFont="1"/>
    <xf numFmtId="0" fontId="1" fillId="0" borderId="0" xfId="0" applyFont="1"/>
    <xf numFmtId="165" fontId="1" fillId="4" borderId="2" xfId="20" applyFill="1" applyBorder="1" applyAlignment="1">
      <alignment horizontal="left"/>
    </xf>
    <xf numFmtId="0" fontId="1" fillId="0" borderId="0" xfId="0" applyFont="1" applyAlignment="1">
      <alignment horizontal="center"/>
    </xf>
    <xf numFmtId="165" fontId="8" fillId="0" borderId="0" xfId="20" applyFont="1"/>
    <xf numFmtId="165" fontId="1" fillId="0" borderId="0" xfId="20"/>
    <xf numFmtId="167" fontId="1" fillId="0" borderId="0" xfId="21"/>
    <xf numFmtId="15" fontId="1" fillId="0" borderId="0" xfId="22"/>
    <xf numFmtId="165" fontId="8" fillId="0" borderId="1" xfId="20" applyFont="1" applyBorder="1"/>
    <xf numFmtId="168" fontId="15" fillId="0" borderId="0" xfId="10" applyFill="1" applyBorder="1" applyAlignment="1"/>
    <xf numFmtId="0" fontId="1" fillId="6" borderId="0" xfId="0" applyFont="1" applyFill="1" applyAlignment="1">
      <alignment horizontal="center"/>
    </xf>
    <xf numFmtId="165" fontId="1" fillId="0" borderId="1" xfId="20" applyBorder="1"/>
    <xf numFmtId="165" fontId="8" fillId="0" borderId="0" xfId="20" applyFont="1" applyBorder="1"/>
    <xf numFmtId="4" fontId="0" fillId="0" borderId="0" xfId="0" applyNumberFormat="1"/>
    <xf numFmtId="173" fontId="0" fillId="0" borderId="0" xfId="0" applyNumberFormat="1"/>
    <xf numFmtId="0" fontId="24" fillId="16" borderId="0" xfId="0" applyFont="1" applyFill="1"/>
    <xf numFmtId="0" fontId="25" fillId="10" borderId="0" xfId="0" applyFont="1" applyFill="1" applyAlignment="1">
      <alignment horizontal="center" vertical="center"/>
    </xf>
    <xf numFmtId="4" fontId="0" fillId="0" borderId="0" xfId="23" applyNumberFormat="1" applyFont="1"/>
  </cellXfs>
  <cellStyles count="24">
    <cellStyle name="Hyperlink" xfId="2" builtinId="8"/>
    <cellStyle name="MO Ass Date" xfId="7" xr:uid="{00000000-0005-0000-0000-000001000000}"/>
    <cellStyle name="MO Ass DollarCents" xfId="8" xr:uid="{00000000-0005-0000-0000-000002000000}"/>
    <cellStyle name="MO Ass Number 0DP" xfId="9" xr:uid="{00000000-0005-0000-0000-000003000000}"/>
    <cellStyle name="MO Ass Percent" xfId="10" xr:uid="{00000000-0005-0000-0000-000004000000}"/>
    <cellStyle name="MO Ass Year" xfId="11" xr:uid="{00000000-0005-0000-0000-000005000000}"/>
    <cellStyle name="MO Date" xfId="3" xr:uid="{00000000-0005-0000-0000-000006000000}"/>
    <cellStyle name="MO Date 2" xfId="22" xr:uid="{00000000-0005-0000-0000-000007000000}"/>
    <cellStyle name="MO Fixed Ass Date" xfId="12" xr:uid="{00000000-0005-0000-0000-000008000000}"/>
    <cellStyle name="MO Fixed Ass Number 1" xfId="13" xr:uid="{00000000-0005-0000-0000-000009000000}"/>
    <cellStyle name="MO Number 1" xfId="5" xr:uid="{00000000-0005-0000-0000-00000A000000}"/>
    <cellStyle name="MO Number 1 2" xfId="20" xr:uid="{00000000-0005-0000-0000-00000B000000}"/>
    <cellStyle name="MO Number 2DP" xfId="14" xr:uid="{00000000-0005-0000-0000-00000C000000}"/>
    <cellStyle name="MO Number 2DP 2" xfId="21" xr:uid="{00000000-0005-0000-0000-00000D000000}"/>
    <cellStyle name="MO Percent 2DP" xfId="15" xr:uid="{00000000-0005-0000-0000-00000E000000}"/>
    <cellStyle name="MO Section Header" xfId="4" xr:uid="{00000000-0005-0000-0000-00000F000000}"/>
    <cellStyle name="MO Sheet Header" xfId="18" xr:uid="{00000000-0005-0000-0000-000010000000}"/>
    <cellStyle name="MO Unique" xfId="19" xr:uid="{00000000-0005-0000-0000-000011000000}"/>
    <cellStyle name="MO Units" xfId="6" xr:uid="{00000000-0005-0000-0000-000012000000}"/>
    <cellStyle name="MO Wkg date" xfId="16" xr:uid="{00000000-0005-0000-0000-000013000000}"/>
    <cellStyle name="MO Wkg text" xfId="17" xr:uid="{00000000-0005-0000-0000-000014000000}"/>
    <cellStyle name="Neutral" xfId="1" builtinId="28" customBuiltin="1"/>
    <cellStyle name="Normal" xfId="0" builtinId="0"/>
    <cellStyle name="Percent" xfId="23" builtinId="5"/>
  </cellStyles>
  <dxfs count="0"/>
  <tableStyles count="0" defaultTableStyle="TableStyleMedium2" defaultPivotStyle="PivotStyleLight16"/>
  <colors>
    <mruColors>
      <color rgb="FFFF6600"/>
      <color rgb="FFDDDDD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Senior</a:t>
            </a:r>
            <a:r>
              <a:rPr lang="en-US" baseline="0"/>
              <a:t> Debt [$m]</a:t>
            </a:r>
            <a:endParaRPr lang="en-US"/>
          </a:p>
        </c:rich>
      </c:tx>
      <c:layout>
        <c:manualLayout>
          <c:xMode val="edge"/>
          <c:yMode val="edge"/>
          <c:x val="6.5922578643186847E-2"/>
          <c:y val="5.1736881005173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57335505475608E-2"/>
          <c:y val="0.27413155949741314"/>
          <c:w val="0.8876368902163092"/>
          <c:h val="0.54794245508668404"/>
        </c:manualLayout>
      </c:layout>
      <c:lineChart>
        <c:grouping val="standard"/>
        <c:varyColors val="0"/>
        <c:ser>
          <c:idx val="1"/>
          <c:order val="0"/>
          <c:tx>
            <c:strRef>
              <c:f>Dashboard!$J$2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Dashboard!$L$1:$P$1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Dashboard!$L$2:$P$2</c:f>
              <c:numCache>
                <c:formatCode>#,##0.00</c:formatCode>
                <c:ptCount val="5"/>
                <c:pt idx="0">
                  <c:v>99.77</c:v>
                </c:pt>
                <c:pt idx="1">
                  <c:v>74.760000000000005</c:v>
                </c:pt>
                <c:pt idx="2">
                  <c:v>59</c:v>
                </c:pt>
                <c:pt idx="3">
                  <c:v>55</c:v>
                </c:pt>
                <c:pt idx="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0-40E8-93C5-564A0B19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73727"/>
        <c:axId val="1263870367"/>
      </c:lineChart>
      <c:lineChart>
        <c:grouping val="standard"/>
        <c:varyColors val="0"/>
        <c:ser>
          <c:idx val="2"/>
          <c:order val="1"/>
          <c:tx>
            <c:strRef>
              <c:f>Dashboard!$J$3</c:f>
              <c:strCache>
                <c:ptCount val="1"/>
                <c:pt idx="0">
                  <c:v>Interest Expense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Dashboard!$L$1:$P$1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Dashboard!$L$3:$P$3</c:f>
              <c:numCache>
                <c:formatCode>#,##0.00</c:formatCode>
                <c:ptCount val="5"/>
                <c:pt idx="0">
                  <c:v>1.39</c:v>
                </c:pt>
                <c:pt idx="1">
                  <c:v>1.1599999999999999</c:v>
                </c:pt>
                <c:pt idx="2">
                  <c:v>0.86</c:v>
                </c:pt>
                <c:pt idx="3">
                  <c:v>0.8</c:v>
                </c:pt>
                <c:pt idx="4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0-40E8-93C5-564A0B19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3312"/>
        <c:axId val="5102352"/>
      </c:lineChart>
      <c:catAx>
        <c:axId val="12638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70367"/>
        <c:crosses val="autoZero"/>
        <c:auto val="1"/>
        <c:lblAlgn val="ctr"/>
        <c:lblOffset val="100"/>
        <c:noMultiLvlLbl val="0"/>
      </c:catAx>
      <c:valAx>
        <c:axId val="12638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73727"/>
        <c:crosses val="autoZero"/>
        <c:crossBetween val="between"/>
      </c:valAx>
      <c:valAx>
        <c:axId val="5102352"/>
        <c:scaling>
          <c:orientation val="minMax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312"/>
        <c:crosses val="max"/>
        <c:crossBetween val="between"/>
      </c:valAx>
      <c:catAx>
        <c:axId val="5103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2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812335958005253"/>
          <c:y val="6.9659141831217894E-2"/>
          <c:w val="0.40962127711132984"/>
          <c:h val="0.12540624169815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</a:t>
            </a:r>
            <a:r>
              <a:rPr lang="en-US" baseline="0"/>
              <a:t> volumne by vehicle type [m]</a:t>
            </a:r>
          </a:p>
        </c:rich>
      </c:tx>
      <c:layout>
        <c:manualLayout>
          <c:xMode val="edge"/>
          <c:yMode val="edge"/>
          <c:x val="6.5922578643186847E-2"/>
          <c:y val="5.1736881005173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57335505475608E-2"/>
          <c:y val="0.27413155949741314"/>
          <c:w val="0.8876368902163092"/>
          <c:h val="0.54794245508668404"/>
        </c:manualLayout>
      </c:layout>
      <c:lineChart>
        <c:grouping val="standard"/>
        <c:varyColors val="0"/>
        <c:ser>
          <c:idx val="2"/>
          <c:order val="0"/>
          <c:tx>
            <c:strRef>
              <c:f>Dashboard!$J$6</c:f>
              <c:strCache>
                <c:ptCount val="1"/>
                <c:pt idx="0">
                  <c:v>Bikes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Dashboard!$L$5:$P$5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Dashboard!$L$6:$P$6</c:f>
              <c:numCache>
                <c:formatCode>#,##0.00</c:formatCode>
                <c:ptCount val="5"/>
                <c:pt idx="0">
                  <c:v>1.65</c:v>
                </c:pt>
                <c:pt idx="1">
                  <c:v>2.21</c:v>
                </c:pt>
                <c:pt idx="2">
                  <c:v>2.8</c:v>
                </c:pt>
                <c:pt idx="3">
                  <c:v>3.53</c:v>
                </c:pt>
                <c:pt idx="4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9-4A39-9597-774C5C78128A}"/>
            </c:ext>
          </c:extLst>
        </c:ser>
        <c:ser>
          <c:idx val="0"/>
          <c:order val="1"/>
          <c:tx>
            <c:strRef>
              <c:f>Dashboard!$J$7</c:f>
              <c:strCache>
                <c:ptCount val="1"/>
                <c:pt idx="0">
                  <c:v>Cars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cat>
            <c:numRef>
              <c:f>Dashboard!$L$5:$P$5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Dashboard!$L$7:$P$7</c:f>
              <c:numCache>
                <c:formatCode>#,##0.00</c:formatCode>
                <c:ptCount val="5"/>
                <c:pt idx="0">
                  <c:v>9.1</c:v>
                </c:pt>
                <c:pt idx="1">
                  <c:v>9</c:v>
                </c:pt>
                <c:pt idx="2">
                  <c:v>8.86</c:v>
                </c:pt>
                <c:pt idx="3">
                  <c:v>8.66</c:v>
                </c:pt>
                <c:pt idx="4">
                  <c:v>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9-4A39-9597-774C5C78128A}"/>
            </c:ext>
          </c:extLst>
        </c:ser>
        <c:ser>
          <c:idx val="3"/>
          <c:order val="2"/>
          <c:tx>
            <c:strRef>
              <c:f>Dashboard!$J$8</c:f>
              <c:strCache>
                <c:ptCount val="1"/>
                <c:pt idx="0">
                  <c:v>LCVs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Dashboard!$L$5:$P$5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Dashboard!$L$8:$P$8</c:f>
              <c:numCache>
                <c:formatCode>#,##0.00</c:formatCode>
                <c:ptCount val="5"/>
                <c:pt idx="0">
                  <c:v>2.57</c:v>
                </c:pt>
                <c:pt idx="1">
                  <c:v>2.61</c:v>
                </c:pt>
                <c:pt idx="2">
                  <c:v>2.64</c:v>
                </c:pt>
                <c:pt idx="3">
                  <c:v>2.65</c:v>
                </c:pt>
                <c:pt idx="4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D9-4A39-9597-774C5C78128A}"/>
            </c:ext>
          </c:extLst>
        </c:ser>
        <c:ser>
          <c:idx val="4"/>
          <c:order val="3"/>
          <c:tx>
            <c:strRef>
              <c:f>Dashboard!$J$9</c:f>
              <c:strCache>
                <c:ptCount val="1"/>
                <c:pt idx="0">
                  <c:v>HCVs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Dashboard!$L$5:$P$5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Dashboard!$L$9:$P$9</c:f>
              <c:numCache>
                <c:formatCode>#,##0.00</c:formatCode>
                <c:ptCount val="5"/>
                <c:pt idx="0">
                  <c:v>1.87</c:v>
                </c:pt>
                <c:pt idx="1">
                  <c:v>1.98</c:v>
                </c:pt>
                <c:pt idx="2">
                  <c:v>2.0699999999999998</c:v>
                </c:pt>
                <c:pt idx="3">
                  <c:v>2.15</c:v>
                </c:pt>
                <c:pt idx="4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D9-4A39-9597-774C5C781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873727"/>
        <c:axId val="1263870367"/>
      </c:lineChart>
      <c:catAx>
        <c:axId val="12638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70367"/>
        <c:crosses val="autoZero"/>
        <c:auto val="1"/>
        <c:lblAlgn val="ctr"/>
        <c:lblOffset val="100"/>
        <c:noMultiLvlLbl val="0"/>
      </c:catAx>
      <c:valAx>
        <c:axId val="12638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7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812335958005253"/>
          <c:y val="6.9659141831217894E-2"/>
          <c:w val="0.41295786901893883"/>
          <c:h val="9.787323435523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203893</xdr:colOff>
      <xdr:row>10</xdr:row>
      <xdr:rowOff>40341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3251893" cy="802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60960</xdr:rowOff>
    </xdr:from>
    <xdr:to>
      <xdr:col>3</xdr:col>
      <xdr:colOff>341053</xdr:colOff>
      <xdr:row>3</xdr:row>
      <xdr:rowOff>284181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50C55-8F66-4EA1-9E2D-BB011936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0960"/>
          <a:ext cx="3251893" cy="771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3810</xdr:rowOff>
    </xdr:from>
    <xdr:to>
      <xdr:col>8</xdr:col>
      <xdr:colOff>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5701A-362D-681E-3A9B-2B49BCDD0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384FA-73F4-4D75-893E-FD16AE9A9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3"/>
  <sheetViews>
    <sheetView showGridLines="0" tabSelected="1" zoomScaleNormal="100" workbookViewId="0">
      <pane xSplit="10" ySplit="5" topLeftCell="K6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13" sqref="D13"/>
    </sheetView>
  </sheetViews>
  <sheetFormatPr defaultColWidth="9.109375" defaultRowHeight="14.4" x14ac:dyDescent="0.3"/>
  <cols>
    <col min="1" max="1" width="7.33203125" style="125" customWidth="1"/>
    <col min="2" max="2" width="3.6640625" style="125" customWidth="1"/>
    <col min="3" max="3" width="3.6640625" style="7" customWidth="1"/>
    <col min="4" max="4" width="40.6640625" style="7" customWidth="1"/>
    <col min="5" max="6" width="9.109375" style="125" customWidth="1"/>
    <col min="7" max="7" width="3.6640625" style="125" customWidth="1"/>
    <col min="8" max="8" width="5.6640625" style="10" customWidth="1"/>
    <col min="9" max="9" width="9.6640625" customWidth="1"/>
    <col min="10" max="10" width="14.6640625" style="125" customWidth="1"/>
    <col min="11" max="68" width="12.6640625" style="125" customWidth="1"/>
    <col min="69" max="16384" width="9.109375" style="125"/>
  </cols>
  <sheetData>
    <row r="1" spans="1:68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</row>
    <row r="2" spans="1:68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</row>
    <row r="3" spans="1:68" ht="18" customHeight="1" x14ac:dyDescent="0.4">
      <c r="A3" s="63"/>
      <c r="B3" s="64"/>
      <c r="C3" s="64" t="s">
        <v>112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</row>
    <row r="4" spans="1:68" x14ac:dyDescent="0.3">
      <c r="D4" s="8"/>
      <c r="E4" s="9"/>
    </row>
    <row r="5" spans="1:68" x14ac:dyDescent="0.3">
      <c r="D5" s="11"/>
    </row>
    <row r="6" spans="1:68" ht="12.75" customHeight="1" x14ac:dyDescent="0.3"/>
    <row r="7" spans="1:68" ht="13.2" x14ac:dyDescent="0.25">
      <c r="A7" s="14"/>
      <c r="B7" s="68"/>
      <c r="C7" s="14" t="s">
        <v>112</v>
      </c>
      <c r="D7" s="14"/>
      <c r="E7" s="14"/>
      <c r="F7" s="14"/>
      <c r="G7" s="14"/>
      <c r="H7" s="14"/>
      <c r="I7" s="126"/>
      <c r="J7" s="14"/>
    </row>
    <row r="8" spans="1:68" ht="13.2" x14ac:dyDescent="0.25">
      <c r="B8" s="127"/>
      <c r="C8" s="128"/>
      <c r="D8" s="129"/>
      <c r="I8" s="129"/>
    </row>
    <row r="9" spans="1:68" ht="13.2" x14ac:dyDescent="0.25">
      <c r="B9" s="127"/>
      <c r="C9" s="128"/>
      <c r="D9" s="129" t="s">
        <v>113</v>
      </c>
      <c r="I9" s="22">
        <v>1000</v>
      </c>
    </row>
    <row r="10" spans="1:68" ht="13.2" x14ac:dyDescent="0.25">
      <c r="B10" s="127"/>
      <c r="C10" s="128"/>
      <c r="D10" s="129"/>
      <c r="I10" s="129"/>
    </row>
    <row r="11" spans="1:68" ht="13.2" x14ac:dyDescent="0.25">
      <c r="B11" s="127"/>
      <c r="C11" s="128"/>
      <c r="D11" s="129" t="s">
        <v>114</v>
      </c>
      <c r="I11" s="24">
        <v>1000</v>
      </c>
    </row>
    <row r="12" spans="1:68" ht="13.2" x14ac:dyDescent="0.25">
      <c r="B12" s="127"/>
      <c r="C12" s="128"/>
      <c r="D12" s="129"/>
      <c r="I12" s="129"/>
    </row>
    <row r="13" spans="1:68" ht="13.2" x14ac:dyDescent="0.25">
      <c r="B13" s="127"/>
      <c r="C13" s="128"/>
      <c r="D13" s="129" t="s">
        <v>116</v>
      </c>
      <c r="I13" s="129">
        <v>5000</v>
      </c>
    </row>
    <row r="14" spans="1:68" ht="13.2" x14ac:dyDescent="0.25">
      <c r="B14" s="127"/>
      <c r="C14" s="128"/>
      <c r="D14" s="129"/>
      <c r="I14" s="129"/>
    </row>
    <row r="15" spans="1:68" ht="13.2" x14ac:dyDescent="0.25">
      <c r="B15" s="127"/>
      <c r="C15" s="128"/>
      <c r="D15" s="129" t="s">
        <v>117</v>
      </c>
      <c r="I15" s="129">
        <v>0</v>
      </c>
    </row>
    <row r="16" spans="1:68" ht="13.2" x14ac:dyDescent="0.25">
      <c r="B16" s="127"/>
      <c r="C16" s="128"/>
      <c r="D16" s="129"/>
      <c r="I16" s="129"/>
    </row>
    <row r="17" spans="2:9" ht="13.2" x14ac:dyDescent="0.25">
      <c r="B17" s="127"/>
      <c r="C17" s="128"/>
      <c r="D17" s="129" t="s">
        <v>118</v>
      </c>
      <c r="I17" s="129">
        <v>-5000</v>
      </c>
    </row>
    <row r="18" spans="2:9" ht="13.2" x14ac:dyDescent="0.25">
      <c r="B18" s="127"/>
      <c r="C18" s="128"/>
      <c r="D18" s="129"/>
      <c r="I18" s="129"/>
    </row>
    <row r="19" spans="2:9" ht="13.2" x14ac:dyDescent="0.25">
      <c r="B19" s="127"/>
      <c r="C19" s="128"/>
      <c r="D19" s="129" t="s">
        <v>129</v>
      </c>
      <c r="I19" s="130">
        <v>2.5</v>
      </c>
    </row>
    <row r="20" spans="2:9" ht="13.2" x14ac:dyDescent="0.25">
      <c r="B20" s="127"/>
      <c r="C20" s="128"/>
      <c r="D20" s="129"/>
      <c r="I20" s="129"/>
    </row>
    <row r="21" spans="2:9" ht="13.2" x14ac:dyDescent="0.25">
      <c r="B21" s="127"/>
      <c r="C21" s="128"/>
      <c r="D21" s="129" t="s">
        <v>128</v>
      </c>
      <c r="I21" s="55">
        <v>0.25</v>
      </c>
    </row>
    <row r="22" spans="2:9" ht="13.2" x14ac:dyDescent="0.25">
      <c r="B22" s="127"/>
      <c r="C22" s="128"/>
      <c r="D22" s="129"/>
      <c r="I22" s="129"/>
    </row>
    <row r="23" spans="2:9" ht="13.2" x14ac:dyDescent="0.25">
      <c r="B23" s="127"/>
      <c r="C23" s="128"/>
      <c r="D23" s="129" t="s">
        <v>115</v>
      </c>
      <c r="I23" s="131">
        <v>41639</v>
      </c>
    </row>
    <row r="24" spans="2:9" ht="13.2" x14ac:dyDescent="0.25">
      <c r="B24" s="127"/>
      <c r="C24" s="128"/>
      <c r="D24" s="129"/>
      <c r="I24" s="125"/>
    </row>
    <row r="25" spans="2:9" ht="13.2" x14ac:dyDescent="0.25">
      <c r="B25" s="127"/>
      <c r="C25" s="128"/>
      <c r="D25" s="129" t="s">
        <v>119</v>
      </c>
      <c r="I25" s="101" t="s">
        <v>240</v>
      </c>
    </row>
    <row r="26" spans="2:9" ht="13.2" x14ac:dyDescent="0.25">
      <c r="B26" s="127"/>
      <c r="C26" s="128"/>
      <c r="D26" s="129"/>
      <c r="I26" s="129"/>
    </row>
    <row r="27" spans="2:9" ht="13.2" x14ac:dyDescent="0.25">
      <c r="B27" s="127"/>
      <c r="C27" s="128"/>
      <c r="D27" s="129" t="s">
        <v>120</v>
      </c>
      <c r="I27" s="65" t="s">
        <v>1</v>
      </c>
    </row>
    <row r="28" spans="2:9" ht="13.2" x14ac:dyDescent="0.25">
      <c r="B28" s="127"/>
      <c r="C28" s="128"/>
      <c r="D28" s="129"/>
      <c r="I28" s="129"/>
    </row>
    <row r="29" spans="2:9" ht="13.2" x14ac:dyDescent="0.25">
      <c r="B29" s="127"/>
      <c r="C29" s="128"/>
      <c r="D29" s="129" t="s">
        <v>121</v>
      </c>
      <c r="I29" s="132">
        <v>10000</v>
      </c>
    </row>
    <row r="30" spans="2:9" ht="13.2" x14ac:dyDescent="0.25">
      <c r="B30" s="127"/>
      <c r="C30" s="128"/>
      <c r="D30" s="129"/>
      <c r="I30" s="129"/>
    </row>
    <row r="31" spans="2:9" ht="13.2" x14ac:dyDescent="0.25">
      <c r="B31" s="127"/>
      <c r="C31" s="128"/>
      <c r="D31" s="129" t="s">
        <v>122</v>
      </c>
      <c r="I31" s="23">
        <v>1000</v>
      </c>
    </row>
    <row r="32" spans="2:9" ht="13.2" x14ac:dyDescent="0.25">
      <c r="B32" s="127"/>
      <c r="C32" s="128"/>
      <c r="D32" s="129"/>
      <c r="I32" s="129"/>
    </row>
    <row r="33" spans="1:10" ht="13.2" x14ac:dyDescent="0.25">
      <c r="B33" s="127"/>
      <c r="C33" s="128"/>
      <c r="D33" s="129" t="s">
        <v>106</v>
      </c>
      <c r="I33" s="14" t="s">
        <v>130</v>
      </c>
    </row>
    <row r="34" spans="1:10" ht="13.2" x14ac:dyDescent="0.25">
      <c r="B34" s="127"/>
      <c r="C34" s="128"/>
      <c r="D34" s="129"/>
      <c r="I34" s="129"/>
    </row>
    <row r="35" spans="1:10" ht="21" x14ac:dyDescent="0.4">
      <c r="B35" s="127"/>
      <c r="C35" s="128"/>
      <c r="D35" s="129" t="s">
        <v>123</v>
      </c>
      <c r="I35" s="64" t="s">
        <v>131</v>
      </c>
    </row>
    <row r="36" spans="1:10" ht="13.2" x14ac:dyDescent="0.25">
      <c r="B36" s="127"/>
      <c r="C36" s="128"/>
      <c r="D36" s="129"/>
      <c r="I36" s="129"/>
    </row>
    <row r="37" spans="1:10" ht="13.2" x14ac:dyDescent="0.25">
      <c r="A37" s="14"/>
      <c r="B37" s="68"/>
      <c r="C37" s="14" t="s">
        <v>101</v>
      </c>
      <c r="D37" s="14"/>
      <c r="E37" s="14"/>
      <c r="F37" s="14"/>
      <c r="G37" s="14"/>
      <c r="H37" s="14"/>
      <c r="I37" s="126"/>
      <c r="J37" s="14"/>
    </row>
    <row r="38" spans="1:10" ht="12.75" customHeight="1" x14ac:dyDescent="0.3"/>
    <row r="39" spans="1:10" ht="12.75" customHeight="1" x14ac:dyDescent="0.3"/>
    <row r="40" spans="1:10" ht="12.75" customHeight="1" x14ac:dyDescent="0.3"/>
    <row r="41" spans="1:10" ht="12.75" customHeight="1" x14ac:dyDescent="0.3"/>
    <row r="42" spans="1:10" ht="12.75" customHeight="1" x14ac:dyDescent="0.3"/>
    <row r="43" spans="1:10" ht="12.75" customHeight="1" x14ac:dyDescent="0.3"/>
    <row r="44" spans="1:10" ht="12.75" customHeight="1" x14ac:dyDescent="0.3"/>
    <row r="45" spans="1:10" ht="12.75" customHeight="1" x14ac:dyDescent="0.3"/>
    <row r="46" spans="1:10" ht="12.75" customHeight="1" x14ac:dyDescent="0.3"/>
    <row r="47" spans="1:10" ht="12.75" customHeight="1" x14ac:dyDescent="0.3"/>
    <row r="48" spans="1:10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</sheetData>
  <pageMargins left="0.7" right="0.7" top="0.75" bottom="0.75" header="0.3" footer="0.3"/>
  <pageSetup paperSize="9"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H237"/>
  <sheetViews>
    <sheetView showGridLines="0" zoomScaleNormal="100" workbookViewId="0">
      <pane xSplit="7" ySplit="7" topLeftCell="H68" activePane="bottomRight" state="frozen"/>
      <selection pane="topRight" activeCell="H1" sqref="H1"/>
      <selection pane="bottomLeft" activeCell="A8" sqref="A8"/>
      <selection pane="bottomRight" activeCell="D34" sqref="D34"/>
    </sheetView>
  </sheetViews>
  <sheetFormatPr defaultColWidth="9.109375" defaultRowHeight="13.2" x14ac:dyDescent="0.25"/>
  <cols>
    <col min="1" max="1" width="7.33203125" style="1" customWidth="1"/>
    <col min="2" max="2" width="9.88671875" style="69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12.6640625" style="15" customWidth="1"/>
    <col min="10" max="10" width="12.6640625" style="1" customWidth="1"/>
    <col min="11" max="11" width="12.6640625" style="18" customWidth="1"/>
    <col min="12" max="34" width="12.6640625" style="1" customWidth="1"/>
    <col min="35" max="16384" width="9.109375" style="1"/>
  </cols>
  <sheetData>
    <row r="1" spans="1:34" ht="21" x14ac:dyDescent="0.4">
      <c r="A1" s="64" t="s">
        <v>51</v>
      </c>
      <c r="B1" s="66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</row>
    <row r="2" spans="1:34" s="6" customFormat="1" ht="18" customHeight="1" x14ac:dyDescent="0.4">
      <c r="A2" s="64"/>
      <c r="B2" s="66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</row>
    <row r="3" spans="1:34" ht="18" customHeight="1" x14ac:dyDescent="0.4">
      <c r="A3" s="63">
        <v>1</v>
      </c>
      <c r="B3" s="66"/>
      <c r="C3" s="64" t="s">
        <v>54</v>
      </c>
      <c r="D3" s="64"/>
      <c r="E3" s="64"/>
      <c r="F3" s="64"/>
      <c r="G3" s="64"/>
      <c r="H3" s="64"/>
      <c r="I3" s="64"/>
      <c r="J3" s="6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ht="14.4" x14ac:dyDescent="0.3">
      <c r="B4" s="67"/>
      <c r="D4" s="8"/>
      <c r="E4" s="9"/>
    </row>
    <row r="5" spans="1:34" x14ac:dyDescent="0.25">
      <c r="B5" s="70" t="s">
        <v>109</v>
      </c>
      <c r="D5" s="11"/>
    </row>
    <row r="6" spans="1:34" ht="14.4" x14ac:dyDescent="0.3">
      <c r="B6" s="70" t="s">
        <v>110</v>
      </c>
      <c r="D6" s="12"/>
      <c r="E6" s="2"/>
      <c r="F6"/>
      <c r="L6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x14ac:dyDescent="0.3">
      <c r="B7" s="70" t="s">
        <v>108</v>
      </c>
      <c r="D7" s="12"/>
      <c r="E7" s="10" t="s">
        <v>49</v>
      </c>
      <c r="F7"/>
      <c r="I7" s="19" t="s">
        <v>52</v>
      </c>
      <c r="J7" s="1" t="s">
        <v>53</v>
      </c>
      <c r="L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x14ac:dyDescent="0.25">
      <c r="B8" s="67"/>
      <c r="C8" s="8"/>
    </row>
    <row r="9" spans="1:34" x14ac:dyDescent="0.25">
      <c r="A9" s="14">
        <f>MAX(A$3:A8)+0.01</f>
        <v>1.01</v>
      </c>
      <c r="B9" s="68"/>
      <c r="C9" s="14" t="s">
        <v>54</v>
      </c>
      <c r="D9" s="14"/>
      <c r="E9" s="14"/>
      <c r="F9" s="14"/>
      <c r="G9" s="14"/>
      <c r="H9" s="14"/>
      <c r="I9" s="20"/>
      <c r="J9" s="14"/>
      <c r="K9" s="2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4.4" x14ac:dyDescent="0.3">
      <c r="B10" s="113"/>
      <c r="C10" s="15"/>
      <c r="D10" s="15"/>
      <c r="E10" s="16"/>
      <c r="F10"/>
      <c r="H10" s="16"/>
    </row>
    <row r="11" spans="1:34" ht="14.4" x14ac:dyDescent="0.3">
      <c r="B11" s="113"/>
      <c r="C11" s="17" t="s">
        <v>55</v>
      </c>
      <c r="D11" s="15"/>
      <c r="E11" s="16"/>
      <c r="F11"/>
      <c r="H11" s="16"/>
    </row>
    <row r="12" spans="1:34" ht="14.4" x14ac:dyDescent="0.3">
      <c r="B12" s="113">
        <v>2</v>
      </c>
      <c r="C12" s="17"/>
      <c r="D12" s="62" t="s">
        <v>132</v>
      </c>
      <c r="E12" s="16" t="s">
        <v>0</v>
      </c>
      <c r="F12"/>
      <c r="H12" s="16"/>
      <c r="I12" s="31">
        <v>41639</v>
      </c>
      <c r="J12" s="15"/>
      <c r="K12" s="23"/>
      <c r="L12" s="15"/>
      <c r="M12" s="15"/>
    </row>
    <row r="13" spans="1:34" ht="14.4" x14ac:dyDescent="0.3">
      <c r="B13" s="113">
        <v>1</v>
      </c>
      <c r="C13" s="17"/>
      <c r="D13" s="15" t="s">
        <v>58</v>
      </c>
      <c r="E13" s="16" t="s">
        <v>59</v>
      </c>
      <c r="F13"/>
      <c r="H13" s="16"/>
      <c r="I13" s="24">
        <v>4</v>
      </c>
      <c r="J13" s="15"/>
      <c r="K13" s="23"/>
      <c r="L13" s="15"/>
      <c r="M13" s="15"/>
    </row>
    <row r="14" spans="1:34" ht="14.4" x14ac:dyDescent="0.3">
      <c r="B14" s="113">
        <v>2</v>
      </c>
      <c r="C14" s="17"/>
      <c r="D14" s="15" t="s">
        <v>107</v>
      </c>
      <c r="E14" s="16" t="s">
        <v>0</v>
      </c>
      <c r="F14"/>
      <c r="H14" s="16"/>
      <c r="I14" s="26">
        <v>48944</v>
      </c>
      <c r="J14" s="15"/>
      <c r="K14" s="23"/>
      <c r="L14" s="15"/>
      <c r="M14" s="15"/>
    </row>
    <row r="15" spans="1:34" ht="14.4" x14ac:dyDescent="0.3">
      <c r="B15" s="113"/>
      <c r="C15" s="17"/>
      <c r="D15" s="15"/>
      <c r="E15" s="16"/>
      <c r="F15"/>
      <c r="H15" s="16"/>
      <c r="J15" s="15"/>
      <c r="K15" s="23"/>
      <c r="L15" s="15"/>
      <c r="M15" s="15"/>
    </row>
    <row r="16" spans="1:34" ht="14.4" x14ac:dyDescent="0.3">
      <c r="B16" s="113">
        <v>13</v>
      </c>
      <c r="C16" s="17"/>
      <c r="D16" s="15" t="s">
        <v>64</v>
      </c>
      <c r="E16" s="16" t="s">
        <v>66</v>
      </c>
      <c r="F16"/>
      <c r="H16" s="16"/>
      <c r="I16" s="29">
        <v>2.8000000000000001E-2</v>
      </c>
      <c r="J16" s="15"/>
      <c r="K16" s="23"/>
      <c r="L16" s="15"/>
      <c r="M16" s="15"/>
    </row>
    <row r="17" spans="2:13" ht="14.4" x14ac:dyDescent="0.3">
      <c r="B17" s="113">
        <v>13</v>
      </c>
      <c r="C17" s="17"/>
      <c r="D17" s="15" t="s">
        <v>11</v>
      </c>
      <c r="E17" s="16" t="s">
        <v>63</v>
      </c>
      <c r="F17"/>
      <c r="H17" s="16"/>
      <c r="I17" s="129" t="s">
        <v>268</v>
      </c>
      <c r="J17" s="15"/>
      <c r="K17" s="23"/>
      <c r="L17" s="15"/>
      <c r="M17" s="15"/>
    </row>
    <row r="18" spans="2:13" ht="14.4" x14ac:dyDescent="0.3">
      <c r="B18" s="113"/>
      <c r="C18" s="17"/>
      <c r="D18" s="15"/>
      <c r="E18" s="16"/>
      <c r="F18"/>
      <c r="H18" s="16"/>
      <c r="J18" s="15"/>
      <c r="K18" s="23"/>
      <c r="L18" s="15"/>
      <c r="M18" s="15"/>
    </row>
    <row r="19" spans="2:13" ht="14.4" x14ac:dyDescent="0.3">
      <c r="B19" s="113">
        <v>26</v>
      </c>
      <c r="C19" s="17"/>
      <c r="D19" s="15" t="s">
        <v>90</v>
      </c>
      <c r="E19" s="16" t="s">
        <v>16</v>
      </c>
      <c r="F19"/>
      <c r="H19" s="16"/>
      <c r="I19" s="29">
        <v>0.24</v>
      </c>
      <c r="J19" s="15"/>
      <c r="K19" s="23"/>
      <c r="L19" s="15"/>
      <c r="M19" s="15"/>
    </row>
    <row r="20" spans="2:13" x14ac:dyDescent="0.25">
      <c r="B20" s="113">
        <v>26</v>
      </c>
      <c r="C20" s="17"/>
      <c r="D20" s="97" t="s">
        <v>236</v>
      </c>
      <c r="E20" s="16" t="s">
        <v>63</v>
      </c>
      <c r="I20" s="15" t="s">
        <v>94</v>
      </c>
      <c r="J20" s="15"/>
      <c r="K20" s="23"/>
      <c r="L20" s="15"/>
      <c r="M20" s="15"/>
    </row>
    <row r="21" spans="2:13" x14ac:dyDescent="0.25">
      <c r="B21" s="113"/>
      <c r="C21" s="17"/>
      <c r="D21" s="1"/>
      <c r="E21" s="16"/>
      <c r="J21" s="15"/>
      <c r="K21" s="23"/>
      <c r="L21" s="15"/>
      <c r="M21" s="15"/>
    </row>
    <row r="22" spans="2:13" ht="14.4" x14ac:dyDescent="0.3">
      <c r="B22" s="113">
        <v>23</v>
      </c>
      <c r="C22" s="17"/>
      <c r="D22" s="15" t="s">
        <v>91</v>
      </c>
      <c r="E22" s="16" t="s">
        <v>1</v>
      </c>
      <c r="F22"/>
      <c r="H22" s="16"/>
      <c r="I22" s="22">
        <v>1000000</v>
      </c>
      <c r="J22" s="15"/>
      <c r="K22" s="23"/>
      <c r="L22" s="15"/>
      <c r="M22" s="15"/>
    </row>
    <row r="23" spans="2:13" ht="14.4" x14ac:dyDescent="0.3">
      <c r="B23" s="113"/>
      <c r="C23" s="17"/>
      <c r="D23" s="15" t="s">
        <v>92</v>
      </c>
      <c r="E23" s="16"/>
      <c r="F23"/>
      <c r="H23" s="16"/>
      <c r="J23" s="15"/>
      <c r="K23" s="23"/>
      <c r="L23" s="15"/>
      <c r="M23" s="15"/>
    </row>
    <row r="24" spans="2:13" ht="14.4" x14ac:dyDescent="0.3">
      <c r="B24" s="113"/>
      <c r="C24" s="17"/>
      <c r="D24" s="15"/>
      <c r="E24" s="16"/>
      <c r="F24"/>
      <c r="H24" s="16"/>
      <c r="J24" s="15"/>
      <c r="K24" s="23"/>
      <c r="L24" s="15"/>
      <c r="M24" s="15"/>
    </row>
    <row r="25" spans="2:13" x14ac:dyDescent="0.25">
      <c r="B25" s="113"/>
      <c r="C25" s="17" t="s">
        <v>60</v>
      </c>
      <c r="D25" s="15"/>
      <c r="E25" s="16"/>
      <c r="J25" s="15"/>
      <c r="K25" s="23"/>
      <c r="L25" s="15"/>
      <c r="M25" s="15"/>
    </row>
    <row r="26" spans="2:13" x14ac:dyDescent="0.25">
      <c r="B26" s="113">
        <v>6</v>
      </c>
      <c r="C26" s="17"/>
      <c r="D26" s="3" t="s">
        <v>61</v>
      </c>
      <c r="E26" s="16"/>
      <c r="J26" s="15"/>
      <c r="K26" s="23"/>
      <c r="L26" s="15"/>
      <c r="M26" s="15"/>
    </row>
    <row r="27" spans="2:13" x14ac:dyDescent="0.25">
      <c r="B27" s="113"/>
      <c r="C27" s="17"/>
      <c r="D27" s="1" t="s">
        <v>31</v>
      </c>
      <c r="E27" s="16" t="s">
        <v>105</v>
      </c>
      <c r="I27" s="45">
        <v>1.7613000000000001</v>
      </c>
      <c r="J27" s="15"/>
      <c r="K27" s="23"/>
      <c r="L27" s="15"/>
      <c r="M27" s="15"/>
    </row>
    <row r="28" spans="2:13" x14ac:dyDescent="0.25">
      <c r="B28" s="113"/>
      <c r="C28" s="17"/>
      <c r="D28" s="1" t="s">
        <v>32</v>
      </c>
      <c r="E28" s="16" t="s">
        <v>105</v>
      </c>
      <c r="I28" s="45">
        <v>3.1671</v>
      </c>
      <c r="J28" s="15"/>
      <c r="K28" s="23"/>
      <c r="L28" s="15"/>
      <c r="M28" s="15"/>
    </row>
    <row r="29" spans="2:13" x14ac:dyDescent="0.25">
      <c r="B29" s="113"/>
      <c r="C29" s="17"/>
      <c r="D29" s="1" t="s">
        <v>33</v>
      </c>
      <c r="E29" s="16" t="s">
        <v>105</v>
      </c>
      <c r="I29" s="45">
        <v>4.8433000000000002</v>
      </c>
      <c r="J29" s="15"/>
      <c r="K29" s="23"/>
      <c r="L29" s="15"/>
      <c r="M29" s="15"/>
    </row>
    <row r="30" spans="2:13" x14ac:dyDescent="0.25">
      <c r="B30" s="113"/>
      <c r="C30" s="17"/>
      <c r="D30" s="1" t="s">
        <v>34</v>
      </c>
      <c r="E30" s="16" t="s">
        <v>105</v>
      </c>
      <c r="I30" s="45">
        <v>7.234</v>
      </c>
      <c r="J30" s="15"/>
      <c r="K30" s="23"/>
      <c r="L30" s="15"/>
      <c r="M30" s="15"/>
    </row>
    <row r="31" spans="2:13" x14ac:dyDescent="0.25">
      <c r="B31" s="113"/>
      <c r="C31" s="17"/>
      <c r="D31" s="15"/>
      <c r="E31" s="16"/>
      <c r="J31" s="15"/>
      <c r="K31" s="23"/>
      <c r="L31" s="15"/>
      <c r="M31" s="15"/>
    </row>
    <row r="32" spans="2:13" x14ac:dyDescent="0.25">
      <c r="B32" s="113">
        <v>7</v>
      </c>
      <c r="C32" s="17"/>
      <c r="D32" s="1" t="s">
        <v>62</v>
      </c>
      <c r="E32" s="16" t="s">
        <v>16</v>
      </c>
      <c r="I32" s="29">
        <v>2.5000000000000001E-2</v>
      </c>
      <c r="J32" s="15"/>
      <c r="K32" s="23"/>
      <c r="L32" s="15"/>
      <c r="M32" s="15"/>
    </row>
    <row r="33" spans="2:29" x14ac:dyDescent="0.25">
      <c r="B33" s="113">
        <v>7</v>
      </c>
      <c r="C33" s="17"/>
      <c r="D33" s="1" t="s">
        <v>2</v>
      </c>
      <c r="E33" s="16" t="s">
        <v>0</v>
      </c>
      <c r="I33" s="26">
        <f>EOMONTH(I12,6)+1</f>
        <v>41821</v>
      </c>
      <c r="J33" s="15"/>
      <c r="K33" s="23"/>
      <c r="L33" s="15"/>
      <c r="M33" s="15"/>
    </row>
    <row r="34" spans="2:29" x14ac:dyDescent="0.25">
      <c r="B34" s="113"/>
      <c r="C34" s="17"/>
      <c r="D34" s="1"/>
      <c r="E34" s="16"/>
      <c r="J34" s="15"/>
      <c r="K34" s="23"/>
      <c r="L34" s="15"/>
      <c r="M34" s="15"/>
    </row>
    <row r="35" spans="2:29" x14ac:dyDescent="0.25">
      <c r="B35" s="113">
        <v>7</v>
      </c>
      <c r="C35" s="17"/>
      <c r="D35" s="1" t="s">
        <v>41</v>
      </c>
      <c r="E35" s="16" t="s">
        <v>1</v>
      </c>
      <c r="I35" s="27">
        <v>0.3</v>
      </c>
      <c r="J35" s="15"/>
      <c r="K35" s="23"/>
      <c r="L35" s="15"/>
      <c r="M35" s="15"/>
    </row>
    <row r="36" spans="2:29" x14ac:dyDescent="0.25">
      <c r="B36" s="113"/>
      <c r="C36" s="17"/>
      <c r="D36" s="1"/>
      <c r="E36" s="16"/>
      <c r="J36" s="15"/>
      <c r="K36" s="23"/>
      <c r="L36" s="15"/>
      <c r="M36" s="15"/>
    </row>
    <row r="37" spans="2:29" x14ac:dyDescent="0.25">
      <c r="B37" s="113"/>
      <c r="C37" s="17"/>
      <c r="D37" s="3" t="s">
        <v>42</v>
      </c>
      <c r="E37" s="16"/>
      <c r="J37" s="15"/>
      <c r="K37" s="23"/>
      <c r="L37" s="15"/>
      <c r="M37" s="15"/>
    </row>
    <row r="38" spans="2:29" x14ac:dyDescent="0.25">
      <c r="B38" s="113">
        <v>7</v>
      </c>
      <c r="C38" s="17"/>
      <c r="D38" s="1" t="s">
        <v>43</v>
      </c>
      <c r="E38" s="16" t="s">
        <v>63</v>
      </c>
      <c r="I38" s="4" t="s">
        <v>45</v>
      </c>
      <c r="J38" s="15"/>
      <c r="K38" s="23"/>
      <c r="L38" s="15"/>
      <c r="M38" s="15"/>
    </row>
    <row r="39" spans="2:29" x14ac:dyDescent="0.25">
      <c r="B39" s="113">
        <v>7</v>
      </c>
      <c r="C39" s="17"/>
      <c r="D39" s="1" t="s">
        <v>44</v>
      </c>
      <c r="E39" s="16" t="s">
        <v>63</v>
      </c>
      <c r="I39" s="4" t="s">
        <v>46</v>
      </c>
      <c r="J39" s="15"/>
      <c r="K39" s="23"/>
      <c r="L39" s="15"/>
      <c r="M39" s="15"/>
    </row>
    <row r="40" spans="2:29" ht="14.4" x14ac:dyDescent="0.3">
      <c r="B40" s="113"/>
      <c r="C40" s="17"/>
      <c r="D40" s="15"/>
      <c r="E40" s="16"/>
      <c r="F40"/>
      <c r="H40" s="16"/>
      <c r="J40" s="15"/>
      <c r="K40" s="23"/>
      <c r="L40" s="15"/>
      <c r="M40" s="15"/>
    </row>
    <row r="41" spans="2:29" ht="14.4" x14ac:dyDescent="0.3">
      <c r="B41" s="113"/>
      <c r="C41" s="17" t="s">
        <v>56</v>
      </c>
      <c r="D41" s="15"/>
      <c r="E41" s="16"/>
      <c r="F41"/>
      <c r="H41" s="16"/>
      <c r="J41" s="15"/>
      <c r="K41" s="23"/>
      <c r="L41" s="15"/>
      <c r="M41" s="15"/>
    </row>
    <row r="42" spans="2:29" x14ac:dyDescent="0.25">
      <c r="B42" s="113">
        <v>8</v>
      </c>
      <c r="C42" s="17"/>
      <c r="D42" s="25" t="s">
        <v>258</v>
      </c>
      <c r="I42" s="61" t="s">
        <v>259</v>
      </c>
    </row>
    <row r="43" spans="2:29" x14ac:dyDescent="0.25">
      <c r="B43" s="113"/>
      <c r="C43" s="17"/>
      <c r="D43" s="15" t="s">
        <v>31</v>
      </c>
      <c r="E43" s="16" t="s">
        <v>57</v>
      </c>
      <c r="I43" s="22">
        <v>4000</v>
      </c>
    </row>
    <row r="44" spans="2:29" x14ac:dyDescent="0.25">
      <c r="B44" s="113"/>
      <c r="C44" s="17"/>
      <c r="D44" s="15" t="s">
        <v>32</v>
      </c>
      <c r="E44" s="16" t="s">
        <v>57</v>
      </c>
      <c r="I44" s="22">
        <v>25000</v>
      </c>
    </row>
    <row r="45" spans="2:29" x14ac:dyDescent="0.25">
      <c r="B45" s="113"/>
      <c r="C45" s="17"/>
      <c r="D45" s="15" t="s">
        <v>33</v>
      </c>
      <c r="E45" s="16" t="s">
        <v>57</v>
      </c>
      <c r="I45" s="22">
        <v>7000</v>
      </c>
    </row>
    <row r="46" spans="2:29" x14ac:dyDescent="0.25">
      <c r="B46" s="113"/>
      <c r="C46" s="17"/>
      <c r="D46" s="15" t="s">
        <v>34</v>
      </c>
      <c r="E46" s="16" t="s">
        <v>57</v>
      </c>
      <c r="I46" s="22">
        <v>5000</v>
      </c>
    </row>
    <row r="47" spans="2:29" x14ac:dyDescent="0.25">
      <c r="B47" s="113"/>
      <c r="C47" s="17"/>
      <c r="D47" s="15"/>
      <c r="K47" s="1"/>
    </row>
    <row r="48" spans="2:29" x14ac:dyDescent="0.25">
      <c r="B48" s="113"/>
      <c r="C48" s="17"/>
      <c r="D48" s="15"/>
      <c r="I48" s="124">
        <v>2013</v>
      </c>
      <c r="J48" s="124">
        <v>2014</v>
      </c>
      <c r="K48" s="124">
        <v>2015</v>
      </c>
      <c r="L48" s="124">
        <v>2016</v>
      </c>
      <c r="M48" s="124">
        <v>2017</v>
      </c>
      <c r="N48" s="124">
        <v>2018</v>
      </c>
      <c r="O48" s="124">
        <v>2019</v>
      </c>
      <c r="P48" s="124">
        <v>2020</v>
      </c>
      <c r="Q48" s="124">
        <v>2021</v>
      </c>
      <c r="R48" s="124">
        <v>2022</v>
      </c>
      <c r="S48" s="124">
        <v>2023</v>
      </c>
      <c r="T48" s="124">
        <v>2024</v>
      </c>
      <c r="U48" s="124">
        <v>2025</v>
      </c>
      <c r="V48" s="124">
        <v>2026</v>
      </c>
      <c r="W48" s="124">
        <v>2027</v>
      </c>
      <c r="X48" s="124">
        <v>2028</v>
      </c>
      <c r="Y48" s="124">
        <v>2029</v>
      </c>
      <c r="Z48" s="124">
        <v>2030</v>
      </c>
      <c r="AA48" s="124">
        <v>2031</v>
      </c>
      <c r="AB48" s="124">
        <v>2032</v>
      </c>
      <c r="AC48" s="124">
        <v>2033</v>
      </c>
    </row>
    <row r="49" spans="2:29" x14ac:dyDescent="0.25">
      <c r="B49" s="113">
        <v>9</v>
      </c>
      <c r="C49" s="17"/>
      <c r="D49" s="97" t="s">
        <v>152</v>
      </c>
      <c r="E49" s="28" t="s">
        <v>16</v>
      </c>
      <c r="I49" s="29">
        <v>0.6</v>
      </c>
      <c r="J49" s="29">
        <v>0.62759999999999994</v>
      </c>
      <c r="K49" s="29">
        <v>0.66099999999999992</v>
      </c>
      <c r="L49" s="29">
        <v>0.67049999999999987</v>
      </c>
      <c r="M49" s="29">
        <v>0.67859999999999987</v>
      </c>
      <c r="N49" s="29">
        <v>0.6792999999999999</v>
      </c>
      <c r="O49" s="29">
        <v>0.69819999999999993</v>
      </c>
      <c r="P49" s="29">
        <v>0.7014999999999999</v>
      </c>
      <c r="Q49" s="29">
        <v>0.71479999999999988</v>
      </c>
      <c r="R49" s="29">
        <v>0.74059999999999993</v>
      </c>
      <c r="S49" s="29">
        <v>0.76889999999999992</v>
      </c>
      <c r="T49" s="29">
        <v>0.77989999999999993</v>
      </c>
      <c r="U49" s="29">
        <v>0.79029999999999989</v>
      </c>
      <c r="V49" s="29">
        <v>0.80879999999999985</v>
      </c>
      <c r="W49" s="29">
        <v>0.82289999999999985</v>
      </c>
      <c r="X49" s="29">
        <v>0.8365999999999999</v>
      </c>
      <c r="Y49" s="29">
        <v>0.86589999999999989</v>
      </c>
      <c r="Z49" s="29">
        <v>0.87519999999999987</v>
      </c>
      <c r="AA49" s="29">
        <v>0.8889999999999999</v>
      </c>
      <c r="AB49" s="29">
        <v>0.8889999999999999</v>
      </c>
      <c r="AC49" s="29">
        <v>0.8889999999999999</v>
      </c>
    </row>
    <row r="50" spans="2:29" x14ac:dyDescent="0.25">
      <c r="B50" s="113"/>
      <c r="C50" s="17"/>
      <c r="D50" s="15"/>
      <c r="E50" s="16"/>
    </row>
    <row r="51" spans="2:29" x14ac:dyDescent="0.25">
      <c r="B51" s="113"/>
      <c r="C51" s="17"/>
      <c r="D51" s="25" t="s">
        <v>71</v>
      </c>
      <c r="E51" s="16"/>
    </row>
    <row r="52" spans="2:29" x14ac:dyDescent="0.25">
      <c r="B52" s="113">
        <v>10</v>
      </c>
      <c r="C52" s="17"/>
      <c r="D52" s="15" t="s">
        <v>70</v>
      </c>
      <c r="E52" s="28" t="s">
        <v>16</v>
      </c>
      <c r="I52" s="29">
        <v>0.02</v>
      </c>
    </row>
    <row r="53" spans="2:29" x14ac:dyDescent="0.25">
      <c r="B53" s="113"/>
      <c r="C53" s="17"/>
      <c r="D53" s="15"/>
      <c r="E53" s="16"/>
    </row>
    <row r="54" spans="2:29" x14ac:dyDescent="0.25">
      <c r="B54" s="113">
        <v>8</v>
      </c>
      <c r="C54" s="17"/>
      <c r="D54" s="25" t="s">
        <v>264</v>
      </c>
      <c r="E54" s="16"/>
      <c r="I54" s="33" t="s">
        <v>36</v>
      </c>
      <c r="J54" s="34" t="s">
        <v>37</v>
      </c>
      <c r="K54" s="41" t="s">
        <v>38</v>
      </c>
    </row>
    <row r="55" spans="2:29" x14ac:dyDescent="0.25">
      <c r="B55" s="113"/>
      <c r="C55" s="17"/>
      <c r="D55" s="15"/>
      <c r="E55" s="16"/>
      <c r="I55" s="35" t="s">
        <v>0</v>
      </c>
      <c r="J55" s="36" t="s">
        <v>0</v>
      </c>
      <c r="K55" s="42" t="s">
        <v>39</v>
      </c>
    </row>
    <row r="56" spans="2:29" x14ac:dyDescent="0.25">
      <c r="B56" s="113"/>
      <c r="C56" s="17"/>
      <c r="D56" s="15" t="s">
        <v>35</v>
      </c>
      <c r="E56" s="16"/>
      <c r="I56" s="37">
        <v>41730</v>
      </c>
      <c r="J56" s="38">
        <v>42185</v>
      </c>
      <c r="K56" s="43">
        <v>0.08</v>
      </c>
    </row>
    <row r="57" spans="2:29" x14ac:dyDescent="0.25">
      <c r="B57" s="113"/>
      <c r="C57" s="17"/>
      <c r="D57" s="15" t="s">
        <v>35</v>
      </c>
      <c r="E57" s="16"/>
      <c r="I57" s="37">
        <f>J56+1</f>
        <v>42186</v>
      </c>
      <c r="J57" s="38">
        <v>43465</v>
      </c>
      <c r="K57" s="43">
        <v>0.06</v>
      </c>
    </row>
    <row r="58" spans="2:29" x14ac:dyDescent="0.25">
      <c r="B58" s="113"/>
      <c r="C58" s="17"/>
      <c r="D58" s="15" t="s">
        <v>35</v>
      </c>
      <c r="E58" s="16"/>
      <c r="I58" s="39">
        <f>J57+1</f>
        <v>43466</v>
      </c>
      <c r="J58" s="40" t="s">
        <v>40</v>
      </c>
      <c r="K58" s="44">
        <v>0.04</v>
      </c>
    </row>
    <row r="59" spans="2:29" x14ac:dyDescent="0.25">
      <c r="B59" s="113"/>
      <c r="C59" s="17"/>
      <c r="D59" s="15"/>
      <c r="E59" s="16"/>
      <c r="I59" s="123"/>
      <c r="J59" s="78"/>
      <c r="K59" s="133"/>
    </row>
    <row r="60" spans="2:29" x14ac:dyDescent="0.25">
      <c r="B60" s="113">
        <v>8</v>
      </c>
      <c r="C60" s="17"/>
      <c r="D60" s="25" t="s">
        <v>265</v>
      </c>
      <c r="E60" s="16"/>
      <c r="I60" s="33" t="s">
        <v>36</v>
      </c>
      <c r="J60" s="34" t="s">
        <v>37</v>
      </c>
      <c r="K60" s="41" t="s">
        <v>38</v>
      </c>
    </row>
    <row r="61" spans="2:29" x14ac:dyDescent="0.25">
      <c r="B61" s="113"/>
      <c r="C61" s="17"/>
      <c r="D61" s="15"/>
      <c r="E61" s="16"/>
      <c r="I61" s="35" t="s">
        <v>0</v>
      </c>
      <c r="J61" s="36" t="s">
        <v>0</v>
      </c>
      <c r="K61" s="42" t="s">
        <v>39</v>
      </c>
    </row>
    <row r="62" spans="2:29" x14ac:dyDescent="0.25">
      <c r="B62" s="113"/>
      <c r="C62" s="17"/>
      <c r="D62" s="15" t="s">
        <v>35</v>
      </c>
      <c r="E62" s="16"/>
      <c r="I62" s="37">
        <v>41730</v>
      </c>
      <c r="J62" s="38">
        <v>42185</v>
      </c>
      <c r="K62" s="43">
        <v>-2E-3</v>
      </c>
    </row>
    <row r="63" spans="2:29" x14ac:dyDescent="0.25">
      <c r="B63" s="113"/>
      <c r="C63" s="17"/>
      <c r="D63" s="15" t="s">
        <v>35</v>
      </c>
      <c r="E63" s="16"/>
      <c r="I63" s="37">
        <f>J62+1</f>
        <v>42186</v>
      </c>
      <c r="J63" s="38">
        <v>43465</v>
      </c>
      <c r="K63" s="43">
        <v>-5.0000000000000001E-3</v>
      </c>
    </row>
    <row r="64" spans="2:29" x14ac:dyDescent="0.25">
      <c r="B64" s="113"/>
      <c r="C64" s="17"/>
      <c r="D64" s="15" t="s">
        <v>35</v>
      </c>
      <c r="E64" s="16"/>
      <c r="I64" s="39">
        <f>J63+1</f>
        <v>43466</v>
      </c>
      <c r="J64" s="40" t="s">
        <v>40</v>
      </c>
      <c r="K64" s="44">
        <v>-5.0000000000000001E-3</v>
      </c>
    </row>
    <row r="65" spans="2:11" x14ac:dyDescent="0.25">
      <c r="B65" s="113"/>
      <c r="C65" s="17"/>
      <c r="D65" s="15"/>
      <c r="E65" s="16"/>
      <c r="I65" s="123"/>
      <c r="J65" s="78"/>
      <c r="K65" s="133"/>
    </row>
    <row r="66" spans="2:11" x14ac:dyDescent="0.25">
      <c r="B66" s="113">
        <v>8</v>
      </c>
      <c r="C66" s="17"/>
      <c r="D66" s="25" t="s">
        <v>266</v>
      </c>
      <c r="E66" s="16"/>
      <c r="I66" s="33" t="s">
        <v>36</v>
      </c>
      <c r="J66" s="34" t="s">
        <v>37</v>
      </c>
      <c r="K66" s="41" t="s">
        <v>38</v>
      </c>
    </row>
    <row r="67" spans="2:11" x14ac:dyDescent="0.25">
      <c r="B67" s="113"/>
      <c r="C67" s="17"/>
      <c r="D67" s="15"/>
      <c r="E67" s="16"/>
      <c r="I67" s="35" t="s">
        <v>0</v>
      </c>
      <c r="J67" s="36" t="s">
        <v>0</v>
      </c>
      <c r="K67" s="42" t="s">
        <v>39</v>
      </c>
    </row>
    <row r="68" spans="2:11" x14ac:dyDescent="0.25">
      <c r="B68" s="113"/>
      <c r="C68" s="17"/>
      <c r="D68" s="15" t="s">
        <v>35</v>
      </c>
      <c r="E68" s="16"/>
      <c r="I68" s="37">
        <v>41730</v>
      </c>
      <c r="J68" s="38">
        <v>42185</v>
      </c>
      <c r="K68" s="43">
        <v>4.0000000000000001E-3</v>
      </c>
    </row>
    <row r="69" spans="2:11" x14ac:dyDescent="0.25">
      <c r="B69" s="113"/>
      <c r="C69" s="17"/>
      <c r="D69" s="15" t="s">
        <v>35</v>
      </c>
      <c r="E69" s="16"/>
      <c r="I69" s="37">
        <f>J68+1</f>
        <v>42186</v>
      </c>
      <c r="J69" s="38">
        <v>43465</v>
      </c>
      <c r="K69" s="43">
        <v>2E-3</v>
      </c>
    </row>
    <row r="70" spans="2:11" x14ac:dyDescent="0.25">
      <c r="B70" s="113"/>
      <c r="C70" s="17"/>
      <c r="D70" s="15" t="s">
        <v>35</v>
      </c>
      <c r="E70" s="16"/>
      <c r="I70" s="39">
        <f>J69+1</f>
        <v>43466</v>
      </c>
      <c r="J70" s="40" t="s">
        <v>40</v>
      </c>
      <c r="K70" s="44">
        <v>2E-3</v>
      </c>
    </row>
    <row r="71" spans="2:11" x14ac:dyDescent="0.25">
      <c r="B71" s="113"/>
      <c r="C71" s="17"/>
      <c r="D71" s="15"/>
      <c r="E71" s="16"/>
      <c r="I71" s="123"/>
      <c r="J71" s="78"/>
      <c r="K71" s="133"/>
    </row>
    <row r="72" spans="2:11" x14ac:dyDescent="0.25">
      <c r="B72" s="113">
        <v>8</v>
      </c>
      <c r="C72" s="17"/>
      <c r="D72" s="25" t="s">
        <v>267</v>
      </c>
      <c r="E72" s="16"/>
      <c r="I72" s="33" t="s">
        <v>36</v>
      </c>
      <c r="J72" s="34" t="s">
        <v>37</v>
      </c>
      <c r="K72" s="41" t="s">
        <v>38</v>
      </c>
    </row>
    <row r="73" spans="2:11" x14ac:dyDescent="0.25">
      <c r="B73" s="113"/>
      <c r="C73" s="17"/>
      <c r="D73" s="15"/>
      <c r="E73" s="16"/>
      <c r="I73" s="35" t="s">
        <v>0</v>
      </c>
      <c r="J73" s="36" t="s">
        <v>0</v>
      </c>
      <c r="K73" s="42" t="s">
        <v>39</v>
      </c>
    </row>
    <row r="74" spans="2:11" x14ac:dyDescent="0.25">
      <c r="B74" s="113"/>
      <c r="C74" s="17"/>
      <c r="D74" s="15" t="s">
        <v>35</v>
      </c>
      <c r="E74" s="16"/>
      <c r="I74" s="37">
        <v>41730</v>
      </c>
      <c r="J74" s="38">
        <v>42185</v>
      </c>
      <c r="K74" s="43">
        <v>1.6E-2</v>
      </c>
    </row>
    <row r="75" spans="2:11" x14ac:dyDescent="0.25">
      <c r="B75" s="113"/>
      <c r="C75" s="17"/>
      <c r="D75" s="15" t="s">
        <v>35</v>
      </c>
      <c r="E75" s="16"/>
      <c r="I75" s="37">
        <f>J74+1</f>
        <v>42186</v>
      </c>
      <c r="J75" s="38">
        <v>43465</v>
      </c>
      <c r="K75" s="43">
        <v>0.01</v>
      </c>
    </row>
    <row r="76" spans="2:11" x14ac:dyDescent="0.25">
      <c r="B76" s="113"/>
      <c r="C76" s="17"/>
      <c r="D76" s="15" t="s">
        <v>35</v>
      </c>
      <c r="E76" s="16"/>
      <c r="I76" s="39">
        <f>J75+1</f>
        <v>43466</v>
      </c>
      <c r="J76" s="40" t="s">
        <v>40</v>
      </c>
      <c r="K76" s="44">
        <v>5.0000000000000001E-3</v>
      </c>
    </row>
    <row r="77" spans="2:11" x14ac:dyDescent="0.25">
      <c r="B77" s="113"/>
      <c r="C77" s="17"/>
      <c r="D77" s="15"/>
      <c r="E77" s="16"/>
    </row>
    <row r="78" spans="2:11" x14ac:dyDescent="0.25">
      <c r="B78" s="113">
        <v>11</v>
      </c>
      <c r="C78" s="17" t="s">
        <v>3</v>
      </c>
      <c r="D78" s="15"/>
      <c r="E78" s="16"/>
    </row>
    <row r="79" spans="2:11" x14ac:dyDescent="0.25">
      <c r="B79" s="113"/>
      <c r="C79" s="17"/>
      <c r="D79" s="25" t="s">
        <v>67</v>
      </c>
      <c r="E79" s="16"/>
    </row>
    <row r="80" spans="2:11" x14ac:dyDescent="0.25">
      <c r="B80" s="113"/>
      <c r="C80" s="17"/>
      <c r="D80" s="15" t="s">
        <v>68</v>
      </c>
      <c r="E80" s="16" t="s">
        <v>9</v>
      </c>
      <c r="I80" s="27">
        <v>0.8</v>
      </c>
    </row>
    <row r="81" spans="2:17" x14ac:dyDescent="0.25">
      <c r="B81" s="113"/>
      <c r="C81" s="17"/>
      <c r="D81" s="15" t="s">
        <v>69</v>
      </c>
      <c r="E81" s="16" t="s">
        <v>9</v>
      </c>
      <c r="I81" s="27">
        <v>1.05</v>
      </c>
    </row>
    <row r="82" spans="2:17" x14ac:dyDescent="0.25">
      <c r="B82" s="113"/>
      <c r="C82" s="17"/>
      <c r="D82" s="15"/>
      <c r="E82" s="16"/>
    </row>
    <row r="83" spans="2:17" x14ac:dyDescent="0.25">
      <c r="B83" s="113">
        <v>12</v>
      </c>
      <c r="C83" s="17" t="s">
        <v>4</v>
      </c>
      <c r="D83" s="15"/>
      <c r="E83" s="16"/>
    </row>
    <row r="84" spans="2:17" x14ac:dyDescent="0.25">
      <c r="B84" s="113"/>
      <c r="C84" s="17"/>
      <c r="D84" s="1" t="s">
        <v>5</v>
      </c>
      <c r="E84" s="16" t="s">
        <v>72</v>
      </c>
      <c r="I84" s="22">
        <v>48000</v>
      </c>
    </row>
    <row r="85" spans="2:17" x14ac:dyDescent="0.25">
      <c r="B85" s="113"/>
      <c r="C85" s="17"/>
      <c r="D85" s="1" t="s">
        <v>6</v>
      </c>
      <c r="E85" s="16" t="s">
        <v>72</v>
      </c>
      <c r="I85" s="22">
        <v>1000000</v>
      </c>
    </row>
    <row r="86" spans="2:17" x14ac:dyDescent="0.25">
      <c r="B86" s="113"/>
      <c r="C86" s="17"/>
      <c r="D86" s="1" t="s">
        <v>7</v>
      </c>
      <c r="E86" s="16" t="s">
        <v>72</v>
      </c>
      <c r="I86" s="22">
        <v>1200000</v>
      </c>
    </row>
    <row r="87" spans="2:17" x14ac:dyDescent="0.25">
      <c r="B87" s="113"/>
      <c r="C87" s="17"/>
      <c r="D87" s="1" t="s">
        <v>8</v>
      </c>
      <c r="E87" s="16" t="s">
        <v>72</v>
      </c>
      <c r="I87" s="22">
        <v>300000</v>
      </c>
    </row>
    <row r="88" spans="2:17" x14ac:dyDescent="0.25">
      <c r="B88" s="113"/>
      <c r="C88" s="17"/>
      <c r="D88" s="15"/>
      <c r="E88" s="16"/>
    </row>
    <row r="89" spans="2:17" x14ac:dyDescent="0.25">
      <c r="B89" s="113">
        <v>14</v>
      </c>
      <c r="C89" s="17" t="s">
        <v>19</v>
      </c>
      <c r="D89" s="15"/>
      <c r="E89" s="16"/>
    </row>
    <row r="90" spans="2:17" x14ac:dyDescent="0.25">
      <c r="B90" s="113"/>
      <c r="C90" s="17"/>
      <c r="D90" s="62" t="s">
        <v>126</v>
      </c>
      <c r="E90" s="16" t="s">
        <v>16</v>
      </c>
      <c r="I90" s="29">
        <v>0.1</v>
      </c>
    </row>
    <row r="91" spans="2:17" x14ac:dyDescent="0.25">
      <c r="B91" s="113"/>
      <c r="C91" s="17"/>
      <c r="D91" s="1" t="s">
        <v>93</v>
      </c>
      <c r="E91" s="16" t="s">
        <v>16</v>
      </c>
      <c r="I91" s="29">
        <v>0.1</v>
      </c>
    </row>
    <row r="92" spans="2:17" x14ac:dyDescent="0.25">
      <c r="B92" s="113"/>
      <c r="C92" s="17"/>
    </row>
    <row r="93" spans="2:17" x14ac:dyDescent="0.25">
      <c r="B93" s="113"/>
      <c r="C93" s="17" t="s">
        <v>73</v>
      </c>
      <c r="D93" s="15"/>
      <c r="E93" s="16"/>
    </row>
    <row r="94" spans="2:17" x14ac:dyDescent="0.25">
      <c r="B94" s="113">
        <v>17</v>
      </c>
      <c r="C94" s="17"/>
      <c r="D94" s="112" t="s">
        <v>260</v>
      </c>
      <c r="E94" s="16"/>
    </row>
    <row r="95" spans="2:17" x14ac:dyDescent="0.25">
      <c r="B95" s="113"/>
      <c r="C95" s="17"/>
      <c r="D95" s="15"/>
      <c r="E95" s="16"/>
    </row>
    <row r="96" spans="2:17" x14ac:dyDescent="0.25">
      <c r="B96" s="113">
        <v>16</v>
      </c>
      <c r="C96" s="17"/>
      <c r="D96" s="25" t="s">
        <v>79</v>
      </c>
      <c r="E96" s="16"/>
      <c r="Q96" s="62" t="s">
        <v>111</v>
      </c>
    </row>
    <row r="97" spans="2:17" x14ac:dyDescent="0.25">
      <c r="B97" s="113"/>
      <c r="C97" s="17"/>
      <c r="D97" s="46" t="s">
        <v>78</v>
      </c>
      <c r="E97" s="16" t="s">
        <v>0</v>
      </c>
      <c r="I97" s="47">
        <f>EOMONTH($I$12-1,3)</f>
        <v>41729</v>
      </c>
      <c r="J97" s="47">
        <f>EOMONTH(I97,3)</f>
        <v>41820</v>
      </c>
      <c r="K97" s="47">
        <f t="shared" ref="K97:P97" si="0">EOMONTH(J97,3)</f>
        <v>41912</v>
      </c>
      <c r="L97" s="47">
        <f t="shared" si="0"/>
        <v>42004</v>
      </c>
      <c r="M97" s="47">
        <f t="shared" si="0"/>
        <v>42094</v>
      </c>
      <c r="N97" s="47">
        <f t="shared" si="0"/>
        <v>42185</v>
      </c>
      <c r="O97" s="47">
        <f t="shared" si="0"/>
        <v>42277</v>
      </c>
      <c r="P97" s="47">
        <f t="shared" si="0"/>
        <v>42369</v>
      </c>
      <c r="Q97" s="47">
        <f>EOMONTH(I14,-3)</f>
        <v>48852</v>
      </c>
    </row>
    <row r="98" spans="2:17" x14ac:dyDescent="0.25">
      <c r="B98" s="113"/>
      <c r="C98" s="17"/>
      <c r="D98" s="15" t="s">
        <v>74</v>
      </c>
      <c r="E98" s="16" t="s">
        <v>9</v>
      </c>
      <c r="I98" s="22">
        <v>0</v>
      </c>
      <c r="J98" s="22">
        <v>900000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32">
        <v>0</v>
      </c>
    </row>
    <row r="99" spans="2:17" x14ac:dyDescent="0.25">
      <c r="B99" s="113"/>
      <c r="C99" s="17"/>
      <c r="D99" s="15" t="s">
        <v>75</v>
      </c>
      <c r="E99" s="16" t="s">
        <v>9</v>
      </c>
      <c r="I99" s="22">
        <v>0</v>
      </c>
      <c r="J99" s="22">
        <v>0</v>
      </c>
      <c r="K99" s="22">
        <v>1000000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32">
        <v>0</v>
      </c>
    </row>
    <row r="100" spans="2:17" x14ac:dyDescent="0.25">
      <c r="B100" s="113"/>
      <c r="C100" s="17"/>
      <c r="D100" s="15" t="s">
        <v>76</v>
      </c>
      <c r="E100" s="16" t="s">
        <v>9</v>
      </c>
      <c r="I100" s="22">
        <v>0</v>
      </c>
      <c r="J100" s="22">
        <v>500000</v>
      </c>
      <c r="K100" s="22">
        <v>0</v>
      </c>
      <c r="L100" s="22">
        <v>500000</v>
      </c>
      <c r="M100" s="22">
        <v>0</v>
      </c>
      <c r="N100" s="22">
        <v>0</v>
      </c>
      <c r="O100" s="22">
        <v>0</v>
      </c>
      <c r="P100" s="22">
        <v>0</v>
      </c>
      <c r="Q100" s="32">
        <v>0</v>
      </c>
    </row>
    <row r="101" spans="2:17" x14ac:dyDescent="0.25">
      <c r="B101" s="113"/>
      <c r="C101" s="17"/>
      <c r="D101" s="15" t="s">
        <v>77</v>
      </c>
      <c r="E101" s="16" t="s">
        <v>9</v>
      </c>
      <c r="I101" s="22">
        <v>1000000</v>
      </c>
      <c r="J101" s="22">
        <v>1500000</v>
      </c>
      <c r="K101" s="22">
        <v>1000000</v>
      </c>
      <c r="L101" s="22">
        <v>1500000</v>
      </c>
      <c r="M101" s="22">
        <v>1000000</v>
      </c>
      <c r="N101" s="22">
        <v>1000000</v>
      </c>
      <c r="O101" s="22">
        <v>1000000</v>
      </c>
      <c r="P101" s="22">
        <v>1000000</v>
      </c>
      <c r="Q101" s="32">
        <v>0</v>
      </c>
    </row>
    <row r="102" spans="2:17" x14ac:dyDescent="0.25">
      <c r="B102" s="113"/>
      <c r="C102" s="17"/>
      <c r="D102" s="15" t="s">
        <v>10</v>
      </c>
      <c r="E102" s="16" t="s">
        <v>9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22">
        <v>1000000</v>
      </c>
    </row>
    <row r="103" spans="2:17" x14ac:dyDescent="0.25">
      <c r="B103" s="113"/>
      <c r="C103" s="17"/>
      <c r="D103" s="15"/>
      <c r="E103" s="16"/>
    </row>
    <row r="104" spans="2:17" x14ac:dyDescent="0.25">
      <c r="B104" s="113"/>
      <c r="C104" s="17"/>
      <c r="D104" s="17" t="str">
        <f>"There is no capex after "&amp;TEXT(Q97,"dd-mmm-yyyy")</f>
        <v>There is no capex after dd-00-yyyy</v>
      </c>
      <c r="E104" s="16"/>
    </row>
    <row r="105" spans="2:17" x14ac:dyDescent="0.25">
      <c r="B105" s="113"/>
      <c r="C105" s="17"/>
      <c r="D105" s="15"/>
      <c r="E105" s="16"/>
    </row>
    <row r="106" spans="2:17" x14ac:dyDescent="0.25">
      <c r="B106" s="113">
        <v>16</v>
      </c>
      <c r="C106" s="17"/>
      <c r="D106" s="25" t="s">
        <v>80</v>
      </c>
      <c r="E106" s="16"/>
      <c r="I106" s="49" t="s">
        <v>82</v>
      </c>
      <c r="J106" s="1" t="s">
        <v>11</v>
      </c>
      <c r="L106" s="48" t="s">
        <v>83</v>
      </c>
      <c r="M106" s="1" t="s">
        <v>11</v>
      </c>
    </row>
    <row r="107" spans="2:17" x14ac:dyDescent="0.25">
      <c r="B107" s="113"/>
      <c r="C107" s="17"/>
      <c r="D107" s="15" t="str">
        <f>D98</f>
        <v>Asset Class 1</v>
      </c>
      <c r="E107" s="16" t="s">
        <v>81</v>
      </c>
      <c r="I107" s="30">
        <v>6</v>
      </c>
      <c r="J107" s="1" t="s">
        <v>84</v>
      </c>
      <c r="L107" s="30">
        <v>5</v>
      </c>
      <c r="M107" s="1" t="s">
        <v>12</v>
      </c>
    </row>
    <row r="108" spans="2:17" x14ac:dyDescent="0.25">
      <c r="B108" s="113"/>
      <c r="C108" s="17"/>
      <c r="D108" s="15" t="str">
        <f>D99</f>
        <v>Asset Class 2</v>
      </c>
      <c r="E108" s="16" t="s">
        <v>81</v>
      </c>
      <c r="I108" s="30">
        <v>7</v>
      </c>
      <c r="J108" s="1" t="s">
        <v>84</v>
      </c>
      <c r="L108" s="30">
        <v>4</v>
      </c>
      <c r="M108" s="1" t="s">
        <v>12</v>
      </c>
    </row>
    <row r="109" spans="2:17" x14ac:dyDescent="0.25">
      <c r="B109" s="113"/>
      <c r="C109" s="17"/>
      <c r="D109" s="15" t="str">
        <f>D100</f>
        <v>Asset Class 3</v>
      </c>
      <c r="E109" s="16" t="s">
        <v>81</v>
      </c>
      <c r="I109" s="30">
        <v>4</v>
      </c>
      <c r="J109" s="1" t="s">
        <v>84</v>
      </c>
      <c r="L109" s="30">
        <v>3</v>
      </c>
      <c r="M109" s="1" t="s">
        <v>12</v>
      </c>
    </row>
    <row r="110" spans="2:17" x14ac:dyDescent="0.25">
      <c r="B110" s="113"/>
      <c r="C110" s="17"/>
      <c r="D110" s="15" t="str">
        <f>D101</f>
        <v>Asset Class 4</v>
      </c>
      <c r="E110" s="16" t="s">
        <v>81</v>
      </c>
      <c r="I110" s="30">
        <v>5</v>
      </c>
      <c r="J110" s="1" t="s">
        <v>84</v>
      </c>
      <c r="L110" s="30">
        <v>5</v>
      </c>
      <c r="M110" s="1" t="s">
        <v>12</v>
      </c>
    </row>
    <row r="111" spans="2:17" x14ac:dyDescent="0.25">
      <c r="B111" s="113"/>
      <c r="C111" s="17"/>
      <c r="D111" s="15" t="str">
        <f>D102</f>
        <v>Longterm Capex</v>
      </c>
      <c r="E111" s="16" t="s">
        <v>81</v>
      </c>
      <c r="I111" s="30">
        <v>5</v>
      </c>
      <c r="J111" s="1" t="s">
        <v>84</v>
      </c>
      <c r="L111" s="30">
        <v>5</v>
      </c>
      <c r="M111" s="1" t="s">
        <v>12</v>
      </c>
    </row>
    <row r="112" spans="2:17" x14ac:dyDescent="0.25">
      <c r="B112" s="113"/>
      <c r="C112" s="17"/>
      <c r="D112" s="15"/>
      <c r="E112" s="16"/>
    </row>
    <row r="113" spans="2:34" x14ac:dyDescent="0.25">
      <c r="B113" s="113"/>
      <c r="C113" s="17" t="s">
        <v>85</v>
      </c>
      <c r="D113" s="15"/>
      <c r="E113" s="16"/>
    </row>
    <row r="114" spans="2:34" x14ac:dyDescent="0.25">
      <c r="B114" s="113">
        <v>19</v>
      </c>
      <c r="C114" s="17"/>
      <c r="D114" s="25" t="s">
        <v>88</v>
      </c>
      <c r="E114" s="16"/>
    </row>
    <row r="115" spans="2:34" x14ac:dyDescent="0.25">
      <c r="B115" s="113"/>
      <c r="C115" s="17"/>
      <c r="D115" s="46" t="s">
        <v>78</v>
      </c>
      <c r="E115" s="16" t="s">
        <v>0</v>
      </c>
      <c r="I115" s="47">
        <f>EOMONTH($I$12-1,3)</f>
        <v>41729</v>
      </c>
      <c r="J115" s="47">
        <f>EOMONTH(I115,3)</f>
        <v>41820</v>
      </c>
      <c r="K115" s="47">
        <f t="shared" ref="K115:P115" si="1">EOMONTH(J115,3)</f>
        <v>41912</v>
      </c>
      <c r="L115" s="47">
        <f t="shared" si="1"/>
        <v>42004</v>
      </c>
      <c r="M115" s="47">
        <f t="shared" si="1"/>
        <v>42094</v>
      </c>
      <c r="N115" s="47">
        <f t="shared" si="1"/>
        <v>42185</v>
      </c>
      <c r="O115" s="47">
        <f t="shared" si="1"/>
        <v>42277</v>
      </c>
      <c r="P115" s="47">
        <f t="shared" si="1"/>
        <v>42369</v>
      </c>
      <c r="Q115" s="1" t="s">
        <v>86</v>
      </c>
    </row>
    <row r="116" spans="2:34" x14ac:dyDescent="0.25">
      <c r="B116" s="113"/>
      <c r="C116" s="17"/>
      <c r="D116" s="1" t="s">
        <v>89</v>
      </c>
      <c r="E116" s="16" t="s">
        <v>65</v>
      </c>
      <c r="I116" s="29">
        <v>0.02</v>
      </c>
      <c r="J116" s="29">
        <v>2.1000000000000001E-2</v>
      </c>
      <c r="K116" s="29">
        <v>2.2000000000000002E-2</v>
      </c>
      <c r="L116" s="29">
        <v>2.3000000000000003E-2</v>
      </c>
      <c r="M116" s="29">
        <v>2.4000000000000004E-2</v>
      </c>
      <c r="N116" s="29">
        <v>2.5000000000000005E-2</v>
      </c>
      <c r="O116" s="29">
        <v>2.6000000000000006E-2</v>
      </c>
      <c r="P116" s="29">
        <v>2.7000000000000007E-2</v>
      </c>
      <c r="Q116" s="29">
        <v>2.7E-2</v>
      </c>
    </row>
    <row r="117" spans="2:34" x14ac:dyDescent="0.25">
      <c r="B117" s="113"/>
      <c r="C117" s="17"/>
      <c r="D117" s="15"/>
      <c r="E117" s="16"/>
    </row>
    <row r="118" spans="2:34" x14ac:dyDescent="0.25">
      <c r="B118" s="113"/>
      <c r="C118" s="17"/>
      <c r="D118" s="25" t="s">
        <v>87</v>
      </c>
      <c r="E118" s="16"/>
    </row>
    <row r="119" spans="2:34" x14ac:dyDescent="0.25">
      <c r="B119" s="134">
        <v>19</v>
      </c>
      <c r="C119" s="17"/>
      <c r="D119" s="1" t="s">
        <v>13</v>
      </c>
      <c r="E119" s="16" t="s">
        <v>65</v>
      </c>
      <c r="I119" s="29">
        <v>0.03</v>
      </c>
      <c r="J119" s="125"/>
    </row>
    <row r="120" spans="2:34" x14ac:dyDescent="0.25">
      <c r="B120" s="134">
        <v>19</v>
      </c>
      <c r="C120" s="17"/>
      <c r="D120" s="1" t="s">
        <v>14</v>
      </c>
      <c r="E120" s="16" t="s">
        <v>1</v>
      </c>
      <c r="I120" s="22">
        <v>1000000</v>
      </c>
      <c r="J120" s="125"/>
    </row>
    <row r="121" spans="2:34" x14ac:dyDescent="0.25">
      <c r="B121" s="134">
        <v>20</v>
      </c>
      <c r="C121" s="17"/>
      <c r="D121" s="1" t="s">
        <v>15</v>
      </c>
      <c r="E121" s="16" t="s">
        <v>1</v>
      </c>
      <c r="I121" s="22">
        <v>60000000</v>
      </c>
      <c r="J121" s="125"/>
    </row>
    <row r="122" spans="2:34" x14ac:dyDescent="0.25">
      <c r="B122" s="134">
        <v>20</v>
      </c>
      <c r="C122" s="17"/>
      <c r="D122" s="62" t="s">
        <v>134</v>
      </c>
      <c r="E122" s="16" t="s">
        <v>1</v>
      </c>
      <c r="I122" s="22">
        <v>1000000</v>
      </c>
      <c r="J122" s="125"/>
    </row>
    <row r="123" spans="2:34" x14ac:dyDescent="0.25">
      <c r="B123" s="113"/>
      <c r="C123" s="17"/>
      <c r="D123" s="15"/>
      <c r="E123" s="16"/>
      <c r="I123" s="129"/>
      <c r="J123" s="125"/>
    </row>
    <row r="124" spans="2:34" x14ac:dyDescent="0.25">
      <c r="B124" s="113">
        <v>18</v>
      </c>
      <c r="C124" s="17"/>
      <c r="D124" s="62" t="s">
        <v>127</v>
      </c>
      <c r="E124" s="16" t="s">
        <v>63</v>
      </c>
      <c r="I124" s="129" t="s">
        <v>269</v>
      </c>
      <c r="J124" s="125"/>
    </row>
    <row r="125" spans="2:34" x14ac:dyDescent="0.25">
      <c r="B125" s="113"/>
      <c r="C125" s="17"/>
      <c r="D125" s="1"/>
      <c r="E125" s="16"/>
      <c r="I125" s="129"/>
      <c r="J125" s="125"/>
    </row>
    <row r="126" spans="2:34" x14ac:dyDescent="0.25">
      <c r="B126" s="113">
        <v>15</v>
      </c>
      <c r="C126" s="17" t="s">
        <v>95</v>
      </c>
      <c r="D126" s="15"/>
      <c r="E126" s="16"/>
      <c r="I126" s="129"/>
      <c r="J126" s="125"/>
    </row>
    <row r="127" spans="2:34" x14ac:dyDescent="0.25">
      <c r="B127" s="113"/>
      <c r="C127" s="17"/>
      <c r="D127" s="46" t="s">
        <v>78</v>
      </c>
      <c r="E127" s="16" t="s">
        <v>0</v>
      </c>
      <c r="I127" s="131">
        <f>EOMONTH($I$12-1,3)</f>
        <v>41729</v>
      </c>
      <c r="J127" s="131">
        <f t="shared" ref="J127" si="2">EOMONTH(I127,3)</f>
        <v>41820</v>
      </c>
      <c r="K127" s="47">
        <f t="shared" ref="K127:P127" si="3">EOMONTH(J127,3)</f>
        <v>41912</v>
      </c>
      <c r="L127" s="47">
        <f t="shared" si="3"/>
        <v>42004</v>
      </c>
      <c r="M127" s="47">
        <f t="shared" si="3"/>
        <v>42094</v>
      </c>
      <c r="N127" s="47">
        <f t="shared" si="3"/>
        <v>42185</v>
      </c>
      <c r="O127" s="47">
        <f t="shared" si="3"/>
        <v>42277</v>
      </c>
      <c r="P127" s="47">
        <f t="shared" si="3"/>
        <v>42369</v>
      </c>
      <c r="Q127" s="47">
        <f t="shared" ref="Q127:AB127" si="4">EOMONTH(P127,3)</f>
        <v>42460</v>
      </c>
      <c r="R127" s="47">
        <f t="shared" si="4"/>
        <v>42551</v>
      </c>
      <c r="S127" s="47">
        <f t="shared" si="4"/>
        <v>42643</v>
      </c>
      <c r="T127" s="47">
        <f t="shared" si="4"/>
        <v>42735</v>
      </c>
      <c r="U127" s="47">
        <f t="shared" si="4"/>
        <v>42825</v>
      </c>
      <c r="V127" s="47">
        <f t="shared" si="4"/>
        <v>42916</v>
      </c>
      <c r="W127" s="47">
        <f t="shared" si="4"/>
        <v>43008</v>
      </c>
      <c r="X127" s="47">
        <f t="shared" si="4"/>
        <v>43100</v>
      </c>
      <c r="Y127" s="47">
        <f t="shared" si="4"/>
        <v>43190</v>
      </c>
      <c r="Z127" s="47">
        <f t="shared" si="4"/>
        <v>43281</v>
      </c>
      <c r="AA127" s="47">
        <f t="shared" si="4"/>
        <v>43373</v>
      </c>
      <c r="AB127" s="47">
        <f t="shared" si="4"/>
        <v>43465</v>
      </c>
      <c r="AC127" s="47">
        <f t="shared" ref="AC127:AH127" si="5">EOMONTH(AB127,3)</f>
        <v>43555</v>
      </c>
      <c r="AD127" s="47">
        <f t="shared" si="5"/>
        <v>43646</v>
      </c>
      <c r="AE127" s="47">
        <f t="shared" si="5"/>
        <v>43738</v>
      </c>
      <c r="AF127" s="47">
        <f t="shared" si="5"/>
        <v>43830</v>
      </c>
      <c r="AG127" s="47">
        <f t="shared" si="5"/>
        <v>43921</v>
      </c>
      <c r="AH127" s="47">
        <f t="shared" si="5"/>
        <v>44012</v>
      </c>
    </row>
    <row r="128" spans="2:34" x14ac:dyDescent="0.25">
      <c r="B128" s="113"/>
      <c r="C128" s="17"/>
      <c r="D128" s="15" t="s">
        <v>97</v>
      </c>
      <c r="E128" s="16" t="s">
        <v>1</v>
      </c>
      <c r="I128" s="22">
        <v>6198727.8240000028</v>
      </c>
      <c r="J128" s="22">
        <v>5578855.0416000038</v>
      </c>
      <c r="K128" s="22">
        <v>5020969.5374400029</v>
      </c>
      <c r="L128" s="22">
        <v>4518872.5836960031</v>
      </c>
      <c r="M128" s="22">
        <v>4066985.3253264031</v>
      </c>
      <c r="N128" s="22">
        <v>3660286.7927937629</v>
      </c>
      <c r="O128" s="22">
        <v>3294258.1135143861</v>
      </c>
      <c r="P128" s="22">
        <v>2964832.3021629481</v>
      </c>
      <c r="Q128" s="22">
        <v>2668349.071946654</v>
      </c>
      <c r="R128" s="22">
        <v>2401514.1647519888</v>
      </c>
      <c r="S128" s="22">
        <v>2161362.7482767906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</row>
    <row r="129" spans="2:34" x14ac:dyDescent="0.25">
      <c r="B129" s="113"/>
      <c r="C129" s="17"/>
      <c r="D129" s="15" t="s">
        <v>96</v>
      </c>
      <c r="E129" s="16" t="s">
        <v>1</v>
      </c>
      <c r="I129" s="22">
        <v>10525000</v>
      </c>
      <c r="J129" s="22">
        <v>10525000</v>
      </c>
      <c r="K129" s="22">
        <v>10525000</v>
      </c>
      <c r="L129" s="22">
        <v>10525000</v>
      </c>
      <c r="M129" s="22">
        <v>10525000</v>
      </c>
      <c r="N129" s="22">
        <v>10525000</v>
      </c>
      <c r="O129" s="22">
        <v>10525000</v>
      </c>
      <c r="P129" s="22">
        <v>8420000</v>
      </c>
      <c r="Q129" s="22">
        <v>8420000</v>
      </c>
      <c r="R129" s="22">
        <v>8420000</v>
      </c>
      <c r="S129" s="22">
        <v>8420000</v>
      </c>
      <c r="T129" s="22">
        <v>8420000</v>
      </c>
      <c r="U129" s="22">
        <v>8420000</v>
      </c>
      <c r="V129" s="22">
        <v>8420000</v>
      </c>
      <c r="W129" s="22">
        <v>8420000</v>
      </c>
      <c r="X129" s="22">
        <v>8420000</v>
      </c>
      <c r="Y129" s="22">
        <v>8420000</v>
      </c>
      <c r="Z129" s="22">
        <v>8420000</v>
      </c>
      <c r="AA129" s="22">
        <v>2105000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</row>
    <row r="130" spans="2:34" x14ac:dyDescent="0.25">
      <c r="B130" s="113"/>
      <c r="C130" s="17"/>
      <c r="D130" s="15"/>
      <c r="E130" s="16"/>
      <c r="I130" s="129"/>
      <c r="J130" s="125"/>
    </row>
    <row r="131" spans="2:34" x14ac:dyDescent="0.25">
      <c r="B131" s="113"/>
      <c r="C131" s="17"/>
      <c r="D131" s="15" t="s">
        <v>98</v>
      </c>
      <c r="E131" s="16" t="s">
        <v>1</v>
      </c>
      <c r="I131" s="22">
        <v>42535013.505508944</v>
      </c>
      <c r="J131" s="5"/>
    </row>
    <row r="132" spans="2:34" x14ac:dyDescent="0.25">
      <c r="B132" s="113"/>
      <c r="C132" s="17"/>
      <c r="D132" s="15" t="s">
        <v>99</v>
      </c>
      <c r="E132" s="16" t="s">
        <v>1</v>
      </c>
      <c r="I132" s="129" t="s">
        <v>100</v>
      </c>
      <c r="J132" s="125"/>
    </row>
    <row r="133" spans="2:34" x14ac:dyDescent="0.25">
      <c r="B133" s="113"/>
      <c r="C133" s="17"/>
      <c r="D133" s="15"/>
      <c r="E133" s="16"/>
      <c r="I133" s="129"/>
      <c r="J133" s="125"/>
    </row>
    <row r="134" spans="2:34" x14ac:dyDescent="0.25">
      <c r="B134" s="113">
        <v>15</v>
      </c>
      <c r="C134" s="17" t="s">
        <v>23</v>
      </c>
      <c r="D134" s="15"/>
      <c r="E134" s="16"/>
      <c r="I134" s="129"/>
      <c r="J134" s="125"/>
    </row>
    <row r="135" spans="2:34" x14ac:dyDescent="0.25">
      <c r="B135" s="113"/>
      <c r="C135" s="17"/>
      <c r="D135" s="52" t="s">
        <v>17</v>
      </c>
      <c r="E135" s="16" t="s">
        <v>1</v>
      </c>
      <c r="I135" s="22">
        <v>1000000</v>
      </c>
      <c r="J135" s="125"/>
    </row>
    <row r="136" spans="2:34" x14ac:dyDescent="0.25">
      <c r="B136" s="113"/>
      <c r="C136" s="17"/>
      <c r="D136" s="52" t="s">
        <v>20</v>
      </c>
      <c r="E136" s="16" t="s">
        <v>1</v>
      </c>
      <c r="I136" s="22">
        <v>160000</v>
      </c>
      <c r="J136" s="125"/>
    </row>
    <row r="137" spans="2:34" x14ac:dyDescent="0.25">
      <c r="B137" s="113"/>
      <c r="C137" s="17"/>
      <c r="D137" s="52" t="s">
        <v>124</v>
      </c>
      <c r="E137" s="16"/>
      <c r="I137" s="32">
        <v>0</v>
      </c>
      <c r="J137" s="125"/>
    </row>
    <row r="138" spans="2:34" x14ac:dyDescent="0.25">
      <c r="B138" s="113"/>
      <c r="C138" s="17"/>
      <c r="D138" s="50" t="s">
        <v>24</v>
      </c>
      <c r="E138" s="16" t="s">
        <v>1</v>
      </c>
      <c r="I138" s="135">
        <f>SUM(I135:I137)</f>
        <v>1160000</v>
      </c>
      <c r="J138" s="125"/>
    </row>
    <row r="139" spans="2:34" x14ac:dyDescent="0.25">
      <c r="B139" s="113"/>
      <c r="C139" s="17"/>
      <c r="D139" s="15"/>
      <c r="E139" s="16"/>
      <c r="I139" s="129"/>
      <c r="J139" s="125"/>
    </row>
    <row r="140" spans="2:34" x14ac:dyDescent="0.25">
      <c r="B140" s="113"/>
      <c r="C140" s="17"/>
      <c r="D140" s="52" t="s">
        <v>18</v>
      </c>
      <c r="E140" s="16" t="s">
        <v>1</v>
      </c>
      <c r="I140" s="53">
        <v>168400000</v>
      </c>
      <c r="J140" s="5"/>
    </row>
    <row r="141" spans="2:34" x14ac:dyDescent="0.25">
      <c r="B141" s="113"/>
      <c r="C141" s="17"/>
      <c r="D141" s="50" t="s">
        <v>25</v>
      </c>
      <c r="E141" s="16" t="s">
        <v>1</v>
      </c>
      <c r="I141" s="135">
        <f>I140</f>
        <v>168400000</v>
      </c>
      <c r="J141" s="125"/>
    </row>
    <row r="142" spans="2:34" x14ac:dyDescent="0.25">
      <c r="B142" s="113"/>
      <c r="C142" s="17"/>
      <c r="D142" s="15"/>
      <c r="E142" s="16"/>
      <c r="I142" s="129"/>
      <c r="J142" s="125"/>
    </row>
    <row r="143" spans="2:34" x14ac:dyDescent="0.25">
      <c r="B143" s="113"/>
      <c r="C143" s="17"/>
      <c r="D143" s="17" t="s">
        <v>26</v>
      </c>
      <c r="E143" s="16" t="s">
        <v>1</v>
      </c>
      <c r="I143" s="128">
        <f>SUM(I138,I141)</f>
        <v>169560000</v>
      </c>
      <c r="J143" s="125"/>
    </row>
    <row r="144" spans="2:34" x14ac:dyDescent="0.25">
      <c r="B144" s="113"/>
      <c r="C144" s="17"/>
      <c r="D144" s="15"/>
      <c r="E144" s="16"/>
      <c r="I144" s="129"/>
      <c r="J144" s="125"/>
    </row>
    <row r="145" spans="1:34" x14ac:dyDescent="0.25">
      <c r="B145" s="113"/>
      <c r="C145" s="17"/>
      <c r="D145" s="52" t="s">
        <v>21</v>
      </c>
      <c r="E145" s="16" t="s">
        <v>1</v>
      </c>
      <c r="I145" s="22">
        <v>178000</v>
      </c>
      <c r="J145" s="125"/>
    </row>
    <row r="146" spans="1:34" x14ac:dyDescent="0.25">
      <c r="B146" s="113"/>
      <c r="C146" s="17"/>
      <c r="D146" s="52" t="s">
        <v>22</v>
      </c>
      <c r="E146" s="16" t="s">
        <v>1</v>
      </c>
      <c r="I146" s="22">
        <v>120000</v>
      </c>
      <c r="J146" s="60"/>
    </row>
    <row r="147" spans="1:34" x14ac:dyDescent="0.25">
      <c r="B147" s="113"/>
      <c r="C147" s="17"/>
      <c r="D147" s="52" t="s">
        <v>125</v>
      </c>
      <c r="E147" s="16" t="s">
        <v>1</v>
      </c>
      <c r="I147" s="22">
        <v>30207596.758677851</v>
      </c>
      <c r="J147" s="5"/>
    </row>
    <row r="148" spans="1:34" x14ac:dyDescent="0.25">
      <c r="B148" s="113"/>
      <c r="C148" s="17"/>
      <c r="D148" s="52" t="s">
        <v>87</v>
      </c>
      <c r="E148" s="16" t="s">
        <v>1</v>
      </c>
      <c r="I148" s="22">
        <v>120000000</v>
      </c>
      <c r="J148" s="125"/>
    </row>
    <row r="149" spans="1:34" x14ac:dyDescent="0.25">
      <c r="B149" s="113"/>
      <c r="C149" s="17"/>
      <c r="D149" s="51" t="s">
        <v>27</v>
      </c>
      <c r="E149" s="16" t="s">
        <v>1</v>
      </c>
      <c r="I149" s="132">
        <f>SUM(I145:I148)</f>
        <v>150505596.75867784</v>
      </c>
      <c r="J149" s="125"/>
    </row>
    <row r="150" spans="1:34" x14ac:dyDescent="0.25">
      <c r="B150" s="113"/>
      <c r="C150" s="17"/>
      <c r="D150" s="15"/>
      <c r="E150" s="16"/>
      <c r="I150" s="129"/>
      <c r="J150" s="125"/>
    </row>
    <row r="151" spans="1:34" x14ac:dyDescent="0.25">
      <c r="B151" s="113"/>
      <c r="C151" s="17"/>
      <c r="D151" s="17" t="s">
        <v>28</v>
      </c>
      <c r="E151" s="16" t="s">
        <v>1</v>
      </c>
      <c r="I151" s="136">
        <f>SUM(I143,-I149)</f>
        <v>19054403.24132216</v>
      </c>
      <c r="J151" s="125"/>
    </row>
    <row r="152" spans="1:34" x14ac:dyDescent="0.25">
      <c r="B152" s="113"/>
      <c r="C152" s="17"/>
      <c r="D152" s="15"/>
      <c r="I152" s="129"/>
      <c r="J152" s="125"/>
    </row>
    <row r="153" spans="1:34" x14ac:dyDescent="0.25">
      <c r="B153" s="113"/>
      <c r="C153" s="17"/>
      <c r="D153" s="52" t="s">
        <v>29</v>
      </c>
      <c r="E153" s="16" t="s">
        <v>1</v>
      </c>
      <c r="I153" s="53">
        <v>19054403.24132216</v>
      </c>
      <c r="J153" s="5"/>
    </row>
    <row r="154" spans="1:34" x14ac:dyDescent="0.25">
      <c r="B154" s="113"/>
      <c r="C154" s="17"/>
      <c r="D154" s="51" t="s">
        <v>30</v>
      </c>
      <c r="E154" s="16" t="s">
        <v>1</v>
      </c>
      <c r="I154" s="132">
        <f>I153</f>
        <v>19054403.24132216</v>
      </c>
      <c r="J154" s="125"/>
    </row>
    <row r="155" spans="1:34" x14ac:dyDescent="0.25">
      <c r="B155" s="113"/>
      <c r="C155" s="17"/>
      <c r="D155" s="54"/>
      <c r="E155" s="16"/>
      <c r="I155" s="136"/>
      <c r="J155" s="125"/>
    </row>
    <row r="156" spans="1:34" x14ac:dyDescent="0.25">
      <c r="B156" s="113">
        <v>3</v>
      </c>
      <c r="C156" s="17"/>
      <c r="D156" s="15" t="s">
        <v>133</v>
      </c>
      <c r="E156" s="16" t="s">
        <v>16</v>
      </c>
      <c r="I156" s="29">
        <v>0.15</v>
      </c>
      <c r="J156" s="125"/>
    </row>
    <row r="157" spans="1:34" x14ac:dyDescent="0.25">
      <c r="B157" s="113"/>
      <c r="C157" s="17"/>
      <c r="D157" s="15"/>
    </row>
    <row r="158" spans="1:34" x14ac:dyDescent="0.25">
      <c r="A158" s="14"/>
      <c r="B158" s="68"/>
      <c r="C158" s="14" t="s">
        <v>101</v>
      </c>
      <c r="D158" s="14"/>
      <c r="E158" s="14"/>
      <c r="F158" s="14"/>
      <c r="G158" s="14"/>
      <c r="H158" s="14"/>
      <c r="I158" s="20"/>
      <c r="J158" s="14"/>
      <c r="K158" s="21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x14ac:dyDescent="0.25">
      <c r="C159" s="17"/>
      <c r="D159" s="15"/>
    </row>
    <row r="160" spans="1:34" x14ac:dyDescent="0.25">
      <c r="C160" s="17"/>
      <c r="D160" s="15"/>
    </row>
    <row r="161" spans="3:4" x14ac:dyDescent="0.25">
      <c r="C161" s="17"/>
      <c r="D161" s="15"/>
    </row>
    <row r="162" spans="3:4" x14ac:dyDescent="0.25">
      <c r="C162" s="17"/>
      <c r="D162" s="15"/>
    </row>
    <row r="163" spans="3:4" x14ac:dyDescent="0.25">
      <c r="C163" s="17"/>
      <c r="D163" s="15"/>
    </row>
    <row r="164" spans="3:4" x14ac:dyDescent="0.25">
      <c r="C164" s="17"/>
      <c r="D164" s="15"/>
    </row>
    <row r="165" spans="3:4" x14ac:dyDescent="0.25">
      <c r="C165" s="17"/>
      <c r="D165" s="15"/>
    </row>
    <row r="166" spans="3:4" x14ac:dyDescent="0.25">
      <c r="C166" s="17"/>
      <c r="D166" s="15"/>
    </row>
    <row r="167" spans="3:4" x14ac:dyDescent="0.25">
      <c r="C167" s="17"/>
      <c r="D167" s="15"/>
    </row>
    <row r="168" spans="3:4" x14ac:dyDescent="0.25">
      <c r="C168" s="17"/>
      <c r="D168" s="15"/>
    </row>
    <row r="169" spans="3:4" x14ac:dyDescent="0.25">
      <c r="C169" s="17"/>
      <c r="D169" s="15"/>
    </row>
    <row r="170" spans="3:4" x14ac:dyDescent="0.25">
      <c r="C170" s="17"/>
      <c r="D170" s="15"/>
    </row>
    <row r="171" spans="3:4" x14ac:dyDescent="0.25">
      <c r="C171" s="17"/>
      <c r="D171" s="15"/>
    </row>
    <row r="172" spans="3:4" x14ac:dyDescent="0.25">
      <c r="C172" s="17"/>
      <c r="D172" s="15"/>
    </row>
    <row r="173" spans="3:4" x14ac:dyDescent="0.25">
      <c r="C173" s="17"/>
      <c r="D173" s="15"/>
    </row>
    <row r="174" spans="3:4" x14ac:dyDescent="0.25">
      <c r="C174" s="17"/>
      <c r="D174" s="15"/>
    </row>
    <row r="175" spans="3:4" x14ac:dyDescent="0.25">
      <c r="C175" s="17"/>
      <c r="D175" s="15"/>
    </row>
    <row r="176" spans="3:4" x14ac:dyDescent="0.25">
      <c r="C176" s="17"/>
      <c r="D176" s="15"/>
    </row>
    <row r="177" spans="3:4" x14ac:dyDescent="0.25">
      <c r="C177" s="17"/>
      <c r="D177" s="15"/>
    </row>
    <row r="178" spans="3:4" x14ac:dyDescent="0.25">
      <c r="C178" s="17"/>
      <c r="D178" s="15"/>
    </row>
    <row r="179" spans="3:4" x14ac:dyDescent="0.25">
      <c r="C179" s="17"/>
      <c r="D179" s="15"/>
    </row>
    <row r="180" spans="3:4" x14ac:dyDescent="0.25">
      <c r="C180" s="17"/>
      <c r="D180" s="15"/>
    </row>
    <row r="181" spans="3:4" x14ac:dyDescent="0.25">
      <c r="C181" s="17"/>
      <c r="D181" s="15"/>
    </row>
    <row r="182" spans="3:4" x14ac:dyDescent="0.25">
      <c r="C182" s="17"/>
      <c r="D182" s="15"/>
    </row>
    <row r="183" spans="3:4" x14ac:dyDescent="0.25">
      <c r="C183" s="17"/>
      <c r="D183" s="15"/>
    </row>
    <row r="184" spans="3:4" x14ac:dyDescent="0.25">
      <c r="C184" s="17"/>
      <c r="D184" s="15"/>
    </row>
    <row r="185" spans="3:4" x14ac:dyDescent="0.25">
      <c r="D185" s="15"/>
    </row>
    <row r="186" spans="3:4" x14ac:dyDescent="0.25">
      <c r="D186" s="15"/>
    </row>
    <row r="187" spans="3:4" x14ac:dyDescent="0.25">
      <c r="D187" s="15"/>
    </row>
    <row r="188" spans="3:4" x14ac:dyDescent="0.25">
      <c r="D188" s="15"/>
    </row>
    <row r="189" spans="3:4" x14ac:dyDescent="0.25">
      <c r="D189" s="15"/>
    </row>
    <row r="190" spans="3:4" x14ac:dyDescent="0.25">
      <c r="D190" s="15"/>
    </row>
    <row r="191" spans="3:4" x14ac:dyDescent="0.25">
      <c r="D191" s="15"/>
    </row>
    <row r="192" spans="3:4" x14ac:dyDescent="0.25">
      <c r="D192" s="15"/>
    </row>
    <row r="193" spans="4:4" x14ac:dyDescent="0.25">
      <c r="D193" s="15"/>
    </row>
    <row r="194" spans="4:4" x14ac:dyDescent="0.25">
      <c r="D194" s="15"/>
    </row>
    <row r="195" spans="4:4" x14ac:dyDescent="0.25">
      <c r="D195" s="15"/>
    </row>
    <row r="196" spans="4:4" x14ac:dyDescent="0.25">
      <c r="D196" s="15"/>
    </row>
    <row r="197" spans="4:4" x14ac:dyDescent="0.25">
      <c r="D197" s="15"/>
    </row>
    <row r="198" spans="4:4" x14ac:dyDescent="0.25">
      <c r="D198" s="15"/>
    </row>
    <row r="199" spans="4:4" x14ac:dyDescent="0.25">
      <c r="D199" s="15"/>
    </row>
    <row r="200" spans="4:4" x14ac:dyDescent="0.25">
      <c r="D200" s="15"/>
    </row>
    <row r="201" spans="4:4" x14ac:dyDescent="0.25">
      <c r="D201" s="15"/>
    </row>
    <row r="202" spans="4:4" x14ac:dyDescent="0.25">
      <c r="D202" s="15"/>
    </row>
    <row r="203" spans="4:4" x14ac:dyDescent="0.25">
      <c r="D203" s="15"/>
    </row>
    <row r="204" spans="4:4" x14ac:dyDescent="0.25">
      <c r="D204" s="15"/>
    </row>
    <row r="205" spans="4:4" x14ac:dyDescent="0.25">
      <c r="D205" s="15"/>
    </row>
    <row r="206" spans="4:4" x14ac:dyDescent="0.25">
      <c r="D206" s="15"/>
    </row>
    <row r="207" spans="4:4" x14ac:dyDescent="0.25">
      <c r="D207" s="15"/>
    </row>
    <row r="208" spans="4:4" x14ac:dyDescent="0.25">
      <c r="D208" s="15"/>
    </row>
    <row r="209" spans="4:4" x14ac:dyDescent="0.25">
      <c r="D209" s="15"/>
    </row>
    <row r="210" spans="4:4" x14ac:dyDescent="0.25">
      <c r="D210" s="15"/>
    </row>
    <row r="211" spans="4:4" x14ac:dyDescent="0.25">
      <c r="D211" s="15"/>
    </row>
    <row r="212" spans="4:4" x14ac:dyDescent="0.25">
      <c r="D212" s="15"/>
    </row>
    <row r="213" spans="4:4" x14ac:dyDescent="0.25">
      <c r="D213" s="15"/>
    </row>
    <row r="214" spans="4:4" x14ac:dyDescent="0.25">
      <c r="D214" s="15"/>
    </row>
    <row r="215" spans="4:4" x14ac:dyDescent="0.25">
      <c r="D215" s="15"/>
    </row>
    <row r="216" spans="4:4" x14ac:dyDescent="0.25">
      <c r="D216" s="15"/>
    </row>
    <row r="217" spans="4:4" x14ac:dyDescent="0.25">
      <c r="D217" s="15"/>
    </row>
    <row r="218" spans="4:4" x14ac:dyDescent="0.25">
      <c r="D218" s="15"/>
    </row>
    <row r="219" spans="4:4" x14ac:dyDescent="0.25">
      <c r="D219" s="15"/>
    </row>
    <row r="220" spans="4:4" x14ac:dyDescent="0.25">
      <c r="D220" s="15"/>
    </row>
    <row r="221" spans="4:4" x14ac:dyDescent="0.25">
      <c r="D221" s="15"/>
    </row>
    <row r="222" spans="4:4" x14ac:dyDescent="0.25">
      <c r="D222" s="15"/>
    </row>
    <row r="223" spans="4:4" x14ac:dyDescent="0.25">
      <c r="D223" s="15"/>
    </row>
    <row r="224" spans="4:4" x14ac:dyDescent="0.25">
      <c r="D224" s="15"/>
    </row>
    <row r="225" spans="4:4" x14ac:dyDescent="0.25">
      <c r="D225" s="15"/>
    </row>
    <row r="226" spans="4:4" x14ac:dyDescent="0.25">
      <c r="D226" s="15"/>
    </row>
    <row r="227" spans="4:4" x14ac:dyDescent="0.25">
      <c r="D227" s="15"/>
    </row>
    <row r="228" spans="4:4" x14ac:dyDescent="0.25">
      <c r="D228" s="15"/>
    </row>
    <row r="229" spans="4:4" x14ac:dyDescent="0.25">
      <c r="D229" s="15"/>
    </row>
    <row r="230" spans="4:4" x14ac:dyDescent="0.25">
      <c r="D230" s="15"/>
    </row>
    <row r="231" spans="4:4" x14ac:dyDescent="0.25">
      <c r="D231" s="15"/>
    </row>
    <row r="232" spans="4:4" x14ac:dyDescent="0.25">
      <c r="D232" s="15"/>
    </row>
    <row r="233" spans="4:4" x14ac:dyDescent="0.25">
      <c r="D233" s="15"/>
    </row>
    <row r="234" spans="4:4" x14ac:dyDescent="0.25">
      <c r="D234" s="15"/>
    </row>
    <row r="235" spans="4:4" x14ac:dyDescent="0.25">
      <c r="D235" s="15"/>
    </row>
    <row r="236" spans="4:4" x14ac:dyDescent="0.25">
      <c r="D236" s="15"/>
    </row>
    <row r="237" spans="4:4" x14ac:dyDescent="0.25">
      <c r="D237" s="15"/>
    </row>
  </sheetData>
  <pageMargins left="0.7" right="0.7" top="0.75" bottom="0.75" header="0.3" footer="0.3"/>
  <pageSetup paperSize="9" orientation="portrait" verticalDpi="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3"/>
  <sheetViews>
    <sheetView workbookViewId="0">
      <selection activeCell="A2" sqref="A2"/>
    </sheetView>
  </sheetViews>
  <sheetFormatPr defaultColWidth="0" defaultRowHeight="14.4" zeroHeight="1" x14ac:dyDescent="0.3"/>
  <cols>
    <col min="1" max="1" width="101.109375" customWidth="1"/>
    <col min="2" max="3" width="9.109375" customWidth="1"/>
    <col min="4" max="16384" width="9.109375" hidden="1"/>
  </cols>
  <sheetData>
    <row r="1" spans="1:1" x14ac:dyDescent="0.3">
      <c r="A1" t="s">
        <v>102</v>
      </c>
    </row>
    <row r="2" spans="1:1" x14ac:dyDescent="0.3">
      <c r="A2" t="s">
        <v>103</v>
      </c>
    </row>
    <row r="3" spans="1: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83"/>
  <sheetViews>
    <sheetView showGridLines="0" zoomScale="65" zoomScaleNormal="100" workbookViewId="0">
      <pane xSplit="10" ySplit="7" topLeftCell="L44" activePane="bottomRight" state="frozen"/>
      <selection activeCell="M104" sqref="M104"/>
      <selection pane="topRight" activeCell="M104" sqref="M104"/>
      <selection pane="bottomLeft" activeCell="M104" sqref="M104"/>
      <selection pane="bottomRight" activeCell="L55" sqref="L55"/>
    </sheetView>
  </sheetViews>
  <sheetFormatPr defaultColWidth="9.109375" defaultRowHeight="14.4" x14ac:dyDescent="0.3"/>
  <cols>
    <col min="1" max="1" width="7.33203125" style="1" customWidth="1"/>
    <col min="2" max="2" width="3.6640625" style="1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9.6640625" customWidth="1"/>
    <col min="10" max="10" width="14.6640625" style="1" customWidth="1"/>
    <col min="11" max="92" width="12.6640625" style="1" customWidth="1"/>
    <col min="93" max="16384" width="9.109375" style="1"/>
  </cols>
  <sheetData>
    <row r="1" spans="1:92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ht="18" customHeight="1" x14ac:dyDescent="0.4">
      <c r="A3" s="63">
        <f>Ass!A3+1</f>
        <v>2</v>
      </c>
      <c r="B3" s="64"/>
      <c r="C3" s="64" t="s">
        <v>135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x14ac:dyDescent="0.3">
      <c r="D4" s="8"/>
      <c r="E4" s="9"/>
    </row>
    <row r="5" spans="1:92" x14ac:dyDescent="0.3">
      <c r="D5" s="11"/>
    </row>
    <row r="6" spans="1:92" ht="15" customHeight="1" x14ac:dyDescent="0.3">
      <c r="D6" s="12"/>
      <c r="E6" s="2" t="s">
        <v>47</v>
      </c>
      <c r="L6" s="71">
        <f>Ass!$I$12</f>
        <v>41639</v>
      </c>
      <c r="M6" s="13">
        <f>L7+1</f>
        <v>41640</v>
      </c>
      <c r="N6" s="13">
        <f t="shared" ref="N6:BY6" si="0">M7+1</f>
        <v>41730</v>
      </c>
      <c r="O6" s="13">
        <f t="shared" si="0"/>
        <v>41821</v>
      </c>
      <c r="P6" s="13">
        <f t="shared" si="0"/>
        <v>41913</v>
      </c>
      <c r="Q6" s="13">
        <f t="shared" si="0"/>
        <v>42005</v>
      </c>
      <c r="R6" s="13">
        <f t="shared" si="0"/>
        <v>42095</v>
      </c>
      <c r="S6" s="13">
        <f t="shared" si="0"/>
        <v>42186</v>
      </c>
      <c r="T6" s="13">
        <f t="shared" si="0"/>
        <v>42278</v>
      </c>
      <c r="U6" s="13">
        <f t="shared" si="0"/>
        <v>42370</v>
      </c>
      <c r="V6" s="13">
        <f t="shared" si="0"/>
        <v>42461</v>
      </c>
      <c r="W6" s="13">
        <f t="shared" si="0"/>
        <v>42552</v>
      </c>
      <c r="X6" s="13">
        <f t="shared" si="0"/>
        <v>42644</v>
      </c>
      <c r="Y6" s="13">
        <f t="shared" si="0"/>
        <v>42736</v>
      </c>
      <c r="Z6" s="13">
        <f t="shared" si="0"/>
        <v>42826</v>
      </c>
      <c r="AA6" s="13">
        <f t="shared" si="0"/>
        <v>42917</v>
      </c>
      <c r="AB6" s="13">
        <f t="shared" si="0"/>
        <v>43009</v>
      </c>
      <c r="AC6" s="13">
        <f t="shared" si="0"/>
        <v>43101</v>
      </c>
      <c r="AD6" s="13">
        <f t="shared" si="0"/>
        <v>43191</v>
      </c>
      <c r="AE6" s="13">
        <f t="shared" si="0"/>
        <v>43282</v>
      </c>
      <c r="AF6" s="13">
        <f t="shared" si="0"/>
        <v>43374</v>
      </c>
      <c r="AG6" s="13">
        <f t="shared" si="0"/>
        <v>43466</v>
      </c>
      <c r="AH6" s="13">
        <f t="shared" si="0"/>
        <v>43556</v>
      </c>
      <c r="AI6" s="13">
        <f t="shared" si="0"/>
        <v>43647</v>
      </c>
      <c r="AJ6" s="13">
        <f t="shared" si="0"/>
        <v>43739</v>
      </c>
      <c r="AK6" s="13">
        <f t="shared" si="0"/>
        <v>43831</v>
      </c>
      <c r="AL6" s="13">
        <f t="shared" si="0"/>
        <v>43922</v>
      </c>
      <c r="AM6" s="13">
        <f t="shared" si="0"/>
        <v>44013</v>
      </c>
      <c r="AN6" s="13">
        <f t="shared" si="0"/>
        <v>44105</v>
      </c>
      <c r="AO6" s="13">
        <f t="shared" si="0"/>
        <v>44197</v>
      </c>
      <c r="AP6" s="13">
        <f t="shared" si="0"/>
        <v>44287</v>
      </c>
      <c r="AQ6" s="13">
        <f t="shared" si="0"/>
        <v>44378</v>
      </c>
      <c r="AR6" s="13">
        <f t="shared" si="0"/>
        <v>44470</v>
      </c>
      <c r="AS6" s="13">
        <f t="shared" si="0"/>
        <v>44562</v>
      </c>
      <c r="AT6" s="13">
        <f t="shared" si="0"/>
        <v>44652</v>
      </c>
      <c r="AU6" s="13">
        <f t="shared" si="0"/>
        <v>44743</v>
      </c>
      <c r="AV6" s="13">
        <f t="shared" si="0"/>
        <v>44835</v>
      </c>
      <c r="AW6" s="13">
        <f t="shared" si="0"/>
        <v>44927</v>
      </c>
      <c r="AX6" s="13">
        <f t="shared" si="0"/>
        <v>45017</v>
      </c>
      <c r="AY6" s="13">
        <f t="shared" si="0"/>
        <v>45108</v>
      </c>
      <c r="AZ6" s="13">
        <f t="shared" si="0"/>
        <v>45200</v>
      </c>
      <c r="BA6" s="13">
        <f t="shared" si="0"/>
        <v>45292</v>
      </c>
      <c r="BB6" s="13">
        <f t="shared" si="0"/>
        <v>45383</v>
      </c>
      <c r="BC6" s="13">
        <f t="shared" si="0"/>
        <v>45474</v>
      </c>
      <c r="BD6" s="13">
        <f t="shared" si="0"/>
        <v>45566</v>
      </c>
      <c r="BE6" s="13">
        <f t="shared" si="0"/>
        <v>45658</v>
      </c>
      <c r="BF6" s="13">
        <f t="shared" si="0"/>
        <v>45748</v>
      </c>
      <c r="BG6" s="13">
        <f t="shared" si="0"/>
        <v>45839</v>
      </c>
      <c r="BH6" s="13">
        <f t="shared" si="0"/>
        <v>45931</v>
      </c>
      <c r="BI6" s="13">
        <f t="shared" si="0"/>
        <v>46023</v>
      </c>
      <c r="BJ6" s="13">
        <f t="shared" si="0"/>
        <v>46113</v>
      </c>
      <c r="BK6" s="13">
        <f t="shared" si="0"/>
        <v>46204</v>
      </c>
      <c r="BL6" s="13">
        <f t="shared" si="0"/>
        <v>46296</v>
      </c>
      <c r="BM6" s="13">
        <f t="shared" si="0"/>
        <v>46388</v>
      </c>
      <c r="BN6" s="13">
        <f t="shared" si="0"/>
        <v>46478</v>
      </c>
      <c r="BO6" s="13">
        <f t="shared" si="0"/>
        <v>46569</v>
      </c>
      <c r="BP6" s="13">
        <f t="shared" si="0"/>
        <v>46661</v>
      </c>
      <c r="BQ6" s="13">
        <f t="shared" si="0"/>
        <v>46753</v>
      </c>
      <c r="BR6" s="13">
        <f t="shared" si="0"/>
        <v>46844</v>
      </c>
      <c r="BS6" s="13">
        <f t="shared" si="0"/>
        <v>46935</v>
      </c>
      <c r="BT6" s="13">
        <f t="shared" si="0"/>
        <v>47027</v>
      </c>
      <c r="BU6" s="13">
        <f t="shared" si="0"/>
        <v>47119</v>
      </c>
      <c r="BV6" s="13">
        <f t="shared" si="0"/>
        <v>47209</v>
      </c>
      <c r="BW6" s="13">
        <f t="shared" si="0"/>
        <v>47300</v>
      </c>
      <c r="BX6" s="13">
        <f t="shared" si="0"/>
        <v>47392</v>
      </c>
      <c r="BY6" s="13">
        <f t="shared" si="0"/>
        <v>47484</v>
      </c>
      <c r="BZ6" s="13">
        <f t="shared" ref="BZ6:CN6" si="1">BY7+1</f>
        <v>47574</v>
      </c>
      <c r="CA6" s="13">
        <f t="shared" si="1"/>
        <v>47665</v>
      </c>
      <c r="CB6" s="13">
        <f t="shared" si="1"/>
        <v>47757</v>
      </c>
      <c r="CC6" s="13">
        <f t="shared" si="1"/>
        <v>47849</v>
      </c>
      <c r="CD6" s="13">
        <f t="shared" si="1"/>
        <v>47939</v>
      </c>
      <c r="CE6" s="13">
        <f t="shared" si="1"/>
        <v>48030</v>
      </c>
      <c r="CF6" s="13">
        <f t="shared" si="1"/>
        <v>48122</v>
      </c>
      <c r="CG6" s="13">
        <f t="shared" si="1"/>
        <v>48214</v>
      </c>
      <c r="CH6" s="13">
        <f t="shared" si="1"/>
        <v>48305</v>
      </c>
      <c r="CI6" s="13">
        <f t="shared" si="1"/>
        <v>48396</v>
      </c>
      <c r="CJ6" s="13">
        <f t="shared" si="1"/>
        <v>48488</v>
      </c>
      <c r="CK6" s="13">
        <f t="shared" si="1"/>
        <v>48580</v>
      </c>
      <c r="CL6" s="13">
        <f t="shared" si="1"/>
        <v>48670</v>
      </c>
      <c r="CM6" s="13">
        <f t="shared" si="1"/>
        <v>48761</v>
      </c>
      <c r="CN6" s="13">
        <f t="shared" si="1"/>
        <v>48853</v>
      </c>
    </row>
    <row r="7" spans="1:92" ht="15" customHeight="1" x14ac:dyDescent="0.3">
      <c r="D7" s="12"/>
      <c r="E7" s="2" t="s">
        <v>48</v>
      </c>
      <c r="H7" s="10" t="s">
        <v>49</v>
      </c>
      <c r="J7" s="1" t="s">
        <v>50</v>
      </c>
      <c r="L7" s="71">
        <f>Ass!$I$12</f>
        <v>41639</v>
      </c>
      <c r="M7" s="13">
        <f>EOMONTH(L7,3)</f>
        <v>41729</v>
      </c>
      <c r="N7" s="13">
        <f t="shared" ref="N7:BY7" si="2">EOMONTH(M7,3)</f>
        <v>41820</v>
      </c>
      <c r="O7" s="13">
        <f t="shared" si="2"/>
        <v>41912</v>
      </c>
      <c r="P7" s="13">
        <f t="shared" si="2"/>
        <v>42004</v>
      </c>
      <c r="Q7" s="13">
        <f t="shared" si="2"/>
        <v>42094</v>
      </c>
      <c r="R7" s="13">
        <f t="shared" si="2"/>
        <v>42185</v>
      </c>
      <c r="S7" s="13">
        <f t="shared" si="2"/>
        <v>42277</v>
      </c>
      <c r="T7" s="13">
        <f t="shared" si="2"/>
        <v>42369</v>
      </c>
      <c r="U7" s="13">
        <f t="shared" si="2"/>
        <v>42460</v>
      </c>
      <c r="V7" s="13">
        <f t="shared" si="2"/>
        <v>42551</v>
      </c>
      <c r="W7" s="13">
        <f t="shared" si="2"/>
        <v>42643</v>
      </c>
      <c r="X7" s="13">
        <f t="shared" si="2"/>
        <v>42735</v>
      </c>
      <c r="Y7" s="13">
        <f t="shared" si="2"/>
        <v>42825</v>
      </c>
      <c r="Z7" s="13">
        <f t="shared" si="2"/>
        <v>42916</v>
      </c>
      <c r="AA7" s="13">
        <f t="shared" si="2"/>
        <v>43008</v>
      </c>
      <c r="AB7" s="13">
        <f t="shared" si="2"/>
        <v>43100</v>
      </c>
      <c r="AC7" s="13">
        <f t="shared" si="2"/>
        <v>43190</v>
      </c>
      <c r="AD7" s="13">
        <f t="shared" si="2"/>
        <v>43281</v>
      </c>
      <c r="AE7" s="13">
        <f t="shared" si="2"/>
        <v>43373</v>
      </c>
      <c r="AF7" s="13">
        <f t="shared" si="2"/>
        <v>43465</v>
      </c>
      <c r="AG7" s="13">
        <f t="shared" si="2"/>
        <v>43555</v>
      </c>
      <c r="AH7" s="13">
        <f t="shared" si="2"/>
        <v>43646</v>
      </c>
      <c r="AI7" s="13">
        <f t="shared" si="2"/>
        <v>43738</v>
      </c>
      <c r="AJ7" s="13">
        <f t="shared" si="2"/>
        <v>43830</v>
      </c>
      <c r="AK7" s="13">
        <f t="shared" si="2"/>
        <v>43921</v>
      </c>
      <c r="AL7" s="13">
        <f t="shared" si="2"/>
        <v>44012</v>
      </c>
      <c r="AM7" s="13">
        <f t="shared" si="2"/>
        <v>44104</v>
      </c>
      <c r="AN7" s="13">
        <f t="shared" si="2"/>
        <v>44196</v>
      </c>
      <c r="AO7" s="13">
        <f t="shared" si="2"/>
        <v>44286</v>
      </c>
      <c r="AP7" s="13">
        <f t="shared" si="2"/>
        <v>44377</v>
      </c>
      <c r="AQ7" s="13">
        <f t="shared" si="2"/>
        <v>44469</v>
      </c>
      <c r="AR7" s="13">
        <f t="shared" si="2"/>
        <v>44561</v>
      </c>
      <c r="AS7" s="13">
        <f t="shared" si="2"/>
        <v>44651</v>
      </c>
      <c r="AT7" s="13">
        <f t="shared" si="2"/>
        <v>44742</v>
      </c>
      <c r="AU7" s="13">
        <f t="shared" si="2"/>
        <v>44834</v>
      </c>
      <c r="AV7" s="13">
        <f t="shared" si="2"/>
        <v>44926</v>
      </c>
      <c r="AW7" s="13">
        <f t="shared" si="2"/>
        <v>45016</v>
      </c>
      <c r="AX7" s="13">
        <f t="shared" si="2"/>
        <v>45107</v>
      </c>
      <c r="AY7" s="13">
        <f t="shared" si="2"/>
        <v>45199</v>
      </c>
      <c r="AZ7" s="13">
        <f t="shared" si="2"/>
        <v>45291</v>
      </c>
      <c r="BA7" s="13">
        <f t="shared" si="2"/>
        <v>45382</v>
      </c>
      <c r="BB7" s="13">
        <f t="shared" si="2"/>
        <v>45473</v>
      </c>
      <c r="BC7" s="13">
        <f t="shared" si="2"/>
        <v>45565</v>
      </c>
      <c r="BD7" s="13">
        <f t="shared" si="2"/>
        <v>45657</v>
      </c>
      <c r="BE7" s="13">
        <f t="shared" si="2"/>
        <v>45747</v>
      </c>
      <c r="BF7" s="13">
        <f t="shared" si="2"/>
        <v>45838</v>
      </c>
      <c r="BG7" s="13">
        <f t="shared" si="2"/>
        <v>45930</v>
      </c>
      <c r="BH7" s="13">
        <f t="shared" si="2"/>
        <v>46022</v>
      </c>
      <c r="BI7" s="13">
        <f t="shared" si="2"/>
        <v>46112</v>
      </c>
      <c r="BJ7" s="13">
        <f t="shared" si="2"/>
        <v>46203</v>
      </c>
      <c r="BK7" s="13">
        <f t="shared" si="2"/>
        <v>46295</v>
      </c>
      <c r="BL7" s="13">
        <f t="shared" si="2"/>
        <v>46387</v>
      </c>
      <c r="BM7" s="13">
        <f t="shared" si="2"/>
        <v>46477</v>
      </c>
      <c r="BN7" s="13">
        <f t="shared" si="2"/>
        <v>46568</v>
      </c>
      <c r="BO7" s="13">
        <f t="shared" si="2"/>
        <v>46660</v>
      </c>
      <c r="BP7" s="13">
        <f t="shared" si="2"/>
        <v>46752</v>
      </c>
      <c r="BQ7" s="13">
        <f t="shared" si="2"/>
        <v>46843</v>
      </c>
      <c r="BR7" s="13">
        <f t="shared" si="2"/>
        <v>46934</v>
      </c>
      <c r="BS7" s="13">
        <f t="shared" si="2"/>
        <v>47026</v>
      </c>
      <c r="BT7" s="13">
        <f t="shared" si="2"/>
        <v>47118</v>
      </c>
      <c r="BU7" s="13">
        <f t="shared" si="2"/>
        <v>47208</v>
      </c>
      <c r="BV7" s="13">
        <f t="shared" si="2"/>
        <v>47299</v>
      </c>
      <c r="BW7" s="13">
        <f t="shared" si="2"/>
        <v>47391</v>
      </c>
      <c r="BX7" s="13">
        <f t="shared" si="2"/>
        <v>47483</v>
      </c>
      <c r="BY7" s="13">
        <f t="shared" si="2"/>
        <v>47573</v>
      </c>
      <c r="BZ7" s="13">
        <f t="shared" ref="BZ7:CN7" si="3">EOMONTH(BY7,3)</f>
        <v>47664</v>
      </c>
      <c r="CA7" s="13">
        <f t="shared" si="3"/>
        <v>47756</v>
      </c>
      <c r="CB7" s="13">
        <f t="shared" si="3"/>
        <v>47848</v>
      </c>
      <c r="CC7" s="13">
        <f t="shared" si="3"/>
        <v>47938</v>
      </c>
      <c r="CD7" s="13">
        <f t="shared" si="3"/>
        <v>48029</v>
      </c>
      <c r="CE7" s="13">
        <f t="shared" si="3"/>
        <v>48121</v>
      </c>
      <c r="CF7" s="13">
        <f t="shared" si="3"/>
        <v>48213</v>
      </c>
      <c r="CG7" s="13">
        <f t="shared" si="3"/>
        <v>48304</v>
      </c>
      <c r="CH7" s="13">
        <f t="shared" si="3"/>
        <v>48395</v>
      </c>
      <c r="CI7" s="13">
        <f t="shared" si="3"/>
        <v>48487</v>
      </c>
      <c r="CJ7" s="13">
        <f t="shared" si="3"/>
        <v>48579</v>
      </c>
      <c r="CK7" s="13">
        <f t="shared" si="3"/>
        <v>48669</v>
      </c>
      <c r="CL7" s="13">
        <f t="shared" si="3"/>
        <v>48760</v>
      </c>
      <c r="CM7" s="13">
        <f t="shared" si="3"/>
        <v>48852</v>
      </c>
      <c r="CN7" s="13">
        <f t="shared" si="3"/>
        <v>48944</v>
      </c>
    </row>
    <row r="8" spans="1:92" x14ac:dyDescent="0.3">
      <c r="C8" s="8"/>
    </row>
    <row r="9" spans="1:92" ht="13.2" x14ac:dyDescent="0.25">
      <c r="A9" s="14">
        <f>MAX(A$3:A8)+0.01</f>
        <v>2.0099999999999998</v>
      </c>
      <c r="B9" s="14"/>
      <c r="C9" s="14" t="s">
        <v>137</v>
      </c>
      <c r="D9" s="20"/>
      <c r="E9" s="14"/>
      <c r="F9" s="14"/>
      <c r="G9" s="14"/>
      <c r="H9" s="5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ht="12.75" customHeight="1" x14ac:dyDescent="0.3">
      <c r="C10" s="17"/>
      <c r="D10" s="15"/>
      <c r="H10" s="16"/>
    </row>
    <row r="11" spans="1:92" ht="12.75" customHeight="1" x14ac:dyDescent="0.3">
      <c r="C11" s="17"/>
      <c r="D11" s="15"/>
      <c r="H11" s="16"/>
    </row>
    <row r="12" spans="1:92" ht="12.75" customHeight="1" x14ac:dyDescent="0.3">
      <c r="C12" s="17"/>
      <c r="D12" s="15" t="s">
        <v>138</v>
      </c>
      <c r="H12" s="16" t="s">
        <v>59</v>
      </c>
      <c r="J12" s="58"/>
      <c r="L12" s="15">
        <f t="shared" ref="L12:BW12" si="4">L$7-L$6+1</f>
        <v>1</v>
      </c>
      <c r="M12" s="15">
        <f t="shared" si="4"/>
        <v>90</v>
      </c>
      <c r="N12" s="15">
        <f t="shared" si="4"/>
        <v>91</v>
      </c>
      <c r="O12" s="15">
        <f t="shared" si="4"/>
        <v>92</v>
      </c>
      <c r="P12" s="15">
        <f t="shared" si="4"/>
        <v>92</v>
      </c>
      <c r="Q12" s="15">
        <f t="shared" si="4"/>
        <v>90</v>
      </c>
      <c r="R12" s="15">
        <f t="shared" si="4"/>
        <v>91</v>
      </c>
      <c r="S12" s="15">
        <f t="shared" si="4"/>
        <v>92</v>
      </c>
      <c r="T12" s="15">
        <f t="shared" si="4"/>
        <v>92</v>
      </c>
      <c r="U12" s="15">
        <f t="shared" si="4"/>
        <v>91</v>
      </c>
      <c r="V12" s="15">
        <f t="shared" si="4"/>
        <v>91</v>
      </c>
      <c r="W12" s="15">
        <f t="shared" si="4"/>
        <v>92</v>
      </c>
      <c r="X12" s="15">
        <f t="shared" si="4"/>
        <v>92</v>
      </c>
      <c r="Y12" s="15">
        <f t="shared" si="4"/>
        <v>90</v>
      </c>
      <c r="Z12" s="15">
        <f t="shared" si="4"/>
        <v>91</v>
      </c>
      <c r="AA12" s="15">
        <f t="shared" si="4"/>
        <v>92</v>
      </c>
      <c r="AB12" s="15">
        <f t="shared" si="4"/>
        <v>92</v>
      </c>
      <c r="AC12" s="15">
        <f t="shared" si="4"/>
        <v>90</v>
      </c>
      <c r="AD12" s="15">
        <f t="shared" si="4"/>
        <v>91</v>
      </c>
      <c r="AE12" s="15">
        <f t="shared" si="4"/>
        <v>92</v>
      </c>
      <c r="AF12" s="15">
        <f t="shared" si="4"/>
        <v>92</v>
      </c>
      <c r="AG12" s="15">
        <f t="shared" si="4"/>
        <v>90</v>
      </c>
      <c r="AH12" s="15">
        <f t="shared" si="4"/>
        <v>91</v>
      </c>
      <c r="AI12" s="15">
        <f t="shared" si="4"/>
        <v>92</v>
      </c>
      <c r="AJ12" s="15">
        <f t="shared" si="4"/>
        <v>92</v>
      </c>
      <c r="AK12" s="15">
        <f t="shared" si="4"/>
        <v>91</v>
      </c>
      <c r="AL12" s="15">
        <f t="shared" si="4"/>
        <v>91</v>
      </c>
      <c r="AM12" s="15">
        <f t="shared" si="4"/>
        <v>92</v>
      </c>
      <c r="AN12" s="15">
        <f t="shared" si="4"/>
        <v>92</v>
      </c>
      <c r="AO12" s="15">
        <f t="shared" si="4"/>
        <v>90</v>
      </c>
      <c r="AP12" s="15">
        <f t="shared" si="4"/>
        <v>91</v>
      </c>
      <c r="AQ12" s="15">
        <f t="shared" si="4"/>
        <v>92</v>
      </c>
      <c r="AR12" s="15">
        <f t="shared" si="4"/>
        <v>92</v>
      </c>
      <c r="AS12" s="15">
        <f t="shared" si="4"/>
        <v>90</v>
      </c>
      <c r="AT12" s="15">
        <f t="shared" si="4"/>
        <v>91</v>
      </c>
      <c r="AU12" s="15">
        <f t="shared" si="4"/>
        <v>92</v>
      </c>
      <c r="AV12" s="15">
        <f t="shared" si="4"/>
        <v>92</v>
      </c>
      <c r="AW12" s="15">
        <f t="shared" si="4"/>
        <v>90</v>
      </c>
      <c r="AX12" s="15">
        <f t="shared" si="4"/>
        <v>91</v>
      </c>
      <c r="AY12" s="15">
        <f t="shared" si="4"/>
        <v>92</v>
      </c>
      <c r="AZ12" s="15">
        <f t="shared" si="4"/>
        <v>92</v>
      </c>
      <c r="BA12" s="15">
        <f t="shared" si="4"/>
        <v>91</v>
      </c>
      <c r="BB12" s="15">
        <f t="shared" si="4"/>
        <v>91</v>
      </c>
      <c r="BC12" s="15">
        <f t="shared" si="4"/>
        <v>92</v>
      </c>
      <c r="BD12" s="15">
        <f t="shared" si="4"/>
        <v>92</v>
      </c>
      <c r="BE12" s="15">
        <f t="shared" si="4"/>
        <v>90</v>
      </c>
      <c r="BF12" s="15">
        <f t="shared" si="4"/>
        <v>91</v>
      </c>
      <c r="BG12" s="15">
        <f t="shared" si="4"/>
        <v>92</v>
      </c>
      <c r="BH12" s="15">
        <f t="shared" si="4"/>
        <v>92</v>
      </c>
      <c r="BI12" s="15">
        <f t="shared" si="4"/>
        <v>90</v>
      </c>
      <c r="BJ12" s="15">
        <f t="shared" si="4"/>
        <v>91</v>
      </c>
      <c r="BK12" s="15">
        <f t="shared" si="4"/>
        <v>92</v>
      </c>
      <c r="BL12" s="15">
        <f t="shared" si="4"/>
        <v>92</v>
      </c>
      <c r="BM12" s="15">
        <f t="shared" si="4"/>
        <v>90</v>
      </c>
      <c r="BN12" s="15">
        <f t="shared" si="4"/>
        <v>91</v>
      </c>
      <c r="BO12" s="15">
        <f t="shared" si="4"/>
        <v>92</v>
      </c>
      <c r="BP12" s="15">
        <f t="shared" si="4"/>
        <v>92</v>
      </c>
      <c r="BQ12" s="15">
        <f t="shared" si="4"/>
        <v>91</v>
      </c>
      <c r="BR12" s="15">
        <f t="shared" si="4"/>
        <v>91</v>
      </c>
      <c r="BS12" s="15">
        <f t="shared" si="4"/>
        <v>92</v>
      </c>
      <c r="BT12" s="15">
        <f t="shared" si="4"/>
        <v>92</v>
      </c>
      <c r="BU12" s="15">
        <f t="shared" si="4"/>
        <v>90</v>
      </c>
      <c r="BV12" s="15">
        <f t="shared" si="4"/>
        <v>91</v>
      </c>
      <c r="BW12" s="15">
        <f t="shared" si="4"/>
        <v>92</v>
      </c>
      <c r="BX12" s="15">
        <f t="shared" ref="BX12:CN12" si="5">BX$7-BX$6+1</f>
        <v>92</v>
      </c>
      <c r="BY12" s="15">
        <f t="shared" si="5"/>
        <v>90</v>
      </c>
      <c r="BZ12" s="15">
        <f t="shared" si="5"/>
        <v>91</v>
      </c>
      <c r="CA12" s="15">
        <f t="shared" si="5"/>
        <v>92</v>
      </c>
      <c r="CB12" s="15">
        <f t="shared" si="5"/>
        <v>92</v>
      </c>
      <c r="CC12" s="15">
        <f t="shared" si="5"/>
        <v>90</v>
      </c>
      <c r="CD12" s="15">
        <f t="shared" si="5"/>
        <v>91</v>
      </c>
      <c r="CE12" s="15">
        <f t="shared" si="5"/>
        <v>92</v>
      </c>
      <c r="CF12" s="15">
        <f t="shared" si="5"/>
        <v>92</v>
      </c>
      <c r="CG12" s="15">
        <f t="shared" si="5"/>
        <v>91</v>
      </c>
      <c r="CH12" s="15">
        <f t="shared" si="5"/>
        <v>91</v>
      </c>
      <c r="CI12" s="15">
        <f t="shared" si="5"/>
        <v>92</v>
      </c>
      <c r="CJ12" s="15">
        <f t="shared" si="5"/>
        <v>92</v>
      </c>
      <c r="CK12" s="15">
        <f t="shared" si="5"/>
        <v>90</v>
      </c>
      <c r="CL12" s="15">
        <f t="shared" si="5"/>
        <v>91</v>
      </c>
      <c r="CM12" s="15">
        <f t="shared" si="5"/>
        <v>92</v>
      </c>
      <c r="CN12" s="15">
        <f t="shared" si="5"/>
        <v>92</v>
      </c>
    </row>
    <row r="13" spans="1:92" ht="12.75" customHeight="1" x14ac:dyDescent="0.3">
      <c r="C13" s="17"/>
      <c r="D13" s="15" t="s">
        <v>139</v>
      </c>
      <c r="H13" s="16" t="s">
        <v>59</v>
      </c>
      <c r="J13" s="58"/>
      <c r="L13" s="15">
        <f t="shared" ref="L13:BW13" si="6">DATE(YEAR(L$7),12,31)-DATE(YEAR(L$7)-1,12,31)</f>
        <v>365</v>
      </c>
      <c r="M13" s="15">
        <f t="shared" si="6"/>
        <v>365</v>
      </c>
      <c r="N13" s="15">
        <f t="shared" si="6"/>
        <v>365</v>
      </c>
      <c r="O13" s="15">
        <f t="shared" si="6"/>
        <v>365</v>
      </c>
      <c r="P13" s="15">
        <f t="shared" si="6"/>
        <v>365</v>
      </c>
      <c r="Q13" s="15">
        <f t="shared" si="6"/>
        <v>365</v>
      </c>
      <c r="R13" s="15">
        <f t="shared" si="6"/>
        <v>365</v>
      </c>
      <c r="S13" s="15">
        <f t="shared" si="6"/>
        <v>365</v>
      </c>
      <c r="T13" s="15">
        <f t="shared" si="6"/>
        <v>365</v>
      </c>
      <c r="U13" s="15">
        <f t="shared" si="6"/>
        <v>366</v>
      </c>
      <c r="V13" s="15">
        <f t="shared" si="6"/>
        <v>366</v>
      </c>
      <c r="W13" s="15">
        <f t="shared" si="6"/>
        <v>366</v>
      </c>
      <c r="X13" s="15">
        <f t="shared" si="6"/>
        <v>366</v>
      </c>
      <c r="Y13" s="15">
        <f t="shared" si="6"/>
        <v>365</v>
      </c>
      <c r="Z13" s="15">
        <f t="shared" si="6"/>
        <v>365</v>
      </c>
      <c r="AA13" s="15">
        <f t="shared" si="6"/>
        <v>365</v>
      </c>
      <c r="AB13" s="15">
        <f t="shared" si="6"/>
        <v>365</v>
      </c>
      <c r="AC13" s="15">
        <f t="shared" si="6"/>
        <v>365</v>
      </c>
      <c r="AD13" s="15">
        <f t="shared" si="6"/>
        <v>365</v>
      </c>
      <c r="AE13" s="15">
        <f t="shared" si="6"/>
        <v>365</v>
      </c>
      <c r="AF13" s="15">
        <f t="shared" si="6"/>
        <v>365</v>
      </c>
      <c r="AG13" s="15">
        <f t="shared" si="6"/>
        <v>365</v>
      </c>
      <c r="AH13" s="15">
        <f t="shared" si="6"/>
        <v>365</v>
      </c>
      <c r="AI13" s="15">
        <f t="shared" si="6"/>
        <v>365</v>
      </c>
      <c r="AJ13" s="15">
        <f t="shared" si="6"/>
        <v>365</v>
      </c>
      <c r="AK13" s="15">
        <f t="shared" si="6"/>
        <v>366</v>
      </c>
      <c r="AL13" s="15">
        <f t="shared" si="6"/>
        <v>366</v>
      </c>
      <c r="AM13" s="15">
        <f t="shared" si="6"/>
        <v>366</v>
      </c>
      <c r="AN13" s="15">
        <f t="shared" si="6"/>
        <v>366</v>
      </c>
      <c r="AO13" s="15">
        <f t="shared" si="6"/>
        <v>365</v>
      </c>
      <c r="AP13" s="15">
        <f t="shared" si="6"/>
        <v>365</v>
      </c>
      <c r="AQ13" s="15">
        <f t="shared" si="6"/>
        <v>365</v>
      </c>
      <c r="AR13" s="15">
        <f t="shared" si="6"/>
        <v>365</v>
      </c>
      <c r="AS13" s="15">
        <f t="shared" si="6"/>
        <v>365</v>
      </c>
      <c r="AT13" s="15">
        <f t="shared" si="6"/>
        <v>365</v>
      </c>
      <c r="AU13" s="15">
        <f t="shared" si="6"/>
        <v>365</v>
      </c>
      <c r="AV13" s="15">
        <f t="shared" si="6"/>
        <v>365</v>
      </c>
      <c r="AW13" s="15">
        <f t="shared" si="6"/>
        <v>365</v>
      </c>
      <c r="AX13" s="15">
        <f t="shared" si="6"/>
        <v>365</v>
      </c>
      <c r="AY13" s="15">
        <f t="shared" si="6"/>
        <v>365</v>
      </c>
      <c r="AZ13" s="15">
        <f t="shared" si="6"/>
        <v>365</v>
      </c>
      <c r="BA13" s="15">
        <f t="shared" si="6"/>
        <v>366</v>
      </c>
      <c r="BB13" s="15">
        <f t="shared" si="6"/>
        <v>366</v>
      </c>
      <c r="BC13" s="15">
        <f t="shared" si="6"/>
        <v>366</v>
      </c>
      <c r="BD13" s="15">
        <f t="shared" si="6"/>
        <v>366</v>
      </c>
      <c r="BE13" s="15">
        <f t="shared" si="6"/>
        <v>365</v>
      </c>
      <c r="BF13" s="15">
        <f t="shared" si="6"/>
        <v>365</v>
      </c>
      <c r="BG13" s="15">
        <f t="shared" si="6"/>
        <v>365</v>
      </c>
      <c r="BH13" s="15">
        <f t="shared" si="6"/>
        <v>365</v>
      </c>
      <c r="BI13" s="15">
        <f t="shared" si="6"/>
        <v>365</v>
      </c>
      <c r="BJ13" s="15">
        <f t="shared" si="6"/>
        <v>365</v>
      </c>
      <c r="BK13" s="15">
        <f t="shared" si="6"/>
        <v>365</v>
      </c>
      <c r="BL13" s="15">
        <f t="shared" si="6"/>
        <v>365</v>
      </c>
      <c r="BM13" s="15">
        <f t="shared" si="6"/>
        <v>365</v>
      </c>
      <c r="BN13" s="15">
        <f t="shared" si="6"/>
        <v>365</v>
      </c>
      <c r="BO13" s="15">
        <f t="shared" si="6"/>
        <v>365</v>
      </c>
      <c r="BP13" s="15">
        <f t="shared" si="6"/>
        <v>365</v>
      </c>
      <c r="BQ13" s="15">
        <f t="shared" si="6"/>
        <v>366</v>
      </c>
      <c r="BR13" s="15">
        <f t="shared" si="6"/>
        <v>366</v>
      </c>
      <c r="BS13" s="15">
        <f t="shared" si="6"/>
        <v>366</v>
      </c>
      <c r="BT13" s="15">
        <f t="shared" si="6"/>
        <v>366</v>
      </c>
      <c r="BU13" s="15">
        <f t="shared" si="6"/>
        <v>365</v>
      </c>
      <c r="BV13" s="15">
        <f t="shared" si="6"/>
        <v>365</v>
      </c>
      <c r="BW13" s="15">
        <f t="shared" si="6"/>
        <v>365</v>
      </c>
      <c r="BX13" s="15">
        <f t="shared" ref="BX13:CN13" si="7">DATE(YEAR(BX$7),12,31)-DATE(YEAR(BX$7)-1,12,31)</f>
        <v>365</v>
      </c>
      <c r="BY13" s="15">
        <f t="shared" si="7"/>
        <v>365</v>
      </c>
      <c r="BZ13" s="15">
        <f t="shared" si="7"/>
        <v>365</v>
      </c>
      <c r="CA13" s="15">
        <f t="shared" si="7"/>
        <v>365</v>
      </c>
      <c r="CB13" s="15">
        <f t="shared" si="7"/>
        <v>365</v>
      </c>
      <c r="CC13" s="15">
        <f t="shared" si="7"/>
        <v>365</v>
      </c>
      <c r="CD13" s="15">
        <f t="shared" si="7"/>
        <v>365</v>
      </c>
      <c r="CE13" s="15">
        <f t="shared" si="7"/>
        <v>365</v>
      </c>
      <c r="CF13" s="15">
        <f t="shared" si="7"/>
        <v>365</v>
      </c>
      <c r="CG13" s="15">
        <f t="shared" si="7"/>
        <v>366</v>
      </c>
      <c r="CH13" s="15">
        <f t="shared" si="7"/>
        <v>366</v>
      </c>
      <c r="CI13" s="15">
        <f t="shared" si="7"/>
        <v>366</v>
      </c>
      <c r="CJ13" s="15">
        <f t="shared" si="7"/>
        <v>366</v>
      </c>
      <c r="CK13" s="15">
        <f t="shared" si="7"/>
        <v>365</v>
      </c>
      <c r="CL13" s="15">
        <f t="shared" si="7"/>
        <v>365</v>
      </c>
      <c r="CM13" s="15">
        <f t="shared" si="7"/>
        <v>365</v>
      </c>
      <c r="CN13" s="15">
        <f t="shared" si="7"/>
        <v>365</v>
      </c>
    </row>
    <row r="14" spans="1:92" ht="12.75" customHeight="1" x14ac:dyDescent="0.3">
      <c r="C14" s="17"/>
      <c r="D14" s="15" t="s">
        <v>140</v>
      </c>
      <c r="H14" s="16" t="s">
        <v>16</v>
      </c>
      <c r="K14" s="5" t="s">
        <v>171</v>
      </c>
      <c r="L14" s="76">
        <v>0</v>
      </c>
      <c r="M14" s="55">
        <f>(1+Ass!$I$16)^(1/4)-1</f>
        <v>6.9276778651612414E-3</v>
      </c>
      <c r="N14" s="55">
        <f>(1+Ass!$I$16)^(1/4)-1</f>
        <v>6.9276778651612414E-3</v>
      </c>
      <c r="O14" s="55">
        <f>(1+Ass!$I$16)^(1/4)-1</f>
        <v>6.9276778651612414E-3</v>
      </c>
      <c r="P14" s="55">
        <f>(1+Ass!$I$16)^(1/4)-1</f>
        <v>6.9276778651612414E-3</v>
      </c>
      <c r="Q14" s="55">
        <f>(1+Ass!$I$16)^(1/4)-1</f>
        <v>6.9276778651612414E-3</v>
      </c>
      <c r="R14" s="55">
        <f>(1+Ass!$I$16)^(1/4)-1</f>
        <v>6.9276778651612414E-3</v>
      </c>
      <c r="S14" s="55">
        <f>(1+Ass!$I$16)^(1/4)-1</f>
        <v>6.9276778651612414E-3</v>
      </c>
      <c r="T14" s="55">
        <f>(1+Ass!$I$16)^(1/4)-1</f>
        <v>6.9276778651612414E-3</v>
      </c>
      <c r="U14" s="55">
        <f>(1+Ass!$I$16)^(1/4)-1</f>
        <v>6.9276778651612414E-3</v>
      </c>
      <c r="V14" s="55">
        <f>(1+Ass!$I$16)^(1/4)-1</f>
        <v>6.9276778651612414E-3</v>
      </c>
      <c r="W14" s="55">
        <f>(1+Ass!$I$16)^(1/4)-1</f>
        <v>6.9276778651612414E-3</v>
      </c>
      <c r="X14" s="55">
        <f>(1+Ass!$I$16)^(1/4)-1</f>
        <v>6.9276778651612414E-3</v>
      </c>
      <c r="Y14" s="55">
        <f>(1+Ass!$I$16)^(1/4)-1</f>
        <v>6.9276778651612414E-3</v>
      </c>
      <c r="Z14" s="55">
        <f>(1+Ass!$I$16)^(1/4)-1</f>
        <v>6.9276778651612414E-3</v>
      </c>
      <c r="AA14" s="55">
        <f>(1+Ass!$I$16)^(1/4)-1</f>
        <v>6.9276778651612414E-3</v>
      </c>
      <c r="AB14" s="55">
        <f>(1+Ass!$I$16)^(1/4)-1</f>
        <v>6.9276778651612414E-3</v>
      </c>
      <c r="AC14" s="55">
        <f>(1+Ass!$I$16)^(1/4)-1</f>
        <v>6.9276778651612414E-3</v>
      </c>
      <c r="AD14" s="55">
        <f>(1+Ass!$I$16)^(1/4)-1</f>
        <v>6.9276778651612414E-3</v>
      </c>
      <c r="AE14" s="55">
        <f>(1+Ass!$I$16)^(1/4)-1</f>
        <v>6.9276778651612414E-3</v>
      </c>
      <c r="AF14" s="55">
        <f>(1+Ass!$I$16)^(1/4)-1</f>
        <v>6.9276778651612414E-3</v>
      </c>
      <c r="AG14" s="55">
        <f>(1+Ass!$I$16)^(1/4)-1</f>
        <v>6.9276778651612414E-3</v>
      </c>
      <c r="AH14" s="55">
        <f>(1+Ass!$I$16)^(1/4)-1</f>
        <v>6.9276778651612414E-3</v>
      </c>
      <c r="AI14" s="55">
        <f>(1+Ass!$I$16)^(1/4)-1</f>
        <v>6.9276778651612414E-3</v>
      </c>
      <c r="AJ14" s="55">
        <f>(1+Ass!$I$16)^(1/4)-1</f>
        <v>6.9276778651612414E-3</v>
      </c>
      <c r="AK14" s="55">
        <f>(1+Ass!$I$16)^(1/4)-1</f>
        <v>6.9276778651612414E-3</v>
      </c>
      <c r="AL14" s="55">
        <f>(1+Ass!$I$16)^(1/4)-1</f>
        <v>6.9276778651612414E-3</v>
      </c>
      <c r="AM14" s="55">
        <f>(1+Ass!$I$16)^(1/4)-1</f>
        <v>6.9276778651612414E-3</v>
      </c>
      <c r="AN14" s="55">
        <f>(1+Ass!$I$16)^(1/4)-1</f>
        <v>6.9276778651612414E-3</v>
      </c>
      <c r="AO14" s="55">
        <f>(1+Ass!$I$16)^(1/4)-1</f>
        <v>6.9276778651612414E-3</v>
      </c>
      <c r="AP14" s="55">
        <f>(1+Ass!$I$16)^(1/4)-1</f>
        <v>6.9276778651612414E-3</v>
      </c>
      <c r="AQ14" s="55">
        <f>(1+Ass!$I$16)^(1/4)-1</f>
        <v>6.9276778651612414E-3</v>
      </c>
      <c r="AR14" s="55">
        <f>(1+Ass!$I$16)^(1/4)-1</f>
        <v>6.9276778651612414E-3</v>
      </c>
      <c r="AS14" s="55">
        <f>(1+Ass!$I$16)^(1/4)-1</f>
        <v>6.9276778651612414E-3</v>
      </c>
      <c r="AT14" s="55">
        <f>(1+Ass!$I$16)^(1/4)-1</f>
        <v>6.9276778651612414E-3</v>
      </c>
      <c r="AU14" s="55">
        <f>(1+Ass!$I$16)^(1/4)-1</f>
        <v>6.9276778651612414E-3</v>
      </c>
      <c r="AV14" s="55">
        <f>(1+Ass!$I$16)^(1/4)-1</f>
        <v>6.9276778651612414E-3</v>
      </c>
      <c r="AW14" s="55">
        <f>(1+Ass!$I$16)^(1/4)-1</f>
        <v>6.9276778651612414E-3</v>
      </c>
      <c r="AX14" s="55">
        <f>(1+Ass!$I$16)^(1/4)-1</f>
        <v>6.9276778651612414E-3</v>
      </c>
      <c r="AY14" s="55">
        <f>(1+Ass!$I$16)^(1/4)-1</f>
        <v>6.9276778651612414E-3</v>
      </c>
      <c r="AZ14" s="55">
        <f>(1+Ass!$I$16)^(1/4)-1</f>
        <v>6.9276778651612414E-3</v>
      </c>
      <c r="BA14" s="55">
        <f>(1+Ass!$I$16)^(1/4)-1</f>
        <v>6.9276778651612414E-3</v>
      </c>
      <c r="BB14" s="55">
        <f>(1+Ass!$I$16)^(1/4)-1</f>
        <v>6.9276778651612414E-3</v>
      </c>
      <c r="BC14" s="55">
        <f>(1+Ass!$I$16)^(1/4)-1</f>
        <v>6.9276778651612414E-3</v>
      </c>
      <c r="BD14" s="55">
        <f>(1+Ass!$I$16)^(1/4)-1</f>
        <v>6.9276778651612414E-3</v>
      </c>
      <c r="BE14" s="55">
        <f>(1+Ass!$I$16)^(1/4)-1</f>
        <v>6.9276778651612414E-3</v>
      </c>
      <c r="BF14" s="55">
        <f>(1+Ass!$I$16)^(1/4)-1</f>
        <v>6.9276778651612414E-3</v>
      </c>
      <c r="BG14" s="55">
        <f>(1+Ass!$I$16)^(1/4)-1</f>
        <v>6.9276778651612414E-3</v>
      </c>
      <c r="BH14" s="55">
        <f>(1+Ass!$I$16)^(1/4)-1</f>
        <v>6.9276778651612414E-3</v>
      </c>
      <c r="BI14" s="55">
        <f>(1+Ass!$I$16)^(1/4)-1</f>
        <v>6.9276778651612414E-3</v>
      </c>
      <c r="BJ14" s="55">
        <f>(1+Ass!$I$16)^(1/4)-1</f>
        <v>6.9276778651612414E-3</v>
      </c>
      <c r="BK14" s="55">
        <f>(1+Ass!$I$16)^(1/4)-1</f>
        <v>6.9276778651612414E-3</v>
      </c>
      <c r="BL14" s="55">
        <f>(1+Ass!$I$16)^(1/4)-1</f>
        <v>6.9276778651612414E-3</v>
      </c>
      <c r="BM14" s="55">
        <f>(1+Ass!$I$16)^(1/4)-1</f>
        <v>6.9276778651612414E-3</v>
      </c>
      <c r="BN14" s="55">
        <f>(1+Ass!$I$16)^(1/4)-1</f>
        <v>6.9276778651612414E-3</v>
      </c>
      <c r="BO14" s="55">
        <f>(1+Ass!$I$16)^(1/4)-1</f>
        <v>6.9276778651612414E-3</v>
      </c>
      <c r="BP14" s="55">
        <f>(1+Ass!$I$16)^(1/4)-1</f>
        <v>6.9276778651612414E-3</v>
      </c>
      <c r="BQ14" s="55">
        <f>(1+Ass!$I$16)^(1/4)-1</f>
        <v>6.9276778651612414E-3</v>
      </c>
      <c r="BR14" s="55">
        <f>(1+Ass!$I$16)^(1/4)-1</f>
        <v>6.9276778651612414E-3</v>
      </c>
      <c r="BS14" s="55">
        <f>(1+Ass!$I$16)^(1/4)-1</f>
        <v>6.9276778651612414E-3</v>
      </c>
      <c r="BT14" s="55">
        <f>(1+Ass!$I$16)^(1/4)-1</f>
        <v>6.9276778651612414E-3</v>
      </c>
      <c r="BU14" s="55">
        <f>(1+Ass!$I$16)^(1/4)-1</f>
        <v>6.9276778651612414E-3</v>
      </c>
      <c r="BV14" s="55">
        <f>(1+Ass!$I$16)^(1/4)-1</f>
        <v>6.9276778651612414E-3</v>
      </c>
      <c r="BW14" s="55">
        <f>(1+Ass!$I$16)^(1/4)-1</f>
        <v>6.9276778651612414E-3</v>
      </c>
      <c r="BX14" s="55">
        <f>(1+Ass!$I$16)^(1/4)-1</f>
        <v>6.9276778651612414E-3</v>
      </c>
      <c r="BY14" s="55">
        <f>(1+Ass!$I$16)^(1/4)-1</f>
        <v>6.9276778651612414E-3</v>
      </c>
      <c r="BZ14" s="55">
        <f>(1+Ass!$I$16)^(1/4)-1</f>
        <v>6.9276778651612414E-3</v>
      </c>
      <c r="CA14" s="55">
        <f>(1+Ass!$I$16)^(1/4)-1</f>
        <v>6.9276778651612414E-3</v>
      </c>
      <c r="CB14" s="55">
        <f>(1+Ass!$I$16)^(1/4)-1</f>
        <v>6.9276778651612414E-3</v>
      </c>
      <c r="CC14" s="55">
        <f>(1+Ass!$I$16)^(1/4)-1</f>
        <v>6.9276778651612414E-3</v>
      </c>
      <c r="CD14" s="55">
        <f>(1+Ass!$I$16)^(1/4)-1</f>
        <v>6.9276778651612414E-3</v>
      </c>
      <c r="CE14" s="55">
        <f>(1+Ass!$I$16)^(1/4)-1</f>
        <v>6.9276778651612414E-3</v>
      </c>
      <c r="CF14" s="55">
        <f>(1+Ass!$I$16)^(1/4)-1</f>
        <v>6.9276778651612414E-3</v>
      </c>
      <c r="CG14" s="55">
        <f>(1+Ass!$I$16)^(1/4)-1</f>
        <v>6.9276778651612414E-3</v>
      </c>
      <c r="CH14" s="55">
        <f>(1+Ass!$I$16)^(1/4)-1</f>
        <v>6.9276778651612414E-3</v>
      </c>
      <c r="CI14" s="55">
        <f>(1+Ass!$I$16)^(1/4)-1</f>
        <v>6.9276778651612414E-3</v>
      </c>
      <c r="CJ14" s="55">
        <f>(1+Ass!$I$16)^(1/4)-1</f>
        <v>6.9276778651612414E-3</v>
      </c>
      <c r="CK14" s="55">
        <f>(1+Ass!$I$16)^(1/4)-1</f>
        <v>6.9276778651612414E-3</v>
      </c>
      <c r="CL14" s="55">
        <f>(1+Ass!$I$16)^(1/4)-1</f>
        <v>6.9276778651612414E-3</v>
      </c>
      <c r="CM14" s="55">
        <f>(1+Ass!$I$16)^(1/4)-1</f>
        <v>6.9276778651612414E-3</v>
      </c>
      <c r="CN14" s="55">
        <f>(1+Ass!$I$16)^(1/4)-1</f>
        <v>6.9276778651612414E-3</v>
      </c>
    </row>
    <row r="15" spans="1:92" ht="12.75" customHeight="1" x14ac:dyDescent="0.25">
      <c r="C15" s="17"/>
      <c r="D15" s="15" t="s">
        <v>141</v>
      </c>
      <c r="H15" s="16" t="s">
        <v>146</v>
      </c>
      <c r="I15" s="15"/>
      <c r="J15" s="15"/>
      <c r="K15" s="15"/>
      <c r="L15" s="73">
        <v>1</v>
      </c>
      <c r="M15" s="74">
        <f>L15*(1+L14)</f>
        <v>1</v>
      </c>
      <c r="N15" s="74">
        <f t="shared" ref="N15:S15" si="8">M15*(1+M14)</f>
        <v>1.0069276778651612</v>
      </c>
      <c r="O15" s="74">
        <f t="shared" si="8"/>
        <v>1.0139033484509259</v>
      </c>
      <c r="P15" s="74">
        <f t="shared" si="8"/>
        <v>1.0209273442354023</v>
      </c>
      <c r="Q15" s="74">
        <f t="shared" si="8"/>
        <v>1.0279999999999998</v>
      </c>
      <c r="R15" s="74">
        <f t="shared" si="8"/>
        <v>1.0351216528453855</v>
      </c>
      <c r="S15" s="74">
        <f t="shared" si="8"/>
        <v>1.0422926422075516</v>
      </c>
      <c r="T15" s="74">
        <f t="shared" ref="T15:CE15" si="9">S15*(1+S14)</f>
        <v>1.0495133098739933</v>
      </c>
      <c r="U15" s="74">
        <f t="shared" si="9"/>
        <v>1.0567839999999995</v>
      </c>
      <c r="V15" s="74">
        <f t="shared" si="9"/>
        <v>1.064105059125056</v>
      </c>
      <c r="W15" s="74">
        <f t="shared" si="9"/>
        <v>1.0714768361893627</v>
      </c>
      <c r="X15" s="74">
        <f t="shared" si="9"/>
        <v>1.0788996825504649</v>
      </c>
      <c r="Y15" s="74">
        <f t="shared" si="9"/>
        <v>1.0863739519999993</v>
      </c>
      <c r="Z15" s="74">
        <f t="shared" si="9"/>
        <v>1.0939000007805575</v>
      </c>
      <c r="AA15" s="74">
        <f t="shared" si="9"/>
        <v>1.1014781876026649</v>
      </c>
      <c r="AB15" s="74">
        <f t="shared" si="9"/>
        <v>1.1091088736618777</v>
      </c>
      <c r="AC15" s="74">
        <f t="shared" si="9"/>
        <v>1.1167924226559991</v>
      </c>
      <c r="AD15" s="74">
        <f t="shared" si="9"/>
        <v>1.1245292008024128</v>
      </c>
      <c r="AE15" s="74">
        <f t="shared" si="9"/>
        <v>1.1323195768555392</v>
      </c>
      <c r="AF15" s="74">
        <f t="shared" si="9"/>
        <v>1.14016392212441</v>
      </c>
      <c r="AG15" s="74">
        <f t="shared" si="9"/>
        <v>1.1480626104903666</v>
      </c>
      <c r="AH15" s="74">
        <f t="shared" si="9"/>
        <v>1.15601601842488</v>
      </c>
      <c r="AI15" s="74">
        <f t="shared" si="9"/>
        <v>1.1640245250074939</v>
      </c>
      <c r="AJ15" s="74">
        <f t="shared" si="9"/>
        <v>1.1720885119438931</v>
      </c>
      <c r="AK15" s="74">
        <f t="shared" si="9"/>
        <v>1.1802083635840965</v>
      </c>
      <c r="AL15" s="74">
        <f t="shared" si="9"/>
        <v>1.1883844669407762</v>
      </c>
      <c r="AM15" s="74">
        <f t="shared" si="9"/>
        <v>1.1966172117077032</v>
      </c>
      <c r="AN15" s="74">
        <f t="shared" si="9"/>
        <v>1.2049069902783216</v>
      </c>
      <c r="AO15" s="74">
        <f t="shared" si="9"/>
        <v>1.2132541977644509</v>
      </c>
      <c r="AP15" s="74">
        <f t="shared" si="9"/>
        <v>1.2216592320151176</v>
      </c>
      <c r="AQ15" s="74">
        <f t="shared" si="9"/>
        <v>1.2301224936355186</v>
      </c>
      <c r="AR15" s="74">
        <f t="shared" si="9"/>
        <v>1.2386443860061143</v>
      </c>
      <c r="AS15" s="74">
        <f t="shared" si="9"/>
        <v>1.2472253153018551</v>
      </c>
      <c r="AT15" s="74">
        <f t="shared" si="9"/>
        <v>1.2558656905115404</v>
      </c>
      <c r="AU15" s="74">
        <f t="shared" si="9"/>
        <v>1.2645659234573126</v>
      </c>
      <c r="AV15" s="74">
        <f t="shared" si="9"/>
        <v>1.2733264288142849</v>
      </c>
      <c r="AW15" s="74">
        <f t="shared" si="9"/>
        <v>1.2821476241303065</v>
      </c>
      <c r="AX15" s="74">
        <f t="shared" si="9"/>
        <v>1.2910299298458632</v>
      </c>
      <c r="AY15" s="74">
        <f t="shared" si="9"/>
        <v>1.2999737693141171</v>
      </c>
      <c r="AZ15" s="74">
        <f t="shared" si="9"/>
        <v>1.3089795688210848</v>
      </c>
      <c r="BA15" s="74">
        <f t="shared" si="9"/>
        <v>1.3180477576059548</v>
      </c>
      <c r="BB15" s="74">
        <f t="shared" si="9"/>
        <v>1.327178767881547</v>
      </c>
      <c r="BC15" s="74">
        <f t="shared" si="9"/>
        <v>1.3363730348549119</v>
      </c>
      <c r="BD15" s="74">
        <f t="shared" si="9"/>
        <v>1.3456309967480746</v>
      </c>
      <c r="BE15" s="74">
        <f t="shared" si="9"/>
        <v>1.354953094818921</v>
      </c>
      <c r="BF15" s="74">
        <f t="shared" si="9"/>
        <v>1.3643397733822298</v>
      </c>
      <c r="BG15" s="74">
        <f t="shared" si="9"/>
        <v>1.373791479830849</v>
      </c>
      <c r="BH15" s="74">
        <f t="shared" si="9"/>
        <v>1.3833086646570203</v>
      </c>
      <c r="BI15" s="74">
        <f t="shared" si="9"/>
        <v>1.3928917814738504</v>
      </c>
      <c r="BJ15" s="74">
        <f t="shared" si="9"/>
        <v>1.4025412870369318</v>
      </c>
      <c r="BK15" s="74">
        <f t="shared" si="9"/>
        <v>1.4122576412661123</v>
      </c>
      <c r="BL15" s="74">
        <f t="shared" si="9"/>
        <v>1.4220413072674163</v>
      </c>
      <c r="BM15" s="74">
        <f t="shared" si="9"/>
        <v>1.4318927513551176</v>
      </c>
      <c r="BN15" s="74">
        <f t="shared" si="9"/>
        <v>1.4418124430739654</v>
      </c>
      <c r="BO15" s="74">
        <f t="shared" si="9"/>
        <v>1.4518008552215629</v>
      </c>
      <c r="BP15" s="74">
        <f t="shared" si="9"/>
        <v>1.4618584638709036</v>
      </c>
      <c r="BQ15" s="74">
        <f t="shared" si="9"/>
        <v>1.4719857483930607</v>
      </c>
      <c r="BR15" s="74">
        <f t="shared" si="9"/>
        <v>1.4821831914800361</v>
      </c>
      <c r="BS15" s="74">
        <f t="shared" si="9"/>
        <v>1.4924512791677664</v>
      </c>
      <c r="BT15" s="74">
        <f t="shared" si="9"/>
        <v>1.5027905008592886</v>
      </c>
      <c r="BU15" s="74">
        <f t="shared" si="9"/>
        <v>1.513201349348066</v>
      </c>
      <c r="BV15" s="74">
        <f t="shared" si="9"/>
        <v>1.5236843208414768</v>
      </c>
      <c r="BW15" s="74">
        <f t="shared" si="9"/>
        <v>1.5342399149844634</v>
      </c>
      <c r="BX15" s="74">
        <f t="shared" si="9"/>
        <v>1.5448686348833482</v>
      </c>
      <c r="BY15" s="74">
        <f t="shared" si="9"/>
        <v>1.5555709871298116</v>
      </c>
      <c r="BZ15" s="74">
        <f t="shared" si="9"/>
        <v>1.5663474818250378</v>
      </c>
      <c r="CA15" s="74">
        <f t="shared" si="9"/>
        <v>1.5771986326040282</v>
      </c>
      <c r="CB15" s="74">
        <f t="shared" si="9"/>
        <v>1.5881249566600817</v>
      </c>
      <c r="CC15" s="74">
        <f t="shared" si="9"/>
        <v>1.5991269747694459</v>
      </c>
      <c r="CD15" s="74">
        <f t="shared" si="9"/>
        <v>1.6102052113161385</v>
      </c>
      <c r="CE15" s="74">
        <f t="shared" si="9"/>
        <v>1.6213601943169407</v>
      </c>
      <c r="CF15" s="74">
        <f t="shared" ref="CF15:CN15" si="10">CE15*(1+CE14)</f>
        <v>1.6325924554465636</v>
      </c>
      <c r="CG15" s="74">
        <f t="shared" si="10"/>
        <v>1.6439025300629899</v>
      </c>
      <c r="CH15" s="74">
        <f t="shared" si="10"/>
        <v>1.6552909572329899</v>
      </c>
      <c r="CI15" s="74">
        <f t="shared" si="10"/>
        <v>1.6667582797578144</v>
      </c>
      <c r="CJ15" s="74">
        <f t="shared" si="10"/>
        <v>1.6783050441990668</v>
      </c>
      <c r="CK15" s="74">
        <f t="shared" si="10"/>
        <v>1.689931800904753</v>
      </c>
      <c r="CL15" s="74">
        <f t="shared" si="10"/>
        <v>1.701639104035513</v>
      </c>
      <c r="CM15" s="74">
        <f t="shared" si="10"/>
        <v>1.7134275115910327</v>
      </c>
      <c r="CN15" s="74">
        <f t="shared" si="10"/>
        <v>1.7252975854366401</v>
      </c>
    </row>
    <row r="16" spans="1:92" ht="12.75" customHeight="1" x14ac:dyDescent="0.3">
      <c r="D16" s="15"/>
      <c r="H16" s="16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</row>
    <row r="17" spans="4:92" ht="12.75" customHeight="1" x14ac:dyDescent="0.3">
      <c r="D17" s="15" t="s">
        <v>142</v>
      </c>
      <c r="H17" s="16" t="s">
        <v>16</v>
      </c>
      <c r="L17" s="55">
        <f>Ass!$I$32*(MONTH(L6)=MONTH(Ass!$I$33))*(L6&gt;=Ass!$I$33)</f>
        <v>0</v>
      </c>
      <c r="M17" s="55">
        <f>Ass!$I$32*(MONTH(M6)=MONTH(Ass!$I$33))*(M6&gt;=Ass!$I$33)</f>
        <v>0</v>
      </c>
      <c r="N17" s="55">
        <f>Ass!$I$32*(MONTH(N6)=MONTH(Ass!$I$33))*(N6&gt;=Ass!$I$33)</f>
        <v>0</v>
      </c>
      <c r="O17" s="55">
        <f>Ass!$I$32*(MONTH(O6)=MONTH(Ass!$I$33))*(O6&gt;=Ass!$I$33)</f>
        <v>2.5000000000000001E-2</v>
      </c>
      <c r="P17" s="55">
        <f>Ass!$I$32*(MONTH(P6)=MONTH(Ass!$I$33))*(P6&gt;=Ass!$I$33)</f>
        <v>0</v>
      </c>
      <c r="Q17" s="55">
        <f>Ass!$I$32*(MONTH(Q6)=MONTH(Ass!$I$33))*(Q6&gt;=Ass!$I$33)</f>
        <v>0</v>
      </c>
      <c r="R17" s="55">
        <f>Ass!$I$32*(MONTH(R6)=MONTH(Ass!$I$33))*(R6&gt;=Ass!$I$33)</f>
        <v>0</v>
      </c>
      <c r="S17" s="55">
        <f>Ass!$I$32*(MONTH(S6)=MONTH(Ass!$I$33))*(S6&gt;=Ass!$I$33)</f>
        <v>2.5000000000000001E-2</v>
      </c>
      <c r="T17" s="55">
        <f>Ass!$I$32*(MONTH(T6)=MONTH(Ass!$I$33))*(T6&gt;=Ass!$I$33)</f>
        <v>0</v>
      </c>
      <c r="U17" s="55">
        <f>Ass!$I$32*(MONTH(U6)=MONTH(Ass!$I$33))*(U6&gt;=Ass!$I$33)</f>
        <v>0</v>
      </c>
      <c r="V17" s="55">
        <f>Ass!$I$32*(MONTH(V6)=MONTH(Ass!$I$33))*(V6&gt;=Ass!$I$33)</f>
        <v>0</v>
      </c>
      <c r="W17" s="55">
        <f>Ass!$I$32*(MONTH(W6)=MONTH(Ass!$I$33))*(W6&gt;=Ass!$I$33)</f>
        <v>2.5000000000000001E-2</v>
      </c>
      <c r="X17" s="55">
        <f>Ass!$I$32*(MONTH(X6)=MONTH(Ass!$I$33))*(X6&gt;=Ass!$I$33)</f>
        <v>0</v>
      </c>
      <c r="Y17" s="55">
        <f>Ass!$I$32*(MONTH(Y6)=MONTH(Ass!$I$33))*(Y6&gt;=Ass!$I$33)</f>
        <v>0</v>
      </c>
      <c r="Z17" s="55">
        <f>Ass!$I$32*(MONTH(Z6)=MONTH(Ass!$I$33))*(Z6&gt;=Ass!$I$33)</f>
        <v>0</v>
      </c>
      <c r="AA17" s="55">
        <f>Ass!$I$32*(MONTH(AA6)=MONTH(Ass!$I$33))*(AA6&gt;=Ass!$I$33)</f>
        <v>2.5000000000000001E-2</v>
      </c>
      <c r="AB17" s="55">
        <f>Ass!$I$32*(MONTH(AB6)=MONTH(Ass!$I$33))*(AB6&gt;=Ass!$I$33)</f>
        <v>0</v>
      </c>
      <c r="AC17" s="55">
        <f>Ass!$I$32*(MONTH(AC6)=MONTH(Ass!$I$33))*(AC6&gt;=Ass!$I$33)</f>
        <v>0</v>
      </c>
      <c r="AD17" s="55">
        <f>Ass!$I$32*(MONTH(AD6)=MONTH(Ass!$I$33))*(AD6&gt;=Ass!$I$33)</f>
        <v>0</v>
      </c>
      <c r="AE17" s="55">
        <f>Ass!$I$32*(MONTH(AE6)=MONTH(Ass!$I$33))*(AE6&gt;=Ass!$I$33)</f>
        <v>2.5000000000000001E-2</v>
      </c>
      <c r="AF17" s="55">
        <f>Ass!$I$32*(MONTH(AF6)=MONTH(Ass!$I$33))*(AF6&gt;=Ass!$I$33)</f>
        <v>0</v>
      </c>
      <c r="AG17" s="55">
        <f>Ass!$I$32*(MONTH(AG6)=MONTH(Ass!$I$33))*(AG6&gt;=Ass!$I$33)</f>
        <v>0</v>
      </c>
      <c r="AH17" s="55">
        <f>Ass!$I$32*(MONTH(AH6)=MONTH(Ass!$I$33))*(AH6&gt;=Ass!$I$33)</f>
        <v>0</v>
      </c>
      <c r="AI17" s="55">
        <f>Ass!$I$32*(MONTH(AI6)=MONTH(Ass!$I$33))*(AI6&gt;=Ass!$I$33)</f>
        <v>2.5000000000000001E-2</v>
      </c>
      <c r="AJ17" s="55">
        <f>Ass!$I$32*(MONTH(AJ6)=MONTH(Ass!$I$33))*(AJ6&gt;=Ass!$I$33)</f>
        <v>0</v>
      </c>
      <c r="AK17" s="55">
        <f>Ass!$I$32*(MONTH(AK6)=MONTH(Ass!$I$33))*(AK6&gt;=Ass!$I$33)</f>
        <v>0</v>
      </c>
      <c r="AL17" s="55">
        <f>Ass!$I$32*(MONTH(AL6)=MONTH(Ass!$I$33))*(AL6&gt;=Ass!$I$33)</f>
        <v>0</v>
      </c>
      <c r="AM17" s="55">
        <f>Ass!$I$32*(MONTH(AM6)=MONTH(Ass!$I$33))*(AM6&gt;=Ass!$I$33)</f>
        <v>2.5000000000000001E-2</v>
      </c>
      <c r="AN17" s="55">
        <f>Ass!$I$32*(MONTH(AN6)=MONTH(Ass!$I$33))*(AN6&gt;=Ass!$I$33)</f>
        <v>0</v>
      </c>
      <c r="AO17" s="55">
        <f>Ass!$I$32*(MONTH(AO6)=MONTH(Ass!$I$33))*(AO6&gt;=Ass!$I$33)</f>
        <v>0</v>
      </c>
      <c r="AP17" s="55">
        <f>Ass!$I$32*(MONTH(AP6)=MONTH(Ass!$I$33))*(AP6&gt;=Ass!$I$33)</f>
        <v>0</v>
      </c>
      <c r="AQ17" s="55">
        <f>Ass!$I$32*(MONTH(AQ6)=MONTH(Ass!$I$33))*(AQ6&gt;=Ass!$I$33)</f>
        <v>2.5000000000000001E-2</v>
      </c>
      <c r="AR17" s="55">
        <f>Ass!$I$32*(MONTH(AR6)=MONTH(Ass!$I$33))*(AR6&gt;=Ass!$I$33)</f>
        <v>0</v>
      </c>
      <c r="AS17" s="55">
        <f>Ass!$I$32*(MONTH(AS6)=MONTH(Ass!$I$33))*(AS6&gt;=Ass!$I$33)</f>
        <v>0</v>
      </c>
      <c r="AT17" s="55">
        <f>Ass!$I$32*(MONTH(AT6)=MONTH(Ass!$I$33))*(AT6&gt;=Ass!$I$33)</f>
        <v>0</v>
      </c>
      <c r="AU17" s="55">
        <f>Ass!$I$32*(MONTH(AU6)=MONTH(Ass!$I$33))*(AU6&gt;=Ass!$I$33)</f>
        <v>2.5000000000000001E-2</v>
      </c>
      <c r="AV17" s="55">
        <f>Ass!$I$32*(MONTH(AV6)=MONTH(Ass!$I$33))*(AV6&gt;=Ass!$I$33)</f>
        <v>0</v>
      </c>
      <c r="AW17" s="55">
        <f>Ass!$I$32*(MONTH(AW6)=MONTH(Ass!$I$33))*(AW6&gt;=Ass!$I$33)</f>
        <v>0</v>
      </c>
      <c r="AX17" s="55">
        <f>Ass!$I$32*(MONTH(AX6)=MONTH(Ass!$I$33))*(AX6&gt;=Ass!$I$33)</f>
        <v>0</v>
      </c>
      <c r="AY17" s="55">
        <f>Ass!$I$32*(MONTH(AY6)=MONTH(Ass!$I$33))*(AY6&gt;=Ass!$I$33)</f>
        <v>2.5000000000000001E-2</v>
      </c>
      <c r="AZ17" s="55">
        <f>Ass!$I$32*(MONTH(AZ6)=MONTH(Ass!$I$33))*(AZ6&gt;=Ass!$I$33)</f>
        <v>0</v>
      </c>
      <c r="BA17" s="55">
        <f>Ass!$I$32*(MONTH(BA6)=MONTH(Ass!$I$33))*(BA6&gt;=Ass!$I$33)</f>
        <v>0</v>
      </c>
      <c r="BB17" s="55">
        <f>Ass!$I$32*(MONTH(BB6)=MONTH(Ass!$I$33))*(BB6&gt;=Ass!$I$33)</f>
        <v>0</v>
      </c>
      <c r="BC17" s="55">
        <f>Ass!$I$32*(MONTH(BC6)=MONTH(Ass!$I$33))*(BC6&gt;=Ass!$I$33)</f>
        <v>2.5000000000000001E-2</v>
      </c>
      <c r="BD17" s="55">
        <f>Ass!$I$32*(MONTH(BD6)=MONTH(Ass!$I$33))*(BD6&gt;=Ass!$I$33)</f>
        <v>0</v>
      </c>
      <c r="BE17" s="55">
        <f>Ass!$I$32*(MONTH(BE6)=MONTH(Ass!$I$33))*(BE6&gt;=Ass!$I$33)</f>
        <v>0</v>
      </c>
      <c r="BF17" s="55">
        <f>Ass!$I$32*(MONTH(BF6)=MONTH(Ass!$I$33))*(BF6&gt;=Ass!$I$33)</f>
        <v>0</v>
      </c>
      <c r="BG17" s="55">
        <f>Ass!$I$32*(MONTH(BG6)=MONTH(Ass!$I$33))*(BG6&gt;=Ass!$I$33)</f>
        <v>2.5000000000000001E-2</v>
      </c>
      <c r="BH17" s="55">
        <f>Ass!$I$32*(MONTH(BH6)=MONTH(Ass!$I$33))*(BH6&gt;=Ass!$I$33)</f>
        <v>0</v>
      </c>
      <c r="BI17" s="55">
        <f>Ass!$I$32*(MONTH(BI6)=MONTH(Ass!$I$33))*(BI6&gt;=Ass!$I$33)</f>
        <v>0</v>
      </c>
      <c r="BJ17" s="55">
        <f>Ass!$I$32*(MONTH(BJ6)=MONTH(Ass!$I$33))*(BJ6&gt;=Ass!$I$33)</f>
        <v>0</v>
      </c>
      <c r="BK17" s="55">
        <f>Ass!$I$32*(MONTH(BK6)=MONTH(Ass!$I$33))*(BK6&gt;=Ass!$I$33)</f>
        <v>2.5000000000000001E-2</v>
      </c>
      <c r="BL17" s="55">
        <f>Ass!$I$32*(MONTH(BL6)=MONTH(Ass!$I$33))*(BL6&gt;=Ass!$I$33)</f>
        <v>0</v>
      </c>
      <c r="BM17" s="55">
        <f>Ass!$I$32*(MONTH(BM6)=MONTH(Ass!$I$33))*(BM6&gt;=Ass!$I$33)</f>
        <v>0</v>
      </c>
      <c r="BN17" s="55">
        <f>Ass!$I$32*(MONTH(BN6)=MONTH(Ass!$I$33))*(BN6&gt;=Ass!$I$33)</f>
        <v>0</v>
      </c>
      <c r="BO17" s="55">
        <f>Ass!$I$32*(MONTH(BO6)=MONTH(Ass!$I$33))*(BO6&gt;=Ass!$I$33)</f>
        <v>2.5000000000000001E-2</v>
      </c>
      <c r="BP17" s="55">
        <f>Ass!$I$32*(MONTH(BP6)=MONTH(Ass!$I$33))*(BP6&gt;=Ass!$I$33)</f>
        <v>0</v>
      </c>
      <c r="BQ17" s="55">
        <f>Ass!$I$32*(MONTH(BQ6)=MONTH(Ass!$I$33))*(BQ6&gt;=Ass!$I$33)</f>
        <v>0</v>
      </c>
      <c r="BR17" s="55">
        <f>Ass!$I$32*(MONTH(BR6)=MONTH(Ass!$I$33))*(BR6&gt;=Ass!$I$33)</f>
        <v>0</v>
      </c>
      <c r="BS17" s="55">
        <f>Ass!$I$32*(MONTH(BS6)=MONTH(Ass!$I$33))*(BS6&gt;=Ass!$I$33)</f>
        <v>2.5000000000000001E-2</v>
      </c>
      <c r="BT17" s="55">
        <f>Ass!$I$32*(MONTH(BT6)=MONTH(Ass!$I$33))*(BT6&gt;=Ass!$I$33)</f>
        <v>0</v>
      </c>
      <c r="BU17" s="55">
        <f>Ass!$I$32*(MONTH(BU6)=MONTH(Ass!$I$33))*(BU6&gt;=Ass!$I$33)</f>
        <v>0</v>
      </c>
      <c r="BV17" s="55">
        <f>Ass!$I$32*(MONTH(BV6)=MONTH(Ass!$I$33))*(BV6&gt;=Ass!$I$33)</f>
        <v>0</v>
      </c>
      <c r="BW17" s="55">
        <f>Ass!$I$32*(MONTH(BW6)=MONTH(Ass!$I$33))*(BW6&gt;=Ass!$I$33)</f>
        <v>2.5000000000000001E-2</v>
      </c>
      <c r="BX17" s="55">
        <f>Ass!$I$32*(MONTH(BX6)=MONTH(Ass!$I$33))*(BX6&gt;=Ass!$I$33)</f>
        <v>0</v>
      </c>
      <c r="BY17" s="55">
        <f>Ass!$I$32*(MONTH(BY6)=MONTH(Ass!$I$33))*(BY6&gt;=Ass!$I$33)</f>
        <v>0</v>
      </c>
      <c r="BZ17" s="55">
        <f>Ass!$I$32*(MONTH(BZ6)=MONTH(Ass!$I$33))*(BZ6&gt;=Ass!$I$33)</f>
        <v>0</v>
      </c>
      <c r="CA17" s="55">
        <f>Ass!$I$32*(MONTH(CA6)=MONTH(Ass!$I$33))*(CA6&gt;=Ass!$I$33)</f>
        <v>2.5000000000000001E-2</v>
      </c>
      <c r="CB17" s="55">
        <f>Ass!$I$32*(MONTH(CB6)=MONTH(Ass!$I$33))*(CB6&gt;=Ass!$I$33)</f>
        <v>0</v>
      </c>
      <c r="CC17" s="55">
        <f>Ass!$I$32*(MONTH(CC6)=MONTH(Ass!$I$33))*(CC6&gt;=Ass!$I$33)</f>
        <v>0</v>
      </c>
      <c r="CD17" s="55">
        <f>Ass!$I$32*(MONTH(CD6)=MONTH(Ass!$I$33))*(CD6&gt;=Ass!$I$33)</f>
        <v>0</v>
      </c>
      <c r="CE17" s="55">
        <f>Ass!$I$32*(MONTH(CE6)=MONTH(Ass!$I$33))*(CE6&gt;=Ass!$I$33)</f>
        <v>2.5000000000000001E-2</v>
      </c>
      <c r="CF17" s="55">
        <f>Ass!$I$32*(MONTH(CF6)=MONTH(Ass!$I$33))*(CF6&gt;=Ass!$I$33)</f>
        <v>0</v>
      </c>
      <c r="CG17" s="55">
        <f>Ass!$I$32*(MONTH(CG6)=MONTH(Ass!$I$33))*(CG6&gt;=Ass!$I$33)</f>
        <v>0</v>
      </c>
      <c r="CH17" s="55">
        <f>Ass!$I$32*(MONTH(CH6)=MONTH(Ass!$I$33))*(CH6&gt;=Ass!$I$33)</f>
        <v>0</v>
      </c>
      <c r="CI17" s="55">
        <f>Ass!$I$32*(MONTH(CI6)=MONTH(Ass!$I$33))*(CI6&gt;=Ass!$I$33)</f>
        <v>2.5000000000000001E-2</v>
      </c>
      <c r="CJ17" s="55">
        <f>Ass!$I$32*(MONTH(CJ6)=MONTH(Ass!$I$33))*(CJ6&gt;=Ass!$I$33)</f>
        <v>0</v>
      </c>
      <c r="CK17" s="55">
        <f>Ass!$I$32*(MONTH(CK6)=MONTH(Ass!$I$33))*(CK6&gt;=Ass!$I$33)</f>
        <v>0</v>
      </c>
      <c r="CL17" s="55">
        <f>Ass!$I$32*(MONTH(CL6)=MONTH(Ass!$I$33))*(CL6&gt;=Ass!$I$33)</f>
        <v>0</v>
      </c>
      <c r="CM17" s="55">
        <f>Ass!$I$32*(MONTH(CM6)=MONTH(Ass!$I$33))*(CM6&gt;=Ass!$I$33)</f>
        <v>2.5000000000000001E-2</v>
      </c>
      <c r="CN17" s="55">
        <f>Ass!$I$32*(MONTH(CN6)=MONTH(Ass!$I$33))*(CN6&gt;=Ass!$I$33)</f>
        <v>0</v>
      </c>
    </row>
    <row r="18" spans="4:92" ht="12.75" customHeight="1" x14ac:dyDescent="0.3">
      <c r="D18" s="15" t="s">
        <v>143</v>
      </c>
      <c r="H18" s="16" t="s">
        <v>146</v>
      </c>
      <c r="L18" s="73">
        <v>1</v>
      </c>
      <c r="M18" s="74">
        <f>L18*(1+M17)</f>
        <v>1</v>
      </c>
      <c r="N18" s="74">
        <f t="shared" ref="N18:S18" si="11">M18*(1+N17)</f>
        <v>1</v>
      </c>
      <c r="O18" s="74">
        <f t="shared" si="11"/>
        <v>1.0249999999999999</v>
      </c>
      <c r="P18" s="74">
        <f t="shared" si="11"/>
        <v>1.0249999999999999</v>
      </c>
      <c r="Q18" s="74">
        <f t="shared" si="11"/>
        <v>1.0249999999999999</v>
      </c>
      <c r="R18" s="74">
        <f t="shared" si="11"/>
        <v>1.0249999999999999</v>
      </c>
      <c r="S18" s="74">
        <f t="shared" si="11"/>
        <v>1.0506249999999999</v>
      </c>
      <c r="T18" s="74">
        <f t="shared" ref="T18" si="12">S18*(1+T17)</f>
        <v>1.0506249999999999</v>
      </c>
      <c r="U18" s="74">
        <f t="shared" ref="U18" si="13">T18*(1+U17)</f>
        <v>1.0506249999999999</v>
      </c>
      <c r="V18" s="74">
        <f t="shared" ref="V18" si="14">U18*(1+V17)</f>
        <v>1.0506249999999999</v>
      </c>
      <c r="W18" s="74">
        <f t="shared" ref="W18" si="15">V18*(1+W17)</f>
        <v>1.0768906249999999</v>
      </c>
      <c r="X18" s="74">
        <f t="shared" ref="X18" si="16">W18*(1+X17)</f>
        <v>1.0768906249999999</v>
      </c>
      <c r="Y18" s="74">
        <f t="shared" ref="Y18" si="17">X18*(1+Y17)</f>
        <v>1.0768906249999999</v>
      </c>
      <c r="Z18" s="74">
        <f t="shared" ref="Z18" si="18">Y18*(1+Z17)</f>
        <v>1.0768906249999999</v>
      </c>
      <c r="AA18" s="74">
        <f t="shared" ref="AA18" si="19">Z18*(1+AA17)</f>
        <v>1.1038128906249998</v>
      </c>
      <c r="AB18" s="74">
        <f t="shared" ref="AB18" si="20">AA18*(1+AB17)</f>
        <v>1.1038128906249998</v>
      </c>
      <c r="AC18" s="74">
        <f t="shared" ref="AC18" si="21">AB18*(1+AC17)</f>
        <v>1.1038128906249998</v>
      </c>
      <c r="AD18" s="74">
        <f t="shared" ref="AD18" si="22">AC18*(1+AD17)</f>
        <v>1.1038128906249998</v>
      </c>
      <c r="AE18" s="74">
        <f t="shared" ref="AE18" si="23">AD18*(1+AE17)</f>
        <v>1.1314082128906247</v>
      </c>
      <c r="AF18" s="74">
        <f t="shared" ref="AF18" si="24">AE18*(1+AF17)</f>
        <v>1.1314082128906247</v>
      </c>
      <c r="AG18" s="74">
        <f t="shared" ref="AG18" si="25">AF18*(1+AG17)</f>
        <v>1.1314082128906247</v>
      </c>
      <c r="AH18" s="74">
        <f t="shared" ref="AH18" si="26">AG18*(1+AH17)</f>
        <v>1.1314082128906247</v>
      </c>
      <c r="AI18" s="74">
        <f t="shared" ref="AI18" si="27">AH18*(1+AI17)</f>
        <v>1.1596934182128902</v>
      </c>
      <c r="AJ18" s="74">
        <f t="shared" ref="AJ18" si="28">AI18*(1+AJ17)</f>
        <v>1.1596934182128902</v>
      </c>
      <c r="AK18" s="74">
        <f t="shared" ref="AK18" si="29">AJ18*(1+AK17)</f>
        <v>1.1596934182128902</v>
      </c>
      <c r="AL18" s="74">
        <f t="shared" ref="AL18" si="30">AK18*(1+AL17)</f>
        <v>1.1596934182128902</v>
      </c>
      <c r="AM18" s="74">
        <f t="shared" ref="AM18" si="31">AL18*(1+AM17)</f>
        <v>1.1886857536682123</v>
      </c>
      <c r="AN18" s="74">
        <f t="shared" ref="AN18" si="32">AM18*(1+AN17)</f>
        <v>1.1886857536682123</v>
      </c>
      <c r="AO18" s="74">
        <f t="shared" ref="AO18" si="33">AN18*(1+AO17)</f>
        <v>1.1886857536682123</v>
      </c>
      <c r="AP18" s="74">
        <f t="shared" ref="AP18" si="34">AO18*(1+AP17)</f>
        <v>1.1886857536682123</v>
      </c>
      <c r="AQ18" s="74">
        <f t="shared" ref="AQ18" si="35">AP18*(1+AQ17)</f>
        <v>1.2184028975099175</v>
      </c>
      <c r="AR18" s="74">
        <f t="shared" ref="AR18" si="36">AQ18*(1+AR17)</f>
        <v>1.2184028975099175</v>
      </c>
      <c r="AS18" s="74">
        <f t="shared" ref="AS18" si="37">AR18*(1+AS17)</f>
        <v>1.2184028975099175</v>
      </c>
      <c r="AT18" s="74">
        <f t="shared" ref="AT18" si="38">AS18*(1+AT17)</f>
        <v>1.2184028975099175</v>
      </c>
      <c r="AU18" s="74">
        <f t="shared" ref="AU18" si="39">AT18*(1+AU17)</f>
        <v>1.2488629699476652</v>
      </c>
      <c r="AV18" s="74">
        <f t="shared" ref="AV18" si="40">AU18*(1+AV17)</f>
        <v>1.2488629699476652</v>
      </c>
      <c r="AW18" s="74">
        <f t="shared" ref="AW18" si="41">AV18*(1+AW17)</f>
        <v>1.2488629699476652</v>
      </c>
      <c r="AX18" s="74">
        <f t="shared" ref="AX18" si="42">AW18*(1+AX17)</f>
        <v>1.2488629699476652</v>
      </c>
      <c r="AY18" s="74">
        <f t="shared" ref="AY18" si="43">AX18*(1+AY17)</f>
        <v>1.2800845441963566</v>
      </c>
      <c r="AZ18" s="74">
        <f t="shared" ref="AZ18" si="44">AY18*(1+AZ17)</f>
        <v>1.2800845441963566</v>
      </c>
      <c r="BA18" s="74">
        <f t="shared" ref="BA18" si="45">AZ18*(1+BA17)</f>
        <v>1.2800845441963566</v>
      </c>
      <c r="BB18" s="74">
        <f t="shared" ref="BB18" si="46">BA18*(1+BB17)</f>
        <v>1.2800845441963566</v>
      </c>
      <c r="BC18" s="74">
        <f t="shared" ref="BC18" si="47">BB18*(1+BC17)</f>
        <v>1.3120866578012655</v>
      </c>
      <c r="BD18" s="74">
        <f t="shared" ref="BD18" si="48">BC18*(1+BD17)</f>
        <v>1.3120866578012655</v>
      </c>
      <c r="BE18" s="74">
        <f t="shared" ref="BE18" si="49">BD18*(1+BE17)</f>
        <v>1.3120866578012655</v>
      </c>
      <c r="BF18" s="74">
        <f t="shared" ref="BF18" si="50">BE18*(1+BF17)</f>
        <v>1.3120866578012655</v>
      </c>
      <c r="BG18" s="74">
        <f t="shared" ref="BG18" si="51">BF18*(1+BG17)</f>
        <v>1.3448888242462971</v>
      </c>
      <c r="BH18" s="74">
        <f t="shared" ref="BH18" si="52">BG18*(1+BH17)</f>
        <v>1.3448888242462971</v>
      </c>
      <c r="BI18" s="74">
        <f t="shared" ref="BI18" si="53">BH18*(1+BI17)</f>
        <v>1.3448888242462971</v>
      </c>
      <c r="BJ18" s="74">
        <f t="shared" ref="BJ18" si="54">BI18*(1+BJ17)</f>
        <v>1.3448888242462971</v>
      </c>
      <c r="BK18" s="74">
        <f t="shared" ref="BK18" si="55">BJ18*(1+BK17)</f>
        <v>1.3785110448524545</v>
      </c>
      <c r="BL18" s="74">
        <f t="shared" ref="BL18" si="56">BK18*(1+BL17)</f>
        <v>1.3785110448524545</v>
      </c>
      <c r="BM18" s="74">
        <f t="shared" ref="BM18" si="57">BL18*(1+BM17)</f>
        <v>1.3785110448524545</v>
      </c>
      <c r="BN18" s="74">
        <f t="shared" ref="BN18" si="58">BM18*(1+BN17)</f>
        <v>1.3785110448524545</v>
      </c>
      <c r="BO18" s="74">
        <f t="shared" ref="BO18" si="59">BN18*(1+BO17)</f>
        <v>1.4129738209737657</v>
      </c>
      <c r="BP18" s="74">
        <f t="shared" ref="BP18" si="60">BO18*(1+BP17)</f>
        <v>1.4129738209737657</v>
      </c>
      <c r="BQ18" s="74">
        <f t="shared" ref="BQ18" si="61">BP18*(1+BQ17)</f>
        <v>1.4129738209737657</v>
      </c>
      <c r="BR18" s="74">
        <f t="shared" ref="BR18" si="62">BQ18*(1+BR17)</f>
        <v>1.4129738209737657</v>
      </c>
      <c r="BS18" s="74">
        <f t="shared" ref="BS18" si="63">BR18*(1+BS17)</f>
        <v>1.4482981664981096</v>
      </c>
      <c r="BT18" s="74">
        <f t="shared" ref="BT18" si="64">BS18*(1+BT17)</f>
        <v>1.4482981664981096</v>
      </c>
      <c r="BU18" s="74">
        <f t="shared" ref="BU18" si="65">BT18*(1+BU17)</f>
        <v>1.4482981664981096</v>
      </c>
      <c r="BV18" s="74">
        <f t="shared" ref="BV18" si="66">BU18*(1+BV17)</f>
        <v>1.4482981664981096</v>
      </c>
      <c r="BW18" s="74">
        <f t="shared" ref="BW18" si="67">BV18*(1+BW17)</f>
        <v>1.4845056206605622</v>
      </c>
      <c r="BX18" s="74">
        <f t="shared" ref="BX18" si="68">BW18*(1+BX17)</f>
        <v>1.4845056206605622</v>
      </c>
      <c r="BY18" s="74">
        <f t="shared" ref="BY18" si="69">BX18*(1+BY17)</f>
        <v>1.4845056206605622</v>
      </c>
      <c r="BZ18" s="74">
        <f t="shared" ref="BZ18" si="70">BY18*(1+BZ17)</f>
        <v>1.4845056206605622</v>
      </c>
      <c r="CA18" s="74">
        <f t="shared" ref="CA18" si="71">BZ18*(1+CA17)</f>
        <v>1.5216182611770761</v>
      </c>
      <c r="CB18" s="74">
        <f t="shared" ref="CB18" si="72">CA18*(1+CB17)</f>
        <v>1.5216182611770761</v>
      </c>
      <c r="CC18" s="74">
        <f t="shared" ref="CC18" si="73">CB18*(1+CC17)</f>
        <v>1.5216182611770761</v>
      </c>
      <c r="CD18" s="74">
        <f t="shared" ref="CD18" si="74">CC18*(1+CD17)</f>
        <v>1.5216182611770761</v>
      </c>
      <c r="CE18" s="74">
        <f t="shared" ref="CE18" si="75">CD18*(1+CE17)</f>
        <v>1.5596587177065029</v>
      </c>
      <c r="CF18" s="74">
        <f t="shared" ref="CF18" si="76">CE18*(1+CF17)</f>
        <v>1.5596587177065029</v>
      </c>
      <c r="CG18" s="74">
        <f t="shared" ref="CG18" si="77">CF18*(1+CG17)</f>
        <v>1.5596587177065029</v>
      </c>
      <c r="CH18" s="74">
        <f t="shared" ref="CH18" si="78">CG18*(1+CH17)</f>
        <v>1.5596587177065029</v>
      </c>
      <c r="CI18" s="74">
        <f t="shared" ref="CI18" si="79">CH18*(1+CI17)</f>
        <v>1.5986501856491653</v>
      </c>
      <c r="CJ18" s="74">
        <f t="shared" ref="CJ18" si="80">CI18*(1+CJ17)</f>
        <v>1.5986501856491653</v>
      </c>
      <c r="CK18" s="74">
        <f t="shared" ref="CK18" si="81">CJ18*(1+CK17)</f>
        <v>1.5986501856491653</v>
      </c>
      <c r="CL18" s="74">
        <f t="shared" ref="CL18" si="82">CK18*(1+CL17)</f>
        <v>1.5986501856491653</v>
      </c>
      <c r="CM18" s="74">
        <f t="shared" ref="CM18" si="83">CL18*(1+CM17)</f>
        <v>1.6386164402903942</v>
      </c>
      <c r="CN18" s="74">
        <f t="shared" ref="CN18" si="84">CM18*(1+CN17)</f>
        <v>1.6386164402903942</v>
      </c>
    </row>
    <row r="19" spans="4:92" ht="12.75" customHeight="1" x14ac:dyDescent="0.3">
      <c r="D19" s="15"/>
      <c r="H19" s="1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</row>
    <row r="20" spans="4:92" ht="12.75" customHeight="1" x14ac:dyDescent="0.3">
      <c r="D20" s="17" t="s">
        <v>31</v>
      </c>
      <c r="H20" s="16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</row>
    <row r="21" spans="4:92" ht="12.75" customHeight="1" x14ac:dyDescent="0.3">
      <c r="D21" s="112" t="s">
        <v>261</v>
      </c>
      <c r="H21" s="16" t="s">
        <v>16</v>
      </c>
      <c r="L21" s="15">
        <f>IF(L$6&lt;Ass!$I$56,0,INDEX(Ass!$K$56:$K$58,MATCH(L$6,Ass!$I$56:$I$58,1)))</f>
        <v>0</v>
      </c>
      <c r="M21" s="15">
        <f>IF(M$6&lt;Ass!$I$56,0,INDEX(Ass!$K$56:$K$58,MATCH(M$6,Ass!$I$56:$I$58,1)))</f>
        <v>0</v>
      </c>
      <c r="N21" s="55">
        <f>IF(N$6&lt;Ass!$I$56,0,INDEX(Ass!$K$56:$K$58,MATCH(N$6,Ass!$I$56:$I$58,1)))</f>
        <v>0.08</v>
      </c>
      <c r="O21" s="55">
        <f>IF(O$6&lt;Ass!$I$56,0,INDEX(Ass!$K$56:$K$58,MATCH(O$6,Ass!$I$56:$I$58,1)))</f>
        <v>0.08</v>
      </c>
      <c r="P21" s="55">
        <f>IF(P$6&lt;Ass!$I$56,0,INDEX(Ass!$K$56:$K$58,MATCH(P$6,Ass!$I$56:$I$58,1)))</f>
        <v>0.08</v>
      </c>
      <c r="Q21" s="55">
        <f>IF(Q$6&lt;Ass!$I$56,0,INDEX(Ass!$K$56:$K$58,MATCH(Q$6,Ass!$I$56:$I$58,1)))</f>
        <v>0.08</v>
      </c>
      <c r="R21" s="55">
        <f>IF(R$6&lt;Ass!$I$56,0,INDEX(Ass!$K$56:$K$58,MATCH(R$6,Ass!$I$56:$I$58,1)))</f>
        <v>0.08</v>
      </c>
      <c r="S21" s="55">
        <f>IF(S$6&lt;Ass!$I$56,0,INDEX(Ass!$K$56:$K$58,MATCH(S$6,Ass!$I$56:$I$58,1)))</f>
        <v>0.06</v>
      </c>
      <c r="T21" s="55">
        <f>IF(T$6&lt;Ass!$I$56,0,INDEX(Ass!$K$56:$K$58,MATCH(T$6,Ass!$I$56:$I$58,1)))</f>
        <v>0.06</v>
      </c>
      <c r="U21" s="55">
        <f>IF(U$6&lt;Ass!$I$56,0,INDEX(Ass!$K$56:$K$58,MATCH(U$6,Ass!$I$56:$I$58,1)))</f>
        <v>0.06</v>
      </c>
      <c r="V21" s="55">
        <f>IF(V$6&lt;Ass!$I$56,0,INDEX(Ass!$K$56:$K$58,MATCH(V$6,Ass!$I$56:$I$58,1)))</f>
        <v>0.06</v>
      </c>
      <c r="W21" s="55">
        <f>IF(W$6&lt;Ass!$I$56,0,INDEX(Ass!$K$56:$K$58,MATCH(W$6,Ass!$I$56:$I$58,1)))</f>
        <v>0.06</v>
      </c>
      <c r="X21" s="55">
        <f>IF(X$6&lt;Ass!$I$56,0,INDEX(Ass!$K$56:$K$58,MATCH(X$6,Ass!$I$56:$I$58,1)))</f>
        <v>0.06</v>
      </c>
      <c r="Y21" s="55">
        <f>IF(Y$6&lt;Ass!$I$56,0,INDEX(Ass!$K$56:$K$58,MATCH(Y$6,Ass!$I$56:$I$58,1)))</f>
        <v>0.06</v>
      </c>
      <c r="Z21" s="55">
        <f>IF(Z$6&lt;Ass!$I$56,0,INDEX(Ass!$K$56:$K$58,MATCH(Z$6,Ass!$I$56:$I$58,1)))</f>
        <v>0.06</v>
      </c>
      <c r="AA21" s="55">
        <f>IF(AA$6&lt;Ass!$I$56,0,INDEX(Ass!$K$56:$K$58,MATCH(AA$6,Ass!$I$56:$I$58,1)))</f>
        <v>0.06</v>
      </c>
      <c r="AB21" s="55">
        <f>IF(AB$6&lt;Ass!$I$56,0,INDEX(Ass!$K$56:$K$58,MATCH(AB$6,Ass!$I$56:$I$58,1)))</f>
        <v>0.06</v>
      </c>
      <c r="AC21" s="55">
        <f>IF(AC$6&lt;Ass!$I$56,0,INDEX(Ass!$K$56:$K$58,MATCH(AC$6,Ass!$I$56:$I$58,1)))</f>
        <v>0.06</v>
      </c>
      <c r="AD21" s="55">
        <f>IF(AD$6&lt;Ass!$I$56,0,INDEX(Ass!$K$56:$K$58,MATCH(AD$6,Ass!$I$56:$I$58,1)))</f>
        <v>0.06</v>
      </c>
      <c r="AE21" s="55">
        <f>IF(AE$6&lt;Ass!$I$56,0,INDEX(Ass!$K$56:$K$58,MATCH(AE$6,Ass!$I$56:$I$58,1)))</f>
        <v>0.06</v>
      </c>
      <c r="AF21" s="55">
        <f>IF(AF$6&lt;Ass!$I$56,0,INDEX(Ass!$K$56:$K$58,MATCH(AF$6,Ass!$I$56:$I$58,1)))</f>
        <v>0.06</v>
      </c>
      <c r="AG21" s="55">
        <f>IF(AG$6&lt;Ass!$I$56,0,INDEX(Ass!$K$56:$K$58,MATCH(AG$6,Ass!$I$56:$I$58,1)))</f>
        <v>0.04</v>
      </c>
      <c r="AH21" s="55">
        <f>IF(AH$6&lt;Ass!$I$56,0,INDEX(Ass!$K$56:$K$58,MATCH(AH$6,Ass!$I$56:$I$58,1)))</f>
        <v>0.04</v>
      </c>
      <c r="AI21" s="55">
        <f>IF(AI$6&lt;Ass!$I$56,0,INDEX(Ass!$K$56:$K$58,MATCH(AI$6,Ass!$I$56:$I$58,1)))</f>
        <v>0.04</v>
      </c>
      <c r="AJ21" s="55">
        <f>IF(AJ$6&lt;Ass!$I$56,0,INDEX(Ass!$K$56:$K$58,MATCH(AJ$6,Ass!$I$56:$I$58,1)))</f>
        <v>0.04</v>
      </c>
      <c r="AK21" s="55">
        <f>IF(AK$6&lt;Ass!$I$56,0,INDEX(Ass!$K$56:$K$58,MATCH(AK$6,Ass!$I$56:$I$58,1)))</f>
        <v>0.04</v>
      </c>
      <c r="AL21" s="55">
        <f>IF(AL$6&lt;Ass!$I$56,0,INDEX(Ass!$K$56:$K$58,MATCH(AL$6,Ass!$I$56:$I$58,1)))</f>
        <v>0.04</v>
      </c>
      <c r="AM21" s="55">
        <f>IF(AM$6&lt;Ass!$I$56,0,INDEX(Ass!$K$56:$K$58,MATCH(AM$6,Ass!$I$56:$I$58,1)))</f>
        <v>0.04</v>
      </c>
      <c r="AN21" s="55">
        <f>IF(AN$6&lt;Ass!$I$56,0,INDEX(Ass!$K$56:$K$58,MATCH(AN$6,Ass!$I$56:$I$58,1)))</f>
        <v>0.04</v>
      </c>
      <c r="AO21" s="55">
        <f>IF(AO$6&lt;Ass!$I$56,0,INDEX(Ass!$K$56:$K$58,MATCH(AO$6,Ass!$I$56:$I$58,1)))</f>
        <v>0.04</v>
      </c>
      <c r="AP21" s="55">
        <f>IF(AP$6&lt;Ass!$I$56,0,INDEX(Ass!$K$56:$K$58,MATCH(AP$6,Ass!$I$56:$I$58,1)))</f>
        <v>0.04</v>
      </c>
      <c r="AQ21" s="55">
        <f>IF(AQ$6&lt;Ass!$I$56,0,INDEX(Ass!$K$56:$K$58,MATCH(AQ$6,Ass!$I$56:$I$58,1)))</f>
        <v>0.04</v>
      </c>
      <c r="AR21" s="55">
        <f>IF(AR$6&lt;Ass!$I$56,0,INDEX(Ass!$K$56:$K$58,MATCH(AR$6,Ass!$I$56:$I$58,1)))</f>
        <v>0.04</v>
      </c>
      <c r="AS21" s="55">
        <f>IF(AS$6&lt;Ass!$I$56,0,INDEX(Ass!$K$56:$K$58,MATCH(AS$6,Ass!$I$56:$I$58,1)))</f>
        <v>0.04</v>
      </c>
      <c r="AT21" s="55">
        <f>IF(AT$6&lt;Ass!$I$56,0,INDEX(Ass!$K$56:$K$58,MATCH(AT$6,Ass!$I$56:$I$58,1)))</f>
        <v>0.04</v>
      </c>
      <c r="AU21" s="55">
        <f>IF(AU$6&lt;Ass!$I$56,0,INDEX(Ass!$K$56:$K$58,MATCH(AU$6,Ass!$I$56:$I$58,1)))</f>
        <v>0.04</v>
      </c>
      <c r="AV21" s="55">
        <f>IF(AV$6&lt;Ass!$I$56,0,INDEX(Ass!$K$56:$K$58,MATCH(AV$6,Ass!$I$56:$I$58,1)))</f>
        <v>0.04</v>
      </c>
      <c r="AW21" s="55">
        <f>IF(AW$6&lt;Ass!$I$56,0,INDEX(Ass!$K$56:$K$58,MATCH(AW$6,Ass!$I$56:$I$58,1)))</f>
        <v>0.04</v>
      </c>
      <c r="AX21" s="55">
        <f>IF(AX$6&lt;Ass!$I$56,0,INDEX(Ass!$K$56:$K$58,MATCH(AX$6,Ass!$I$56:$I$58,1)))</f>
        <v>0.04</v>
      </c>
      <c r="AY21" s="55">
        <f>IF(AY$6&lt;Ass!$I$56,0,INDEX(Ass!$K$56:$K$58,MATCH(AY$6,Ass!$I$56:$I$58,1)))</f>
        <v>0.04</v>
      </c>
      <c r="AZ21" s="55">
        <f>IF(AZ$6&lt;Ass!$I$56,0,INDEX(Ass!$K$56:$K$58,MATCH(AZ$6,Ass!$I$56:$I$58,1)))</f>
        <v>0.04</v>
      </c>
      <c r="BA21" s="55">
        <f>IF(BA$6&lt;Ass!$I$56,0,INDEX(Ass!$K$56:$K$58,MATCH(BA$6,Ass!$I$56:$I$58,1)))</f>
        <v>0.04</v>
      </c>
      <c r="BB21" s="55">
        <f>IF(BB$6&lt;Ass!$I$56,0,INDEX(Ass!$K$56:$K$58,MATCH(BB$6,Ass!$I$56:$I$58,1)))</f>
        <v>0.04</v>
      </c>
      <c r="BC21" s="55">
        <f>IF(BC$6&lt;Ass!$I$56,0,INDEX(Ass!$K$56:$K$58,MATCH(BC$6,Ass!$I$56:$I$58,1)))</f>
        <v>0.04</v>
      </c>
      <c r="BD21" s="55">
        <f>IF(BD$6&lt;Ass!$I$56,0,INDEX(Ass!$K$56:$K$58,MATCH(BD$6,Ass!$I$56:$I$58,1)))</f>
        <v>0.04</v>
      </c>
      <c r="BE21" s="55">
        <f>IF(BE$6&lt;Ass!$I$56,0,INDEX(Ass!$K$56:$K$58,MATCH(BE$6,Ass!$I$56:$I$58,1)))</f>
        <v>0.04</v>
      </c>
      <c r="BF21" s="55">
        <f>IF(BF$6&lt;Ass!$I$56,0,INDEX(Ass!$K$56:$K$58,MATCH(BF$6,Ass!$I$56:$I$58,1)))</f>
        <v>0.04</v>
      </c>
      <c r="BG21" s="55">
        <f>IF(BG$6&lt;Ass!$I$56,0,INDEX(Ass!$K$56:$K$58,MATCH(BG$6,Ass!$I$56:$I$58,1)))</f>
        <v>0.04</v>
      </c>
      <c r="BH21" s="55">
        <f>IF(BH$6&lt;Ass!$I$56,0,INDEX(Ass!$K$56:$K$58,MATCH(BH$6,Ass!$I$56:$I$58,1)))</f>
        <v>0.04</v>
      </c>
      <c r="BI21" s="55">
        <f>IF(BI$6&lt;Ass!$I$56,0,INDEX(Ass!$K$56:$K$58,MATCH(BI$6,Ass!$I$56:$I$58,1)))</f>
        <v>0.04</v>
      </c>
      <c r="BJ21" s="55">
        <f>IF(BJ$6&lt;Ass!$I$56,0,INDEX(Ass!$K$56:$K$58,MATCH(BJ$6,Ass!$I$56:$I$58,1)))</f>
        <v>0.04</v>
      </c>
      <c r="BK21" s="55">
        <f>IF(BK$6&lt;Ass!$I$56,0,INDEX(Ass!$K$56:$K$58,MATCH(BK$6,Ass!$I$56:$I$58,1)))</f>
        <v>0.04</v>
      </c>
      <c r="BL21" s="55">
        <f>IF(BL$6&lt;Ass!$I$56,0,INDEX(Ass!$K$56:$K$58,MATCH(BL$6,Ass!$I$56:$I$58,1)))</f>
        <v>0.04</v>
      </c>
      <c r="BM21" s="55">
        <f>IF(BM$6&lt;Ass!$I$56,0,INDEX(Ass!$K$56:$K$58,MATCH(BM$6,Ass!$I$56:$I$58,1)))</f>
        <v>0.04</v>
      </c>
      <c r="BN21" s="55">
        <f>IF(BN$6&lt;Ass!$I$56,0,INDEX(Ass!$K$56:$K$58,MATCH(BN$6,Ass!$I$56:$I$58,1)))</f>
        <v>0.04</v>
      </c>
      <c r="BO21" s="55">
        <f>IF(BO$6&lt;Ass!$I$56,0,INDEX(Ass!$K$56:$K$58,MATCH(BO$6,Ass!$I$56:$I$58,1)))</f>
        <v>0.04</v>
      </c>
      <c r="BP21" s="55">
        <f>IF(BP$6&lt;Ass!$I$56,0,INDEX(Ass!$K$56:$K$58,MATCH(BP$6,Ass!$I$56:$I$58,1)))</f>
        <v>0.04</v>
      </c>
      <c r="BQ21" s="55">
        <f>IF(BQ$6&lt;Ass!$I$56,0,INDEX(Ass!$K$56:$K$58,MATCH(BQ$6,Ass!$I$56:$I$58,1)))</f>
        <v>0.04</v>
      </c>
      <c r="BR21" s="55">
        <f>IF(BR$6&lt;Ass!$I$56,0,INDEX(Ass!$K$56:$K$58,MATCH(BR$6,Ass!$I$56:$I$58,1)))</f>
        <v>0.04</v>
      </c>
      <c r="BS21" s="55">
        <f>IF(BS$6&lt;Ass!$I$56,0,INDEX(Ass!$K$56:$K$58,MATCH(BS$6,Ass!$I$56:$I$58,1)))</f>
        <v>0.04</v>
      </c>
      <c r="BT21" s="55">
        <f>IF(BT$6&lt;Ass!$I$56,0,INDEX(Ass!$K$56:$K$58,MATCH(BT$6,Ass!$I$56:$I$58,1)))</f>
        <v>0.04</v>
      </c>
      <c r="BU21" s="55">
        <f>IF(BU$6&lt;Ass!$I$56,0,INDEX(Ass!$K$56:$K$58,MATCH(BU$6,Ass!$I$56:$I$58,1)))</f>
        <v>0.04</v>
      </c>
      <c r="BV21" s="55">
        <f>IF(BV$6&lt;Ass!$I$56,0,INDEX(Ass!$K$56:$K$58,MATCH(BV$6,Ass!$I$56:$I$58,1)))</f>
        <v>0.04</v>
      </c>
      <c r="BW21" s="55">
        <f>IF(BW$6&lt;Ass!$I$56,0,INDEX(Ass!$K$56:$K$58,MATCH(BW$6,Ass!$I$56:$I$58,1)))</f>
        <v>0.04</v>
      </c>
      <c r="BX21" s="55">
        <f>IF(BX$6&lt;Ass!$I$56,0,INDEX(Ass!$K$56:$K$58,MATCH(BX$6,Ass!$I$56:$I$58,1)))</f>
        <v>0.04</v>
      </c>
      <c r="BY21" s="55">
        <f>IF(BY$6&lt;Ass!$I$56,0,INDEX(Ass!$K$56:$K$58,MATCH(BY$6,Ass!$I$56:$I$58,1)))</f>
        <v>0.04</v>
      </c>
      <c r="BZ21" s="55">
        <f>IF(BZ$6&lt;Ass!$I$56,0,INDEX(Ass!$K$56:$K$58,MATCH(BZ$6,Ass!$I$56:$I$58,1)))</f>
        <v>0.04</v>
      </c>
      <c r="CA21" s="55">
        <f>IF(CA$6&lt;Ass!$I$56,0,INDEX(Ass!$K$56:$K$58,MATCH(CA$6,Ass!$I$56:$I$58,1)))</f>
        <v>0.04</v>
      </c>
      <c r="CB21" s="55">
        <f>IF(CB$6&lt;Ass!$I$56,0,INDEX(Ass!$K$56:$K$58,MATCH(CB$6,Ass!$I$56:$I$58,1)))</f>
        <v>0.04</v>
      </c>
      <c r="CC21" s="55">
        <f>IF(CC$6&lt;Ass!$I$56,0,INDEX(Ass!$K$56:$K$58,MATCH(CC$6,Ass!$I$56:$I$58,1)))</f>
        <v>0.04</v>
      </c>
      <c r="CD21" s="55">
        <f>IF(CD$6&lt;Ass!$I$56,0,INDEX(Ass!$K$56:$K$58,MATCH(CD$6,Ass!$I$56:$I$58,1)))</f>
        <v>0.04</v>
      </c>
      <c r="CE21" s="55">
        <f>IF(CE$6&lt;Ass!$I$56,0,INDEX(Ass!$K$56:$K$58,MATCH(CE$6,Ass!$I$56:$I$58,1)))</f>
        <v>0.04</v>
      </c>
      <c r="CF21" s="55">
        <f>IF(CF$6&lt;Ass!$I$56,0,INDEX(Ass!$K$56:$K$58,MATCH(CF$6,Ass!$I$56:$I$58,1)))</f>
        <v>0.04</v>
      </c>
      <c r="CG21" s="55">
        <f>IF(CG$6&lt;Ass!$I$56,0,INDEX(Ass!$K$56:$K$58,MATCH(CG$6,Ass!$I$56:$I$58,1)))</f>
        <v>0.04</v>
      </c>
      <c r="CH21" s="55">
        <f>IF(CH$6&lt;Ass!$I$56,0,INDEX(Ass!$K$56:$K$58,MATCH(CH$6,Ass!$I$56:$I$58,1)))</f>
        <v>0.04</v>
      </c>
      <c r="CI21" s="55">
        <f>IF(CI$6&lt;Ass!$I$56,0,INDEX(Ass!$K$56:$K$58,MATCH(CI$6,Ass!$I$56:$I$58,1)))</f>
        <v>0.04</v>
      </c>
      <c r="CJ21" s="55">
        <f>IF(CJ$6&lt;Ass!$I$56,0,INDEX(Ass!$K$56:$K$58,MATCH(CJ$6,Ass!$I$56:$I$58,1)))</f>
        <v>0.04</v>
      </c>
      <c r="CK21" s="55">
        <f>IF(CK$6&lt;Ass!$I$56,0,INDEX(Ass!$K$56:$K$58,MATCH(CK$6,Ass!$I$56:$I$58,1)))</f>
        <v>0.04</v>
      </c>
      <c r="CL21" s="55">
        <f>IF(CL$6&lt;Ass!$I$56,0,INDEX(Ass!$K$56:$K$58,MATCH(CL$6,Ass!$I$56:$I$58,1)))</f>
        <v>0.04</v>
      </c>
      <c r="CM21" s="55">
        <f>IF(CM$6&lt;Ass!$I$56,0,INDEX(Ass!$K$56:$K$58,MATCH(CM$6,Ass!$I$56:$I$58,1)))</f>
        <v>0.04</v>
      </c>
      <c r="CN21" s="55">
        <f>IF(CN$6&lt;Ass!$I$56,0,INDEX(Ass!$K$56:$K$58,MATCH(CN$6,Ass!$I$56:$I$58,1)))</f>
        <v>0.04</v>
      </c>
    </row>
    <row r="22" spans="4:92" ht="12.75" customHeight="1" x14ac:dyDescent="0.3">
      <c r="D22" s="112" t="s">
        <v>262</v>
      </c>
      <c r="H22" s="16" t="s">
        <v>146</v>
      </c>
      <c r="L22" s="73">
        <v>1</v>
      </c>
      <c r="M22" s="74">
        <f t="shared" ref="M22" si="85">L22*(1+M21)</f>
        <v>1</v>
      </c>
      <c r="N22" s="74">
        <f t="shared" ref="N22" si="86">M22*(1+N21)</f>
        <v>1.08</v>
      </c>
      <c r="O22" s="74">
        <f t="shared" ref="O22" si="87">N22*(1+O21)</f>
        <v>1.1664000000000001</v>
      </c>
      <c r="P22" s="74">
        <f t="shared" ref="P22" si="88">O22*(1+P21)</f>
        <v>1.2597120000000002</v>
      </c>
      <c r="Q22" s="74">
        <f t="shared" ref="Q22" si="89">P22*(1+Q21)</f>
        <v>1.3604889600000003</v>
      </c>
      <c r="R22" s="74">
        <f t="shared" ref="R22" si="90">Q22*(1+R21)</f>
        <v>1.4693280768000003</v>
      </c>
      <c r="S22" s="74">
        <f t="shared" ref="S22" si="91">R22*(1+S21)</f>
        <v>1.5574877614080005</v>
      </c>
      <c r="T22" s="74">
        <f t="shared" ref="T22" si="92">S22*(1+T21)</f>
        <v>1.6509370270924806</v>
      </c>
      <c r="U22" s="74">
        <f t="shared" ref="U22" si="93">T22*(1+U21)</f>
        <v>1.7499932487180294</v>
      </c>
      <c r="V22" s="74">
        <f t="shared" ref="V22" si="94">U22*(1+V21)</f>
        <v>1.8549928436411112</v>
      </c>
      <c r="W22" s="74">
        <f t="shared" ref="W22" si="95">V22*(1+W21)</f>
        <v>1.9662924142595779</v>
      </c>
      <c r="X22" s="74">
        <f t="shared" ref="X22" si="96">W22*(1+X21)</f>
        <v>2.0842699591151526</v>
      </c>
      <c r="Y22" s="74">
        <f t="shared" ref="Y22" si="97">X22*(1+Y21)</f>
        <v>2.2093261566620619</v>
      </c>
      <c r="Z22" s="74">
        <f t="shared" ref="Z22" si="98">Y22*(1+Z21)</f>
        <v>2.3418857260617858</v>
      </c>
      <c r="AA22" s="74">
        <f t="shared" ref="AA22" si="99">Z22*(1+AA21)</f>
        <v>2.4823988696254933</v>
      </c>
      <c r="AB22" s="74">
        <f t="shared" ref="AB22" si="100">AA22*(1+AB21)</f>
        <v>2.6313428018030232</v>
      </c>
      <c r="AC22" s="74">
        <f t="shared" ref="AC22" si="101">AB22*(1+AC21)</f>
        <v>2.7892233699112046</v>
      </c>
      <c r="AD22" s="74">
        <f t="shared" ref="AD22" si="102">AC22*(1+AD21)</f>
        <v>2.9565767721058771</v>
      </c>
      <c r="AE22" s="74">
        <f t="shared" ref="AE22" si="103">AD22*(1+AE21)</f>
        <v>3.1339713784322298</v>
      </c>
      <c r="AF22" s="74">
        <f t="shared" ref="AF22" si="104">AE22*(1+AF21)</f>
        <v>3.3220096611381638</v>
      </c>
      <c r="AG22" s="74">
        <f t="shared" ref="AG22" si="105">AF22*(1+AG21)</f>
        <v>3.4548900475836906</v>
      </c>
      <c r="AH22" s="74">
        <f t="shared" ref="AH22" si="106">AG22*(1+AH21)</f>
        <v>3.5930856494870382</v>
      </c>
      <c r="AI22" s="74">
        <f t="shared" ref="AI22" si="107">AH22*(1+AI21)</f>
        <v>3.7368090754665197</v>
      </c>
      <c r="AJ22" s="74">
        <f t="shared" ref="AJ22" si="108">AI22*(1+AJ21)</f>
        <v>3.8862814384851805</v>
      </c>
      <c r="AK22" s="74">
        <f t="shared" ref="AK22" si="109">AJ22*(1+AK21)</f>
        <v>4.0417326960245878</v>
      </c>
      <c r="AL22" s="74">
        <f t="shared" ref="AL22" si="110">AK22*(1+AL21)</f>
        <v>4.2034020038655715</v>
      </c>
      <c r="AM22" s="74">
        <f t="shared" ref="AM22" si="111">AL22*(1+AM21)</f>
        <v>4.3715380840201945</v>
      </c>
      <c r="AN22" s="74">
        <f t="shared" ref="AN22" si="112">AM22*(1+AN21)</f>
        <v>4.5463996073810025</v>
      </c>
      <c r="AO22" s="74">
        <f t="shared" ref="AO22" si="113">AN22*(1+AO21)</f>
        <v>4.728255591676243</v>
      </c>
      <c r="AP22" s="74">
        <f t="shared" ref="AP22" si="114">AO22*(1+AP21)</f>
        <v>4.9173858153432928</v>
      </c>
      <c r="AQ22" s="74">
        <f t="shared" ref="AQ22" si="115">AP22*(1+AQ21)</f>
        <v>5.1140812479570243</v>
      </c>
      <c r="AR22" s="74">
        <f t="shared" ref="AR22" si="116">AQ22*(1+AR21)</f>
        <v>5.3186444978753054</v>
      </c>
      <c r="AS22" s="74">
        <f t="shared" ref="AS22" si="117">AR22*(1+AS21)</f>
        <v>5.5313902777903179</v>
      </c>
      <c r="AT22" s="74">
        <f t="shared" ref="AT22" si="118">AS22*(1+AT21)</f>
        <v>5.752645888901931</v>
      </c>
      <c r="AU22" s="74">
        <f t="shared" ref="AU22" si="119">AT22*(1+AU21)</f>
        <v>5.9827517244580086</v>
      </c>
      <c r="AV22" s="74">
        <f t="shared" ref="AV22" si="120">AU22*(1+AV21)</f>
        <v>6.2220617934363291</v>
      </c>
      <c r="AW22" s="74">
        <f t="shared" ref="AW22" si="121">AV22*(1+AW21)</f>
        <v>6.4709442651737827</v>
      </c>
      <c r="AX22" s="74">
        <f t="shared" ref="AX22" si="122">AW22*(1+AX21)</f>
        <v>6.7297820357807341</v>
      </c>
      <c r="AY22" s="74">
        <f t="shared" ref="AY22" si="123">AX22*(1+AY21)</f>
        <v>6.9989733172119637</v>
      </c>
      <c r="AZ22" s="74">
        <f t="shared" ref="AZ22" si="124">AY22*(1+AZ21)</f>
        <v>7.2789322499004427</v>
      </c>
      <c r="BA22" s="74">
        <f t="shared" ref="BA22" si="125">AZ22*(1+BA21)</f>
        <v>7.5700895398964603</v>
      </c>
      <c r="BB22" s="74">
        <f t="shared" ref="BB22" si="126">BA22*(1+BB21)</f>
        <v>7.8728931214923188</v>
      </c>
      <c r="BC22" s="74">
        <f t="shared" ref="BC22" si="127">BB22*(1+BC21)</f>
        <v>8.1878088463520111</v>
      </c>
      <c r="BD22" s="74">
        <f t="shared" ref="BD22" si="128">BC22*(1+BD21)</f>
        <v>8.5153212002060918</v>
      </c>
      <c r="BE22" s="74">
        <f t="shared" ref="BE22" si="129">BD22*(1+BE21)</f>
        <v>8.8559340482143352</v>
      </c>
      <c r="BF22" s="74">
        <f t="shared" ref="BF22" si="130">BE22*(1+BF21)</f>
        <v>9.2101714101429089</v>
      </c>
      <c r="BG22" s="74">
        <f t="shared" ref="BG22" si="131">BF22*(1+BG21)</f>
        <v>9.5785782665486252</v>
      </c>
      <c r="BH22" s="74">
        <f t="shared" ref="BH22" si="132">BG22*(1+BH21)</f>
        <v>9.9617213972105709</v>
      </c>
      <c r="BI22" s="74">
        <f t="shared" ref="BI22" si="133">BH22*(1+BI21)</f>
        <v>10.360190253098994</v>
      </c>
      <c r="BJ22" s="74">
        <f t="shared" ref="BJ22" si="134">BI22*(1+BJ21)</f>
        <v>10.774597863222954</v>
      </c>
      <c r="BK22" s="74">
        <f t="shared" ref="BK22" si="135">BJ22*(1+BK21)</f>
        <v>11.205581777751872</v>
      </c>
      <c r="BL22" s="74">
        <f t="shared" ref="BL22" si="136">BK22*(1+BL21)</f>
        <v>11.653805048861948</v>
      </c>
      <c r="BM22" s="74">
        <f t="shared" ref="BM22" si="137">BL22*(1+BM21)</f>
        <v>12.119957250816427</v>
      </c>
      <c r="BN22" s="74">
        <f t="shared" ref="BN22" si="138">BM22*(1+BN21)</f>
        <v>12.604755540849084</v>
      </c>
      <c r="BO22" s="74">
        <f t="shared" ref="BO22" si="139">BN22*(1+BO21)</f>
        <v>13.108945762483048</v>
      </c>
      <c r="BP22" s="74">
        <f t="shared" ref="BP22" si="140">BO22*(1+BP21)</f>
        <v>13.63330359298237</v>
      </c>
      <c r="BQ22" s="74">
        <f t="shared" ref="BQ22" si="141">BP22*(1+BQ21)</f>
        <v>14.178635736701667</v>
      </c>
      <c r="BR22" s="74">
        <f t="shared" ref="BR22" si="142">BQ22*(1+BR21)</f>
        <v>14.745781166169733</v>
      </c>
      <c r="BS22" s="74">
        <f t="shared" ref="BS22" si="143">BR22*(1+BS21)</f>
        <v>15.335612412816523</v>
      </c>
      <c r="BT22" s="74">
        <f t="shared" ref="BT22" si="144">BS22*(1+BT21)</f>
        <v>15.949036909329186</v>
      </c>
      <c r="BU22" s="74">
        <f t="shared" ref="BU22" si="145">BT22*(1+BU21)</f>
        <v>16.586998385702355</v>
      </c>
      <c r="BV22" s="74">
        <f t="shared" ref="BV22" si="146">BU22*(1+BV21)</f>
        <v>17.250478321130451</v>
      </c>
      <c r="BW22" s="74">
        <f t="shared" ref="BW22" si="147">BV22*(1+BW21)</f>
        <v>17.94049745397567</v>
      </c>
      <c r="BX22" s="74">
        <f t="shared" ref="BX22" si="148">BW22*(1+BX21)</f>
        <v>18.658117352134699</v>
      </c>
      <c r="BY22" s="74">
        <f t="shared" ref="BY22" si="149">BX22*(1+BY21)</f>
        <v>19.404442046220087</v>
      </c>
      <c r="BZ22" s="74">
        <f t="shared" ref="BZ22" si="150">BY22*(1+BZ21)</f>
        <v>20.180619728068891</v>
      </c>
      <c r="CA22" s="74">
        <f t="shared" ref="CA22" si="151">BZ22*(1+CA21)</f>
        <v>20.987844517191647</v>
      </c>
      <c r="CB22" s="74">
        <f t="shared" ref="CB22" si="152">CA22*(1+CB21)</f>
        <v>21.827358297879314</v>
      </c>
      <c r="CC22" s="74">
        <f t="shared" ref="CC22" si="153">CB22*(1+CC21)</f>
        <v>22.700452629794487</v>
      </c>
      <c r="CD22" s="74">
        <f t="shared" ref="CD22" si="154">CC22*(1+CD21)</f>
        <v>23.608470734986266</v>
      </c>
      <c r="CE22" s="74">
        <f t="shared" ref="CE22" si="155">CD22*(1+CE21)</f>
        <v>24.552809564385718</v>
      </c>
      <c r="CF22" s="74">
        <f t="shared" ref="CF22" si="156">CE22*(1+CF21)</f>
        <v>25.534921946961148</v>
      </c>
      <c r="CG22" s="74">
        <f t="shared" ref="CG22" si="157">CF22*(1+CG21)</f>
        <v>26.556318824839597</v>
      </c>
      <c r="CH22" s="74">
        <f t="shared" ref="CH22" si="158">CG22*(1+CH21)</f>
        <v>27.618571577833183</v>
      </c>
      <c r="CI22" s="74">
        <f t="shared" ref="CI22" si="159">CH22*(1+CI21)</f>
        <v>28.723314440946513</v>
      </c>
      <c r="CJ22" s="74">
        <f t="shared" ref="CJ22" si="160">CI22*(1+CJ21)</f>
        <v>29.872247018584375</v>
      </c>
      <c r="CK22" s="74">
        <f t="shared" ref="CK22" si="161">CJ22*(1+CK21)</f>
        <v>31.06713689932775</v>
      </c>
      <c r="CL22" s="74">
        <f t="shared" ref="CL22" si="162">CK22*(1+CL21)</f>
        <v>32.309822375300861</v>
      </c>
      <c r="CM22" s="74">
        <f t="shared" ref="CM22" si="163">CL22*(1+CM21)</f>
        <v>33.602215270312897</v>
      </c>
      <c r="CN22" s="74">
        <f t="shared" ref="CN22" si="164">CM22*(1+CN21)</f>
        <v>34.946303881125417</v>
      </c>
    </row>
    <row r="23" spans="4:92" ht="12.75" customHeight="1" x14ac:dyDescent="0.3">
      <c r="D23" s="15"/>
      <c r="H23" s="1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</row>
    <row r="24" spans="4:92" ht="12.75" customHeight="1" x14ac:dyDescent="0.3">
      <c r="D24" s="17" t="str">
        <f>D45</f>
        <v>Cars</v>
      </c>
      <c r="H24" s="16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</row>
    <row r="25" spans="4:92" ht="12.75" customHeight="1" x14ac:dyDescent="0.3">
      <c r="D25" s="112" t="s">
        <v>261</v>
      </c>
      <c r="H25" s="16" t="s">
        <v>16</v>
      </c>
      <c r="L25" s="15">
        <f>IF(L$6&lt;Ass!$I$56,0,INDEX(Ass!$K$62:$K$64,MATCH(L$6,Ass!$I$62:$I$64,1)))</f>
        <v>0</v>
      </c>
      <c r="M25" s="15">
        <f>IF(M$6&lt;Ass!$I$56,0,INDEX(Ass!$K$62:$K$64,MATCH(M$6,Ass!$I$62:$I$64,1)))</f>
        <v>0</v>
      </c>
      <c r="N25" s="55">
        <f>IF(N$6&lt;Ass!$I$56,0,INDEX(Ass!$K$62:$K$64,MATCH(N$6,Ass!$I$62:$I$64,1)))</f>
        <v>-2E-3</v>
      </c>
      <c r="O25" s="55">
        <f>IF(O$6&lt;Ass!$I$56,0,INDEX(Ass!$K$62:$K$64,MATCH(O$6,Ass!$I$62:$I$64,1)))</f>
        <v>-2E-3</v>
      </c>
      <c r="P25" s="55">
        <f>IF(P$6&lt;Ass!$I$56,0,INDEX(Ass!$K$62:$K$64,MATCH(P$6,Ass!$I$62:$I$64,1)))</f>
        <v>-2E-3</v>
      </c>
      <c r="Q25" s="55">
        <f>IF(Q$6&lt;Ass!$I$56,0,INDEX(Ass!$K$62:$K$64,MATCH(Q$6,Ass!$I$62:$I$64,1)))</f>
        <v>-2E-3</v>
      </c>
      <c r="R25" s="55">
        <f>IF(R$6&lt;Ass!$I$56,0,INDEX(Ass!$K$62:$K$64,MATCH(R$6,Ass!$I$62:$I$64,1)))</f>
        <v>-2E-3</v>
      </c>
      <c r="S25" s="55">
        <f>IF(S$6&lt;Ass!$I$56,0,INDEX(Ass!$K$62:$K$64,MATCH(S$6,Ass!$I$62:$I$64,1)))</f>
        <v>-5.0000000000000001E-3</v>
      </c>
      <c r="T25" s="55">
        <f>IF(T$6&lt;Ass!$I$56,0,INDEX(Ass!$K$62:$K$64,MATCH(T$6,Ass!$I$62:$I$64,1)))</f>
        <v>-5.0000000000000001E-3</v>
      </c>
      <c r="U25" s="55">
        <f>IF(U$6&lt;Ass!$I$56,0,INDEX(Ass!$K$62:$K$64,MATCH(U$6,Ass!$I$62:$I$64,1)))</f>
        <v>-5.0000000000000001E-3</v>
      </c>
      <c r="V25" s="55">
        <f>IF(V$6&lt;Ass!$I$56,0,INDEX(Ass!$K$62:$K$64,MATCH(V$6,Ass!$I$62:$I$64,1)))</f>
        <v>-5.0000000000000001E-3</v>
      </c>
      <c r="W25" s="55">
        <f>IF(W$6&lt;Ass!$I$56,0,INDEX(Ass!$K$62:$K$64,MATCH(W$6,Ass!$I$62:$I$64,1)))</f>
        <v>-5.0000000000000001E-3</v>
      </c>
      <c r="X25" s="55">
        <f>IF(X$6&lt;Ass!$I$56,0,INDEX(Ass!$K$62:$K$64,MATCH(X$6,Ass!$I$62:$I$64,1)))</f>
        <v>-5.0000000000000001E-3</v>
      </c>
      <c r="Y25" s="55">
        <f>IF(Y$6&lt;Ass!$I$56,0,INDEX(Ass!$K$62:$K$64,MATCH(Y$6,Ass!$I$62:$I$64,1)))</f>
        <v>-5.0000000000000001E-3</v>
      </c>
      <c r="Z25" s="55">
        <f>IF(Z$6&lt;Ass!$I$56,0,INDEX(Ass!$K$62:$K$64,MATCH(Z$6,Ass!$I$62:$I$64,1)))</f>
        <v>-5.0000000000000001E-3</v>
      </c>
      <c r="AA25" s="55">
        <f>IF(AA$6&lt;Ass!$I$56,0,INDEX(Ass!$K$62:$K$64,MATCH(AA$6,Ass!$I$62:$I$64,1)))</f>
        <v>-5.0000000000000001E-3</v>
      </c>
      <c r="AB25" s="55">
        <f>IF(AB$6&lt;Ass!$I$56,0,INDEX(Ass!$K$62:$K$64,MATCH(AB$6,Ass!$I$62:$I$64,1)))</f>
        <v>-5.0000000000000001E-3</v>
      </c>
      <c r="AC25" s="55">
        <f>IF(AC$6&lt;Ass!$I$56,0,INDEX(Ass!$K$62:$K$64,MATCH(AC$6,Ass!$I$62:$I$64,1)))</f>
        <v>-5.0000000000000001E-3</v>
      </c>
      <c r="AD25" s="55">
        <f>IF(AD$6&lt;Ass!$I$56,0,INDEX(Ass!$K$62:$K$64,MATCH(AD$6,Ass!$I$62:$I$64,1)))</f>
        <v>-5.0000000000000001E-3</v>
      </c>
      <c r="AE25" s="55">
        <f>IF(AE$6&lt;Ass!$I$56,0,INDEX(Ass!$K$62:$K$64,MATCH(AE$6,Ass!$I$62:$I$64,1)))</f>
        <v>-5.0000000000000001E-3</v>
      </c>
      <c r="AF25" s="55">
        <f>IF(AF$6&lt;Ass!$I$56,0,INDEX(Ass!$K$62:$K$64,MATCH(AF$6,Ass!$I$62:$I$64,1)))</f>
        <v>-5.0000000000000001E-3</v>
      </c>
      <c r="AG25" s="55">
        <f>IF(AG$6&lt;Ass!$I$56,0,INDEX(Ass!$K$62:$K$64,MATCH(AG$6,Ass!$I$62:$I$64,1)))</f>
        <v>-5.0000000000000001E-3</v>
      </c>
      <c r="AH25" s="55">
        <f>IF(AH$6&lt;Ass!$I$56,0,INDEX(Ass!$K$62:$K$64,MATCH(AH$6,Ass!$I$62:$I$64,1)))</f>
        <v>-5.0000000000000001E-3</v>
      </c>
      <c r="AI25" s="55">
        <f>IF(AI$6&lt;Ass!$I$56,0,INDEX(Ass!$K$62:$K$64,MATCH(AI$6,Ass!$I$62:$I$64,1)))</f>
        <v>-5.0000000000000001E-3</v>
      </c>
      <c r="AJ25" s="55">
        <f>IF(AJ$6&lt;Ass!$I$56,0,INDEX(Ass!$K$62:$K$64,MATCH(AJ$6,Ass!$I$62:$I$64,1)))</f>
        <v>-5.0000000000000001E-3</v>
      </c>
      <c r="AK25" s="55">
        <f>IF(AK$6&lt;Ass!$I$56,0,INDEX(Ass!$K$62:$K$64,MATCH(AK$6,Ass!$I$62:$I$64,1)))</f>
        <v>-5.0000000000000001E-3</v>
      </c>
      <c r="AL25" s="55">
        <f>IF(AL$6&lt;Ass!$I$56,0,INDEX(Ass!$K$62:$K$64,MATCH(AL$6,Ass!$I$62:$I$64,1)))</f>
        <v>-5.0000000000000001E-3</v>
      </c>
      <c r="AM25" s="55">
        <f>IF(AM$6&lt;Ass!$I$56,0,INDEX(Ass!$K$62:$K$64,MATCH(AM$6,Ass!$I$62:$I$64,1)))</f>
        <v>-5.0000000000000001E-3</v>
      </c>
      <c r="AN25" s="55">
        <f>IF(AN$6&lt;Ass!$I$56,0,INDEX(Ass!$K$62:$K$64,MATCH(AN$6,Ass!$I$62:$I$64,1)))</f>
        <v>-5.0000000000000001E-3</v>
      </c>
      <c r="AO25" s="55">
        <f>IF(AO$6&lt;Ass!$I$56,0,INDEX(Ass!$K$62:$K$64,MATCH(AO$6,Ass!$I$62:$I$64,1)))</f>
        <v>-5.0000000000000001E-3</v>
      </c>
      <c r="AP25" s="55">
        <f>IF(AP$6&lt;Ass!$I$56,0,INDEX(Ass!$K$62:$K$64,MATCH(AP$6,Ass!$I$62:$I$64,1)))</f>
        <v>-5.0000000000000001E-3</v>
      </c>
      <c r="AQ25" s="55">
        <f>IF(AQ$6&lt;Ass!$I$56,0,INDEX(Ass!$K$62:$K$64,MATCH(AQ$6,Ass!$I$62:$I$64,1)))</f>
        <v>-5.0000000000000001E-3</v>
      </c>
      <c r="AR25" s="55">
        <f>IF(AR$6&lt;Ass!$I$56,0,INDEX(Ass!$K$62:$K$64,MATCH(AR$6,Ass!$I$62:$I$64,1)))</f>
        <v>-5.0000000000000001E-3</v>
      </c>
      <c r="AS25" s="55">
        <f>IF(AS$6&lt;Ass!$I$56,0,INDEX(Ass!$K$62:$K$64,MATCH(AS$6,Ass!$I$62:$I$64,1)))</f>
        <v>-5.0000000000000001E-3</v>
      </c>
      <c r="AT25" s="55">
        <f>IF(AT$6&lt;Ass!$I$56,0,INDEX(Ass!$K$62:$K$64,MATCH(AT$6,Ass!$I$62:$I$64,1)))</f>
        <v>-5.0000000000000001E-3</v>
      </c>
      <c r="AU25" s="55">
        <f>IF(AU$6&lt;Ass!$I$56,0,INDEX(Ass!$K$62:$K$64,MATCH(AU$6,Ass!$I$62:$I$64,1)))</f>
        <v>-5.0000000000000001E-3</v>
      </c>
      <c r="AV25" s="55">
        <f>IF(AV$6&lt;Ass!$I$56,0,INDEX(Ass!$K$62:$K$64,MATCH(AV$6,Ass!$I$62:$I$64,1)))</f>
        <v>-5.0000000000000001E-3</v>
      </c>
      <c r="AW25" s="55">
        <f>IF(AW$6&lt;Ass!$I$56,0,INDEX(Ass!$K$62:$K$64,MATCH(AW$6,Ass!$I$62:$I$64,1)))</f>
        <v>-5.0000000000000001E-3</v>
      </c>
      <c r="AX25" s="55">
        <f>IF(AX$6&lt;Ass!$I$56,0,INDEX(Ass!$K$62:$K$64,MATCH(AX$6,Ass!$I$62:$I$64,1)))</f>
        <v>-5.0000000000000001E-3</v>
      </c>
      <c r="AY25" s="55">
        <f>IF(AY$6&lt;Ass!$I$56,0,INDEX(Ass!$K$62:$K$64,MATCH(AY$6,Ass!$I$62:$I$64,1)))</f>
        <v>-5.0000000000000001E-3</v>
      </c>
      <c r="AZ25" s="55">
        <f>IF(AZ$6&lt;Ass!$I$56,0,INDEX(Ass!$K$62:$K$64,MATCH(AZ$6,Ass!$I$62:$I$64,1)))</f>
        <v>-5.0000000000000001E-3</v>
      </c>
      <c r="BA25" s="55">
        <f>IF(BA$6&lt;Ass!$I$56,0,INDEX(Ass!$K$62:$K$64,MATCH(BA$6,Ass!$I$62:$I$64,1)))</f>
        <v>-5.0000000000000001E-3</v>
      </c>
      <c r="BB25" s="55">
        <f>IF(BB$6&lt;Ass!$I$56,0,INDEX(Ass!$K$62:$K$64,MATCH(BB$6,Ass!$I$62:$I$64,1)))</f>
        <v>-5.0000000000000001E-3</v>
      </c>
      <c r="BC25" s="55">
        <f>IF(BC$6&lt;Ass!$I$56,0,INDEX(Ass!$K$62:$K$64,MATCH(BC$6,Ass!$I$62:$I$64,1)))</f>
        <v>-5.0000000000000001E-3</v>
      </c>
      <c r="BD25" s="55">
        <f>IF(BD$6&lt;Ass!$I$56,0,INDEX(Ass!$K$62:$K$64,MATCH(BD$6,Ass!$I$62:$I$64,1)))</f>
        <v>-5.0000000000000001E-3</v>
      </c>
      <c r="BE25" s="55">
        <f>IF(BE$6&lt;Ass!$I$56,0,INDEX(Ass!$K$62:$K$64,MATCH(BE$6,Ass!$I$62:$I$64,1)))</f>
        <v>-5.0000000000000001E-3</v>
      </c>
      <c r="BF25" s="55">
        <f>IF(BF$6&lt;Ass!$I$56,0,INDEX(Ass!$K$62:$K$64,MATCH(BF$6,Ass!$I$62:$I$64,1)))</f>
        <v>-5.0000000000000001E-3</v>
      </c>
      <c r="BG25" s="55">
        <f>IF(BG$6&lt;Ass!$I$56,0,INDEX(Ass!$K$62:$K$64,MATCH(BG$6,Ass!$I$62:$I$64,1)))</f>
        <v>-5.0000000000000001E-3</v>
      </c>
      <c r="BH25" s="55">
        <f>IF(BH$6&lt;Ass!$I$56,0,INDEX(Ass!$K$62:$K$64,MATCH(BH$6,Ass!$I$62:$I$64,1)))</f>
        <v>-5.0000000000000001E-3</v>
      </c>
      <c r="BI25" s="55">
        <f>IF(BI$6&lt;Ass!$I$56,0,INDEX(Ass!$K$62:$K$64,MATCH(BI$6,Ass!$I$62:$I$64,1)))</f>
        <v>-5.0000000000000001E-3</v>
      </c>
      <c r="BJ25" s="55">
        <f>IF(BJ$6&lt;Ass!$I$56,0,INDEX(Ass!$K$62:$K$64,MATCH(BJ$6,Ass!$I$62:$I$64,1)))</f>
        <v>-5.0000000000000001E-3</v>
      </c>
      <c r="BK25" s="55">
        <f>IF(BK$6&lt;Ass!$I$56,0,INDEX(Ass!$K$62:$K$64,MATCH(BK$6,Ass!$I$62:$I$64,1)))</f>
        <v>-5.0000000000000001E-3</v>
      </c>
      <c r="BL25" s="55">
        <f>IF(BL$6&lt;Ass!$I$56,0,INDEX(Ass!$K$62:$K$64,MATCH(BL$6,Ass!$I$62:$I$64,1)))</f>
        <v>-5.0000000000000001E-3</v>
      </c>
      <c r="BM25" s="55">
        <f>IF(BM$6&lt;Ass!$I$56,0,INDEX(Ass!$K$62:$K$64,MATCH(BM$6,Ass!$I$62:$I$64,1)))</f>
        <v>-5.0000000000000001E-3</v>
      </c>
      <c r="BN25" s="55">
        <f>IF(BN$6&lt;Ass!$I$56,0,INDEX(Ass!$K$62:$K$64,MATCH(BN$6,Ass!$I$62:$I$64,1)))</f>
        <v>-5.0000000000000001E-3</v>
      </c>
      <c r="BO25" s="55">
        <f>IF(BO$6&lt;Ass!$I$56,0,INDEX(Ass!$K$62:$K$64,MATCH(BO$6,Ass!$I$62:$I$64,1)))</f>
        <v>-5.0000000000000001E-3</v>
      </c>
      <c r="BP25" s="55">
        <f>IF(BP$6&lt;Ass!$I$56,0,INDEX(Ass!$K$62:$K$64,MATCH(BP$6,Ass!$I$62:$I$64,1)))</f>
        <v>-5.0000000000000001E-3</v>
      </c>
      <c r="BQ25" s="55">
        <f>IF(BQ$6&lt;Ass!$I$56,0,INDEX(Ass!$K$62:$K$64,MATCH(BQ$6,Ass!$I$62:$I$64,1)))</f>
        <v>-5.0000000000000001E-3</v>
      </c>
      <c r="BR25" s="55">
        <f>IF(BR$6&lt;Ass!$I$56,0,INDEX(Ass!$K$62:$K$64,MATCH(BR$6,Ass!$I$62:$I$64,1)))</f>
        <v>-5.0000000000000001E-3</v>
      </c>
      <c r="BS25" s="55">
        <f>IF(BS$6&lt;Ass!$I$56,0,INDEX(Ass!$K$62:$K$64,MATCH(BS$6,Ass!$I$62:$I$64,1)))</f>
        <v>-5.0000000000000001E-3</v>
      </c>
      <c r="BT25" s="55">
        <f>IF(BT$6&lt;Ass!$I$56,0,INDEX(Ass!$K$62:$K$64,MATCH(BT$6,Ass!$I$62:$I$64,1)))</f>
        <v>-5.0000000000000001E-3</v>
      </c>
      <c r="BU25" s="55">
        <f>IF(BU$6&lt;Ass!$I$56,0,INDEX(Ass!$K$62:$K$64,MATCH(BU$6,Ass!$I$62:$I$64,1)))</f>
        <v>-5.0000000000000001E-3</v>
      </c>
      <c r="BV25" s="55">
        <f>IF(BV$6&lt;Ass!$I$56,0,INDEX(Ass!$K$62:$K$64,MATCH(BV$6,Ass!$I$62:$I$64,1)))</f>
        <v>-5.0000000000000001E-3</v>
      </c>
      <c r="BW25" s="55">
        <f>IF(BW$6&lt;Ass!$I$56,0,INDEX(Ass!$K$62:$K$64,MATCH(BW$6,Ass!$I$62:$I$64,1)))</f>
        <v>-5.0000000000000001E-3</v>
      </c>
      <c r="BX25" s="55">
        <f>IF(BX$6&lt;Ass!$I$56,0,INDEX(Ass!$K$62:$K$64,MATCH(BX$6,Ass!$I$62:$I$64,1)))</f>
        <v>-5.0000000000000001E-3</v>
      </c>
      <c r="BY25" s="55">
        <f>IF(BY$6&lt;Ass!$I$56,0,INDEX(Ass!$K$62:$K$64,MATCH(BY$6,Ass!$I$62:$I$64,1)))</f>
        <v>-5.0000000000000001E-3</v>
      </c>
      <c r="BZ25" s="55">
        <f>IF(BZ$6&lt;Ass!$I$56,0,INDEX(Ass!$K$62:$K$64,MATCH(BZ$6,Ass!$I$62:$I$64,1)))</f>
        <v>-5.0000000000000001E-3</v>
      </c>
      <c r="CA25" s="55">
        <f>IF(CA$6&lt;Ass!$I$56,0,INDEX(Ass!$K$62:$K$64,MATCH(CA$6,Ass!$I$62:$I$64,1)))</f>
        <v>-5.0000000000000001E-3</v>
      </c>
      <c r="CB25" s="55">
        <f>IF(CB$6&lt;Ass!$I$56,0,INDEX(Ass!$K$62:$K$64,MATCH(CB$6,Ass!$I$62:$I$64,1)))</f>
        <v>-5.0000000000000001E-3</v>
      </c>
      <c r="CC25" s="55">
        <f>IF(CC$6&lt;Ass!$I$56,0,INDEX(Ass!$K$62:$K$64,MATCH(CC$6,Ass!$I$62:$I$64,1)))</f>
        <v>-5.0000000000000001E-3</v>
      </c>
      <c r="CD25" s="55">
        <f>IF(CD$6&lt;Ass!$I$56,0,INDEX(Ass!$K$62:$K$64,MATCH(CD$6,Ass!$I$62:$I$64,1)))</f>
        <v>-5.0000000000000001E-3</v>
      </c>
      <c r="CE25" s="55">
        <f>IF(CE$6&lt;Ass!$I$56,0,INDEX(Ass!$K$62:$K$64,MATCH(CE$6,Ass!$I$62:$I$64,1)))</f>
        <v>-5.0000000000000001E-3</v>
      </c>
      <c r="CF25" s="55">
        <f>IF(CF$6&lt;Ass!$I$56,0,INDEX(Ass!$K$62:$K$64,MATCH(CF$6,Ass!$I$62:$I$64,1)))</f>
        <v>-5.0000000000000001E-3</v>
      </c>
      <c r="CG25" s="55">
        <f>IF(CG$6&lt;Ass!$I$56,0,INDEX(Ass!$K$62:$K$64,MATCH(CG$6,Ass!$I$62:$I$64,1)))</f>
        <v>-5.0000000000000001E-3</v>
      </c>
      <c r="CH25" s="55">
        <f>IF(CH$6&lt;Ass!$I$56,0,INDEX(Ass!$K$62:$K$64,MATCH(CH$6,Ass!$I$62:$I$64,1)))</f>
        <v>-5.0000000000000001E-3</v>
      </c>
      <c r="CI25" s="55">
        <f>IF(CI$6&lt;Ass!$I$56,0,INDEX(Ass!$K$62:$K$64,MATCH(CI$6,Ass!$I$62:$I$64,1)))</f>
        <v>-5.0000000000000001E-3</v>
      </c>
      <c r="CJ25" s="55">
        <f>IF(CJ$6&lt;Ass!$I$56,0,INDEX(Ass!$K$62:$K$64,MATCH(CJ$6,Ass!$I$62:$I$64,1)))</f>
        <v>-5.0000000000000001E-3</v>
      </c>
      <c r="CK25" s="55">
        <f>IF(CK$6&lt;Ass!$I$56,0,INDEX(Ass!$K$62:$K$64,MATCH(CK$6,Ass!$I$62:$I$64,1)))</f>
        <v>-5.0000000000000001E-3</v>
      </c>
      <c r="CL25" s="55">
        <f>IF(CL$6&lt;Ass!$I$56,0,INDEX(Ass!$K$62:$K$64,MATCH(CL$6,Ass!$I$62:$I$64,1)))</f>
        <v>-5.0000000000000001E-3</v>
      </c>
      <c r="CM25" s="55">
        <f>IF(CM$6&lt;Ass!$I$56,0,INDEX(Ass!$K$62:$K$64,MATCH(CM$6,Ass!$I$62:$I$64,1)))</f>
        <v>-5.0000000000000001E-3</v>
      </c>
      <c r="CN25" s="55">
        <f>IF(CN$6&lt;Ass!$I$56,0,INDEX(Ass!$K$62:$K$64,MATCH(CN$6,Ass!$I$62:$I$64,1)))</f>
        <v>-5.0000000000000001E-3</v>
      </c>
    </row>
    <row r="26" spans="4:92" ht="12.75" customHeight="1" x14ac:dyDescent="0.3">
      <c r="D26" s="112" t="s">
        <v>262</v>
      </c>
      <c r="H26" s="16" t="s">
        <v>146</v>
      </c>
      <c r="L26" s="73">
        <v>1</v>
      </c>
      <c r="M26" s="74">
        <f t="shared" ref="M26" si="165">L26*(1+M25)</f>
        <v>1</v>
      </c>
      <c r="N26" s="74">
        <f t="shared" ref="N26" si="166">M26*(1+N25)</f>
        <v>0.998</v>
      </c>
      <c r="O26" s="74">
        <f t="shared" ref="O26" si="167">N26*(1+O25)</f>
        <v>0.996004</v>
      </c>
      <c r="P26" s="74">
        <f t="shared" ref="P26" si="168">O26*(1+P25)</f>
        <v>0.99401199200000001</v>
      </c>
      <c r="Q26" s="74">
        <f t="shared" ref="Q26" si="169">P26*(1+Q25)</f>
        <v>0.99202396801600001</v>
      </c>
      <c r="R26" s="74">
        <f t="shared" ref="R26" si="170">Q26*(1+R25)</f>
        <v>0.99003992007996799</v>
      </c>
      <c r="S26" s="74">
        <f t="shared" ref="S26" si="171">R26*(1+S25)</f>
        <v>0.98508972047956811</v>
      </c>
      <c r="T26" s="74">
        <f t="shared" ref="T26" si="172">S26*(1+T25)</f>
        <v>0.98016427187717026</v>
      </c>
      <c r="U26" s="74">
        <f t="shared" ref="U26" si="173">T26*(1+U25)</f>
        <v>0.9752634505177844</v>
      </c>
      <c r="V26" s="74">
        <f t="shared" ref="V26" si="174">U26*(1+V25)</f>
        <v>0.97038713326519543</v>
      </c>
      <c r="W26" s="74">
        <f t="shared" ref="W26" si="175">V26*(1+W25)</f>
        <v>0.96553519759886941</v>
      </c>
      <c r="X26" s="74">
        <f t="shared" ref="X26" si="176">W26*(1+X25)</f>
        <v>0.96070752161087503</v>
      </c>
      <c r="Y26" s="74">
        <f t="shared" ref="Y26" si="177">X26*(1+Y25)</f>
        <v>0.95590398400282062</v>
      </c>
      <c r="Z26" s="74">
        <f t="shared" ref="Z26" si="178">Y26*(1+Z25)</f>
        <v>0.95112446408280649</v>
      </c>
      <c r="AA26" s="74">
        <f t="shared" ref="AA26" si="179">Z26*(1+AA25)</f>
        <v>0.94636884176239244</v>
      </c>
      <c r="AB26" s="74">
        <f t="shared" ref="AB26" si="180">AA26*(1+AB25)</f>
        <v>0.94163699755358043</v>
      </c>
      <c r="AC26" s="74">
        <f t="shared" ref="AC26" si="181">AB26*(1+AC25)</f>
        <v>0.93692881256581251</v>
      </c>
      <c r="AD26" s="74">
        <f t="shared" ref="AD26" si="182">AC26*(1+AD25)</f>
        <v>0.93224416850298342</v>
      </c>
      <c r="AE26" s="74">
        <f t="shared" ref="AE26" si="183">AD26*(1+AE25)</f>
        <v>0.92758294766046845</v>
      </c>
      <c r="AF26" s="74">
        <f t="shared" ref="AF26" si="184">AE26*(1+AF25)</f>
        <v>0.92294503292216612</v>
      </c>
      <c r="AG26" s="74">
        <f t="shared" ref="AG26" si="185">AF26*(1+AG25)</f>
        <v>0.91833030775755531</v>
      </c>
      <c r="AH26" s="74">
        <f t="shared" ref="AH26" si="186">AG26*(1+AH25)</f>
        <v>0.91373865621876749</v>
      </c>
      <c r="AI26" s="74">
        <f t="shared" ref="AI26" si="187">AH26*(1+AI25)</f>
        <v>0.9091699629376736</v>
      </c>
      <c r="AJ26" s="74">
        <f t="shared" ref="AJ26" si="188">AI26*(1+AJ25)</f>
        <v>0.90462411312298519</v>
      </c>
      <c r="AK26" s="74">
        <f t="shared" ref="AK26" si="189">AJ26*(1+AK25)</f>
        <v>0.90010099255737031</v>
      </c>
      <c r="AL26" s="74">
        <f t="shared" ref="AL26" si="190">AK26*(1+AL25)</f>
        <v>0.89560048759458344</v>
      </c>
      <c r="AM26" s="74">
        <f t="shared" ref="AM26" si="191">AL26*(1+AM25)</f>
        <v>0.89112248515661052</v>
      </c>
      <c r="AN26" s="74">
        <f t="shared" ref="AN26" si="192">AM26*(1+AN25)</f>
        <v>0.88666687273082745</v>
      </c>
      <c r="AO26" s="74">
        <f t="shared" ref="AO26" si="193">AN26*(1+AO25)</f>
        <v>0.88223353836717333</v>
      </c>
      <c r="AP26" s="74">
        <f t="shared" ref="AP26" si="194">AO26*(1+AP25)</f>
        <v>0.87782237067533742</v>
      </c>
      <c r="AQ26" s="74">
        <f t="shared" ref="AQ26" si="195">AP26*(1+AQ25)</f>
        <v>0.87343325882196077</v>
      </c>
      <c r="AR26" s="74">
        <f t="shared" ref="AR26" si="196">AQ26*(1+AR25)</f>
        <v>0.86906609252785094</v>
      </c>
      <c r="AS26" s="74">
        <f t="shared" ref="AS26" si="197">AR26*(1+AS25)</f>
        <v>0.86472076206521165</v>
      </c>
      <c r="AT26" s="74">
        <f t="shared" ref="AT26" si="198">AS26*(1+AT25)</f>
        <v>0.86039715825488561</v>
      </c>
      <c r="AU26" s="74">
        <f t="shared" ref="AU26" si="199">AT26*(1+AU25)</f>
        <v>0.85609517246361122</v>
      </c>
      <c r="AV26" s="74">
        <f t="shared" ref="AV26" si="200">AU26*(1+AV25)</f>
        <v>0.85181469660129316</v>
      </c>
      <c r="AW26" s="74">
        <f t="shared" ref="AW26" si="201">AV26*(1+AW25)</f>
        <v>0.84755562311828669</v>
      </c>
      <c r="AX26" s="74">
        <f t="shared" ref="AX26" si="202">AW26*(1+AX25)</f>
        <v>0.84331784500269524</v>
      </c>
      <c r="AY26" s="74">
        <f t="shared" ref="AY26" si="203">AX26*(1+AY25)</f>
        <v>0.8391012557776818</v>
      </c>
      <c r="AZ26" s="74">
        <f t="shared" ref="AZ26" si="204">AY26*(1+AZ25)</f>
        <v>0.83490574949879337</v>
      </c>
      <c r="BA26" s="74">
        <f t="shared" ref="BA26" si="205">AZ26*(1+BA25)</f>
        <v>0.83073122075129935</v>
      </c>
      <c r="BB26" s="74">
        <f t="shared" ref="BB26" si="206">BA26*(1+BB25)</f>
        <v>0.82657756464754284</v>
      </c>
      <c r="BC26" s="74">
        <f t="shared" ref="BC26" si="207">BB26*(1+BC25)</f>
        <v>0.82244467682430511</v>
      </c>
      <c r="BD26" s="74">
        <f t="shared" ref="BD26" si="208">BC26*(1+BD25)</f>
        <v>0.81833245344018357</v>
      </c>
      <c r="BE26" s="74">
        <f t="shared" ref="BE26" si="209">BD26*(1+BE25)</f>
        <v>0.81424079117298265</v>
      </c>
      <c r="BF26" s="74">
        <f t="shared" ref="BF26" si="210">BE26*(1+BF25)</f>
        <v>0.81016958721711774</v>
      </c>
      <c r="BG26" s="74">
        <f t="shared" ref="BG26" si="211">BF26*(1+BG25)</f>
        <v>0.80611873928103217</v>
      </c>
      <c r="BH26" s="74">
        <f t="shared" ref="BH26" si="212">BG26*(1+BH25)</f>
        <v>0.80208814558462704</v>
      </c>
      <c r="BI26" s="74">
        <f t="shared" ref="BI26" si="213">BH26*(1+BI25)</f>
        <v>0.79807770485670393</v>
      </c>
      <c r="BJ26" s="74">
        <f t="shared" ref="BJ26" si="214">BI26*(1+BJ25)</f>
        <v>0.79408731633242036</v>
      </c>
      <c r="BK26" s="74">
        <f t="shared" ref="BK26" si="215">BJ26*(1+BK25)</f>
        <v>0.79011687975075828</v>
      </c>
      <c r="BL26" s="74">
        <f t="shared" ref="BL26" si="216">BK26*(1+BL25)</f>
        <v>0.78616629535200444</v>
      </c>
      <c r="BM26" s="74">
        <f t="shared" ref="BM26" si="217">BL26*(1+BM25)</f>
        <v>0.78223546387524445</v>
      </c>
      <c r="BN26" s="74">
        <f t="shared" ref="BN26" si="218">BM26*(1+BN25)</f>
        <v>0.77832428655586827</v>
      </c>
      <c r="BO26" s="74">
        <f t="shared" ref="BO26" si="219">BN26*(1+BO25)</f>
        <v>0.77443266512308895</v>
      </c>
      <c r="BP26" s="74">
        <f t="shared" ref="BP26" si="220">BO26*(1+BP25)</f>
        <v>0.77056050179747348</v>
      </c>
      <c r="BQ26" s="74">
        <f t="shared" ref="BQ26" si="221">BP26*(1+BQ25)</f>
        <v>0.76670769928848614</v>
      </c>
      <c r="BR26" s="74">
        <f t="shared" ref="BR26" si="222">BQ26*(1+BR25)</f>
        <v>0.76287416079204373</v>
      </c>
      <c r="BS26" s="74">
        <f t="shared" ref="BS26" si="223">BR26*(1+BS25)</f>
        <v>0.75905978998808354</v>
      </c>
      <c r="BT26" s="74">
        <f t="shared" ref="BT26" si="224">BS26*(1+BT25)</f>
        <v>0.75526449103814308</v>
      </c>
      <c r="BU26" s="74">
        <f t="shared" ref="BU26" si="225">BT26*(1+BU25)</f>
        <v>0.75148816858295231</v>
      </c>
      <c r="BV26" s="74">
        <f t="shared" ref="BV26" si="226">BU26*(1+BV25)</f>
        <v>0.74773072774003757</v>
      </c>
      <c r="BW26" s="74">
        <f t="shared" ref="BW26" si="227">BV26*(1+BW25)</f>
        <v>0.74399207410133739</v>
      </c>
      <c r="BX26" s="74">
        <f t="shared" ref="BX26" si="228">BW26*(1+BX25)</f>
        <v>0.74027211373083068</v>
      </c>
      <c r="BY26" s="74">
        <f t="shared" ref="BY26" si="229">BX26*(1+BY25)</f>
        <v>0.73657075316217657</v>
      </c>
      <c r="BZ26" s="74">
        <f t="shared" ref="BZ26" si="230">BY26*(1+BZ25)</f>
        <v>0.73288789939636567</v>
      </c>
      <c r="CA26" s="74">
        <f t="shared" ref="CA26" si="231">BZ26*(1+CA25)</f>
        <v>0.72922345989938386</v>
      </c>
      <c r="CB26" s="74">
        <f t="shared" ref="CB26" si="232">CA26*(1+CB25)</f>
        <v>0.72557734259988693</v>
      </c>
      <c r="CC26" s="74">
        <f t="shared" ref="CC26" si="233">CB26*(1+CC25)</f>
        <v>0.72194945588688753</v>
      </c>
      <c r="CD26" s="74">
        <f t="shared" ref="CD26" si="234">CC26*(1+CD25)</f>
        <v>0.71833970860745311</v>
      </c>
      <c r="CE26" s="74">
        <f t="shared" ref="CE26" si="235">CD26*(1+CE25)</f>
        <v>0.7147480100644158</v>
      </c>
      <c r="CF26" s="74">
        <f t="shared" ref="CF26" si="236">CE26*(1+CF25)</f>
        <v>0.71117427001409372</v>
      </c>
      <c r="CG26" s="74">
        <f t="shared" ref="CG26" si="237">CF26*(1+CG25)</f>
        <v>0.70761839866402321</v>
      </c>
      <c r="CH26" s="74">
        <f t="shared" ref="CH26" si="238">CG26*(1+CH25)</f>
        <v>0.70408030667070309</v>
      </c>
      <c r="CI26" s="74">
        <f t="shared" ref="CI26" si="239">CH26*(1+CI25)</f>
        <v>0.70055990513734956</v>
      </c>
      <c r="CJ26" s="74">
        <f t="shared" ref="CJ26" si="240">CI26*(1+CJ25)</f>
        <v>0.69705710561166279</v>
      </c>
      <c r="CK26" s="74">
        <f t="shared" ref="CK26" si="241">CJ26*(1+CK25)</f>
        <v>0.69357182008360452</v>
      </c>
      <c r="CL26" s="74">
        <f t="shared" ref="CL26" si="242">CK26*(1+CL25)</f>
        <v>0.69010396098318649</v>
      </c>
      <c r="CM26" s="74">
        <f t="shared" ref="CM26" si="243">CL26*(1+CM25)</f>
        <v>0.68665344117827054</v>
      </c>
      <c r="CN26" s="74">
        <f t="shared" ref="CN26" si="244">CM26*(1+CN25)</f>
        <v>0.68322017397237922</v>
      </c>
    </row>
    <row r="27" spans="4:92" ht="12.75" customHeight="1" x14ac:dyDescent="0.3">
      <c r="D27" s="15"/>
      <c r="H27" s="1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</row>
    <row r="28" spans="4:92" ht="12.75" customHeight="1" x14ac:dyDescent="0.3">
      <c r="D28" s="17" t="str">
        <f>D46</f>
        <v>LCVs</v>
      </c>
      <c r="H28" s="16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</row>
    <row r="29" spans="4:92" ht="12.75" customHeight="1" x14ac:dyDescent="0.3">
      <c r="D29" s="112" t="s">
        <v>261</v>
      </c>
      <c r="H29" s="16" t="s">
        <v>16</v>
      </c>
      <c r="L29" s="15">
        <f>IF(L$6&lt;Ass!$I$56,0,INDEX(Ass!$K$68:$K$70,MATCH(L$6,Ass!$I$68:$I$70,1)))</f>
        <v>0</v>
      </c>
      <c r="M29" s="15">
        <f>IF(M$6&lt;Ass!$I$56,0,INDEX(Ass!$K$68:$K$70,MATCH(M$6,Ass!$I$68:$I$70,1)))</f>
        <v>0</v>
      </c>
      <c r="N29" s="55">
        <f>IF(N$6&lt;Ass!$I$56,0,INDEX(Ass!$K$68:$K$70,MATCH(N$6,Ass!$I$68:$I$70,1)))</f>
        <v>4.0000000000000001E-3</v>
      </c>
      <c r="O29" s="55">
        <f>IF(O$6&lt;Ass!$I$56,0,INDEX(Ass!$K$68:$K$70,MATCH(O$6,Ass!$I$68:$I$70,1)))</f>
        <v>4.0000000000000001E-3</v>
      </c>
      <c r="P29" s="55">
        <f>IF(P$6&lt;Ass!$I$56,0,INDEX(Ass!$K$68:$K$70,MATCH(P$6,Ass!$I$68:$I$70,1)))</f>
        <v>4.0000000000000001E-3</v>
      </c>
      <c r="Q29" s="55">
        <f>IF(Q$6&lt;Ass!$I$56,0,INDEX(Ass!$K$68:$K$70,MATCH(Q$6,Ass!$I$68:$I$70,1)))</f>
        <v>4.0000000000000001E-3</v>
      </c>
      <c r="R29" s="55">
        <f>IF(R$6&lt;Ass!$I$56,0,INDEX(Ass!$K$68:$K$70,MATCH(R$6,Ass!$I$68:$I$70,1)))</f>
        <v>4.0000000000000001E-3</v>
      </c>
      <c r="S29" s="55">
        <f>IF(S$6&lt;Ass!$I$56,0,INDEX(Ass!$K$68:$K$70,MATCH(S$6,Ass!$I$68:$I$70,1)))</f>
        <v>2E-3</v>
      </c>
      <c r="T29" s="55">
        <f>IF(T$6&lt;Ass!$I$56,0,INDEX(Ass!$K$68:$K$70,MATCH(T$6,Ass!$I$68:$I$70,1)))</f>
        <v>2E-3</v>
      </c>
      <c r="U29" s="55">
        <f>IF(U$6&lt;Ass!$I$56,0,INDEX(Ass!$K$68:$K$70,MATCH(U$6,Ass!$I$68:$I$70,1)))</f>
        <v>2E-3</v>
      </c>
      <c r="V29" s="55">
        <f>IF(V$6&lt;Ass!$I$56,0,INDEX(Ass!$K$68:$K$70,MATCH(V$6,Ass!$I$68:$I$70,1)))</f>
        <v>2E-3</v>
      </c>
      <c r="W29" s="55">
        <f>IF(W$6&lt;Ass!$I$56,0,INDEX(Ass!$K$68:$K$70,MATCH(W$6,Ass!$I$68:$I$70,1)))</f>
        <v>2E-3</v>
      </c>
      <c r="X29" s="55">
        <f>IF(X$6&lt;Ass!$I$56,0,INDEX(Ass!$K$68:$K$70,MATCH(X$6,Ass!$I$68:$I$70,1)))</f>
        <v>2E-3</v>
      </c>
      <c r="Y29" s="55">
        <f>IF(Y$6&lt;Ass!$I$56,0,INDEX(Ass!$K$68:$K$70,MATCH(Y$6,Ass!$I$68:$I$70,1)))</f>
        <v>2E-3</v>
      </c>
      <c r="Z29" s="55">
        <f>IF(Z$6&lt;Ass!$I$56,0,INDEX(Ass!$K$68:$K$70,MATCH(Z$6,Ass!$I$68:$I$70,1)))</f>
        <v>2E-3</v>
      </c>
      <c r="AA29" s="55">
        <f>IF(AA$6&lt;Ass!$I$56,0,INDEX(Ass!$K$68:$K$70,MATCH(AA$6,Ass!$I$68:$I$70,1)))</f>
        <v>2E-3</v>
      </c>
      <c r="AB29" s="55">
        <f>IF(AB$6&lt;Ass!$I$56,0,INDEX(Ass!$K$68:$K$70,MATCH(AB$6,Ass!$I$68:$I$70,1)))</f>
        <v>2E-3</v>
      </c>
      <c r="AC29" s="55">
        <f>IF(AC$6&lt;Ass!$I$56,0,INDEX(Ass!$K$68:$K$70,MATCH(AC$6,Ass!$I$68:$I$70,1)))</f>
        <v>2E-3</v>
      </c>
      <c r="AD29" s="55">
        <f>IF(AD$6&lt;Ass!$I$56,0,INDEX(Ass!$K$68:$K$70,MATCH(AD$6,Ass!$I$68:$I$70,1)))</f>
        <v>2E-3</v>
      </c>
      <c r="AE29" s="55">
        <f>IF(AE$6&lt;Ass!$I$56,0,INDEX(Ass!$K$68:$K$70,MATCH(AE$6,Ass!$I$68:$I$70,1)))</f>
        <v>2E-3</v>
      </c>
      <c r="AF29" s="55">
        <f>IF(AF$6&lt;Ass!$I$56,0,INDEX(Ass!$K$68:$K$70,MATCH(AF$6,Ass!$I$68:$I$70,1)))</f>
        <v>2E-3</v>
      </c>
      <c r="AG29" s="55">
        <f>IF(AG$6&lt;Ass!$I$56,0,INDEX(Ass!$K$68:$K$70,MATCH(AG$6,Ass!$I$68:$I$70,1)))</f>
        <v>2E-3</v>
      </c>
      <c r="AH29" s="55">
        <f>IF(AH$6&lt;Ass!$I$56,0,INDEX(Ass!$K$68:$K$70,MATCH(AH$6,Ass!$I$68:$I$70,1)))</f>
        <v>2E-3</v>
      </c>
      <c r="AI29" s="55">
        <f>IF(AI$6&lt;Ass!$I$56,0,INDEX(Ass!$K$68:$K$70,MATCH(AI$6,Ass!$I$68:$I$70,1)))</f>
        <v>2E-3</v>
      </c>
      <c r="AJ29" s="55">
        <f>IF(AJ$6&lt;Ass!$I$56,0,INDEX(Ass!$K$68:$K$70,MATCH(AJ$6,Ass!$I$68:$I$70,1)))</f>
        <v>2E-3</v>
      </c>
      <c r="AK29" s="55">
        <f>IF(AK$6&lt;Ass!$I$56,0,INDEX(Ass!$K$68:$K$70,MATCH(AK$6,Ass!$I$68:$I$70,1)))</f>
        <v>2E-3</v>
      </c>
      <c r="AL29" s="55">
        <f>IF(AL$6&lt;Ass!$I$56,0,INDEX(Ass!$K$68:$K$70,MATCH(AL$6,Ass!$I$68:$I$70,1)))</f>
        <v>2E-3</v>
      </c>
      <c r="AM29" s="55">
        <f>IF(AM$6&lt;Ass!$I$56,0,INDEX(Ass!$K$68:$K$70,MATCH(AM$6,Ass!$I$68:$I$70,1)))</f>
        <v>2E-3</v>
      </c>
      <c r="AN29" s="55">
        <f>IF(AN$6&lt;Ass!$I$56,0,INDEX(Ass!$K$68:$K$70,MATCH(AN$6,Ass!$I$68:$I$70,1)))</f>
        <v>2E-3</v>
      </c>
      <c r="AO29" s="55">
        <f>IF(AO$6&lt;Ass!$I$56,0,INDEX(Ass!$K$68:$K$70,MATCH(AO$6,Ass!$I$68:$I$70,1)))</f>
        <v>2E-3</v>
      </c>
      <c r="AP29" s="55">
        <f>IF(AP$6&lt;Ass!$I$56,0,INDEX(Ass!$K$68:$K$70,MATCH(AP$6,Ass!$I$68:$I$70,1)))</f>
        <v>2E-3</v>
      </c>
      <c r="AQ29" s="55">
        <f>IF(AQ$6&lt;Ass!$I$56,0,INDEX(Ass!$K$68:$K$70,MATCH(AQ$6,Ass!$I$68:$I$70,1)))</f>
        <v>2E-3</v>
      </c>
      <c r="AR29" s="55">
        <f>IF(AR$6&lt;Ass!$I$56,0,INDEX(Ass!$K$68:$K$70,MATCH(AR$6,Ass!$I$68:$I$70,1)))</f>
        <v>2E-3</v>
      </c>
      <c r="AS29" s="55">
        <f>IF(AS$6&lt;Ass!$I$56,0,INDEX(Ass!$K$68:$K$70,MATCH(AS$6,Ass!$I$68:$I$70,1)))</f>
        <v>2E-3</v>
      </c>
      <c r="AT29" s="55">
        <f>IF(AT$6&lt;Ass!$I$56,0,INDEX(Ass!$K$68:$K$70,MATCH(AT$6,Ass!$I$68:$I$70,1)))</f>
        <v>2E-3</v>
      </c>
      <c r="AU29" s="55">
        <f>IF(AU$6&lt;Ass!$I$56,0,INDEX(Ass!$K$68:$K$70,MATCH(AU$6,Ass!$I$68:$I$70,1)))</f>
        <v>2E-3</v>
      </c>
      <c r="AV29" s="55">
        <f>IF(AV$6&lt;Ass!$I$56,0,INDEX(Ass!$K$68:$K$70,MATCH(AV$6,Ass!$I$68:$I$70,1)))</f>
        <v>2E-3</v>
      </c>
      <c r="AW29" s="55">
        <f>IF(AW$6&lt;Ass!$I$56,0,INDEX(Ass!$K$68:$K$70,MATCH(AW$6,Ass!$I$68:$I$70,1)))</f>
        <v>2E-3</v>
      </c>
      <c r="AX29" s="55">
        <f>IF(AX$6&lt;Ass!$I$56,0,INDEX(Ass!$K$68:$K$70,MATCH(AX$6,Ass!$I$68:$I$70,1)))</f>
        <v>2E-3</v>
      </c>
      <c r="AY29" s="55">
        <f>IF(AY$6&lt;Ass!$I$56,0,INDEX(Ass!$K$68:$K$70,MATCH(AY$6,Ass!$I$68:$I$70,1)))</f>
        <v>2E-3</v>
      </c>
      <c r="AZ29" s="55">
        <f>IF(AZ$6&lt;Ass!$I$56,0,INDEX(Ass!$K$68:$K$70,MATCH(AZ$6,Ass!$I$68:$I$70,1)))</f>
        <v>2E-3</v>
      </c>
      <c r="BA29" s="55">
        <f>IF(BA$6&lt;Ass!$I$56,0,INDEX(Ass!$K$68:$K$70,MATCH(BA$6,Ass!$I$68:$I$70,1)))</f>
        <v>2E-3</v>
      </c>
      <c r="BB29" s="55">
        <f>IF(BB$6&lt;Ass!$I$56,0,INDEX(Ass!$K$68:$K$70,MATCH(BB$6,Ass!$I$68:$I$70,1)))</f>
        <v>2E-3</v>
      </c>
      <c r="BC29" s="55">
        <f>IF(BC$6&lt;Ass!$I$56,0,INDEX(Ass!$K$68:$K$70,MATCH(BC$6,Ass!$I$68:$I$70,1)))</f>
        <v>2E-3</v>
      </c>
      <c r="BD29" s="55">
        <f>IF(BD$6&lt;Ass!$I$56,0,INDEX(Ass!$K$68:$K$70,MATCH(BD$6,Ass!$I$68:$I$70,1)))</f>
        <v>2E-3</v>
      </c>
      <c r="BE29" s="55">
        <f>IF(BE$6&lt;Ass!$I$56,0,INDEX(Ass!$K$68:$K$70,MATCH(BE$6,Ass!$I$68:$I$70,1)))</f>
        <v>2E-3</v>
      </c>
      <c r="BF29" s="55">
        <f>IF(BF$6&lt;Ass!$I$56,0,INDEX(Ass!$K$68:$K$70,MATCH(BF$6,Ass!$I$68:$I$70,1)))</f>
        <v>2E-3</v>
      </c>
      <c r="BG29" s="55">
        <f>IF(BG$6&lt;Ass!$I$56,0,INDEX(Ass!$K$68:$K$70,MATCH(BG$6,Ass!$I$68:$I$70,1)))</f>
        <v>2E-3</v>
      </c>
      <c r="BH29" s="55">
        <f>IF(BH$6&lt;Ass!$I$56,0,INDEX(Ass!$K$68:$K$70,MATCH(BH$6,Ass!$I$68:$I$70,1)))</f>
        <v>2E-3</v>
      </c>
      <c r="BI29" s="55">
        <f>IF(BI$6&lt;Ass!$I$56,0,INDEX(Ass!$K$68:$K$70,MATCH(BI$6,Ass!$I$68:$I$70,1)))</f>
        <v>2E-3</v>
      </c>
      <c r="BJ29" s="55">
        <f>IF(BJ$6&lt;Ass!$I$56,0,INDEX(Ass!$K$68:$K$70,MATCH(BJ$6,Ass!$I$68:$I$70,1)))</f>
        <v>2E-3</v>
      </c>
      <c r="BK29" s="55">
        <f>IF(BK$6&lt;Ass!$I$56,0,INDEX(Ass!$K$68:$K$70,MATCH(BK$6,Ass!$I$68:$I$70,1)))</f>
        <v>2E-3</v>
      </c>
      <c r="BL29" s="55">
        <f>IF(BL$6&lt;Ass!$I$56,0,INDEX(Ass!$K$68:$K$70,MATCH(BL$6,Ass!$I$68:$I$70,1)))</f>
        <v>2E-3</v>
      </c>
      <c r="BM29" s="55">
        <f>IF(BM$6&lt;Ass!$I$56,0,INDEX(Ass!$K$68:$K$70,MATCH(BM$6,Ass!$I$68:$I$70,1)))</f>
        <v>2E-3</v>
      </c>
      <c r="BN29" s="55">
        <f>IF(BN$6&lt;Ass!$I$56,0,INDEX(Ass!$K$68:$K$70,MATCH(BN$6,Ass!$I$68:$I$70,1)))</f>
        <v>2E-3</v>
      </c>
      <c r="BO29" s="55">
        <f>IF(BO$6&lt;Ass!$I$56,0,INDEX(Ass!$K$68:$K$70,MATCH(BO$6,Ass!$I$68:$I$70,1)))</f>
        <v>2E-3</v>
      </c>
      <c r="BP29" s="55">
        <f>IF(BP$6&lt;Ass!$I$56,0,INDEX(Ass!$K$68:$K$70,MATCH(BP$6,Ass!$I$68:$I$70,1)))</f>
        <v>2E-3</v>
      </c>
      <c r="BQ29" s="55">
        <f>IF(BQ$6&lt;Ass!$I$56,0,INDEX(Ass!$K$68:$K$70,MATCH(BQ$6,Ass!$I$68:$I$70,1)))</f>
        <v>2E-3</v>
      </c>
      <c r="BR29" s="55">
        <f>IF(BR$6&lt;Ass!$I$56,0,INDEX(Ass!$K$68:$K$70,MATCH(BR$6,Ass!$I$68:$I$70,1)))</f>
        <v>2E-3</v>
      </c>
      <c r="BS29" s="55">
        <f>IF(BS$6&lt;Ass!$I$56,0,INDEX(Ass!$K$68:$K$70,MATCH(BS$6,Ass!$I$68:$I$70,1)))</f>
        <v>2E-3</v>
      </c>
      <c r="BT29" s="55">
        <f>IF(BT$6&lt;Ass!$I$56,0,INDEX(Ass!$K$68:$K$70,MATCH(BT$6,Ass!$I$68:$I$70,1)))</f>
        <v>2E-3</v>
      </c>
      <c r="BU29" s="55">
        <f>IF(BU$6&lt;Ass!$I$56,0,INDEX(Ass!$K$68:$K$70,MATCH(BU$6,Ass!$I$68:$I$70,1)))</f>
        <v>2E-3</v>
      </c>
      <c r="BV29" s="55">
        <f>IF(BV$6&lt;Ass!$I$56,0,INDEX(Ass!$K$68:$K$70,MATCH(BV$6,Ass!$I$68:$I$70,1)))</f>
        <v>2E-3</v>
      </c>
      <c r="BW29" s="55">
        <f>IF(BW$6&lt;Ass!$I$56,0,INDEX(Ass!$K$68:$K$70,MATCH(BW$6,Ass!$I$68:$I$70,1)))</f>
        <v>2E-3</v>
      </c>
      <c r="BX29" s="55">
        <f>IF(BX$6&lt;Ass!$I$56,0,INDEX(Ass!$K$68:$K$70,MATCH(BX$6,Ass!$I$68:$I$70,1)))</f>
        <v>2E-3</v>
      </c>
      <c r="BY29" s="55">
        <f>IF(BY$6&lt;Ass!$I$56,0,INDEX(Ass!$K$68:$K$70,MATCH(BY$6,Ass!$I$68:$I$70,1)))</f>
        <v>2E-3</v>
      </c>
      <c r="BZ29" s="55">
        <f>IF(BZ$6&lt;Ass!$I$56,0,INDEX(Ass!$K$68:$K$70,MATCH(BZ$6,Ass!$I$68:$I$70,1)))</f>
        <v>2E-3</v>
      </c>
      <c r="CA29" s="55">
        <f>IF(CA$6&lt;Ass!$I$56,0,INDEX(Ass!$K$68:$K$70,MATCH(CA$6,Ass!$I$68:$I$70,1)))</f>
        <v>2E-3</v>
      </c>
      <c r="CB29" s="55">
        <f>IF(CB$6&lt;Ass!$I$56,0,INDEX(Ass!$K$68:$K$70,MATCH(CB$6,Ass!$I$68:$I$70,1)))</f>
        <v>2E-3</v>
      </c>
      <c r="CC29" s="55">
        <f>IF(CC$6&lt;Ass!$I$56,0,INDEX(Ass!$K$68:$K$70,MATCH(CC$6,Ass!$I$68:$I$70,1)))</f>
        <v>2E-3</v>
      </c>
      <c r="CD29" s="55">
        <f>IF(CD$6&lt;Ass!$I$56,0,INDEX(Ass!$K$68:$K$70,MATCH(CD$6,Ass!$I$68:$I$70,1)))</f>
        <v>2E-3</v>
      </c>
      <c r="CE29" s="55">
        <f>IF(CE$6&lt;Ass!$I$56,0,INDEX(Ass!$K$68:$K$70,MATCH(CE$6,Ass!$I$68:$I$70,1)))</f>
        <v>2E-3</v>
      </c>
      <c r="CF29" s="55">
        <f>IF(CF$6&lt;Ass!$I$56,0,INDEX(Ass!$K$68:$K$70,MATCH(CF$6,Ass!$I$68:$I$70,1)))</f>
        <v>2E-3</v>
      </c>
      <c r="CG29" s="55">
        <f>IF(CG$6&lt;Ass!$I$56,0,INDEX(Ass!$K$68:$K$70,MATCH(CG$6,Ass!$I$68:$I$70,1)))</f>
        <v>2E-3</v>
      </c>
      <c r="CH29" s="55">
        <f>IF(CH$6&lt;Ass!$I$56,0,INDEX(Ass!$K$68:$K$70,MATCH(CH$6,Ass!$I$68:$I$70,1)))</f>
        <v>2E-3</v>
      </c>
      <c r="CI29" s="55">
        <f>IF(CI$6&lt;Ass!$I$56,0,INDEX(Ass!$K$68:$K$70,MATCH(CI$6,Ass!$I$68:$I$70,1)))</f>
        <v>2E-3</v>
      </c>
      <c r="CJ29" s="55">
        <f>IF(CJ$6&lt;Ass!$I$56,0,INDEX(Ass!$K$68:$K$70,MATCH(CJ$6,Ass!$I$68:$I$70,1)))</f>
        <v>2E-3</v>
      </c>
      <c r="CK29" s="55">
        <f>IF(CK$6&lt;Ass!$I$56,0,INDEX(Ass!$K$68:$K$70,MATCH(CK$6,Ass!$I$68:$I$70,1)))</f>
        <v>2E-3</v>
      </c>
      <c r="CL29" s="55">
        <f>IF(CL$6&lt;Ass!$I$56,0,INDEX(Ass!$K$68:$K$70,MATCH(CL$6,Ass!$I$68:$I$70,1)))</f>
        <v>2E-3</v>
      </c>
      <c r="CM29" s="55">
        <f>IF(CM$6&lt;Ass!$I$56,0,INDEX(Ass!$K$68:$K$70,MATCH(CM$6,Ass!$I$68:$I$70,1)))</f>
        <v>2E-3</v>
      </c>
      <c r="CN29" s="55">
        <f>IF(CN$6&lt;Ass!$I$56,0,INDEX(Ass!$K$68:$K$70,MATCH(CN$6,Ass!$I$68:$I$70,1)))</f>
        <v>2E-3</v>
      </c>
    </row>
    <row r="30" spans="4:92" ht="12.75" customHeight="1" x14ac:dyDescent="0.3">
      <c r="D30" s="112" t="s">
        <v>262</v>
      </c>
      <c r="H30" s="16" t="s">
        <v>146</v>
      </c>
      <c r="L30" s="73">
        <v>1</v>
      </c>
      <c r="M30" s="74">
        <f t="shared" ref="M30" si="245">L30*(1+M29)</f>
        <v>1</v>
      </c>
      <c r="N30" s="74">
        <f t="shared" ref="N30" si="246">M30*(1+N29)</f>
        <v>1.004</v>
      </c>
      <c r="O30" s="74">
        <f t="shared" ref="O30" si="247">N30*(1+O29)</f>
        <v>1.008016</v>
      </c>
      <c r="P30" s="74">
        <f t="shared" ref="P30" si="248">O30*(1+P29)</f>
        <v>1.012048064</v>
      </c>
      <c r="Q30" s="74">
        <f t="shared" ref="Q30" si="249">P30*(1+Q29)</f>
        <v>1.0160962562560001</v>
      </c>
      <c r="R30" s="74">
        <f t="shared" ref="R30" si="250">Q30*(1+R29)</f>
        <v>1.020160641281024</v>
      </c>
      <c r="S30" s="74">
        <f t="shared" ref="S30" si="251">R30*(1+S29)</f>
        <v>1.0222009625635862</v>
      </c>
      <c r="T30" s="74">
        <f t="shared" ref="T30" si="252">S30*(1+T29)</f>
        <v>1.0242453644887133</v>
      </c>
      <c r="U30" s="74">
        <f t="shared" ref="U30" si="253">T30*(1+U29)</f>
        <v>1.0262938552176908</v>
      </c>
      <c r="V30" s="74">
        <f t="shared" ref="V30" si="254">U30*(1+V29)</f>
        <v>1.0283464429281262</v>
      </c>
      <c r="W30" s="74">
        <f t="shared" ref="W30" si="255">V30*(1+W29)</f>
        <v>1.0304031358139825</v>
      </c>
      <c r="X30" s="74">
        <f t="shared" ref="X30" si="256">W30*(1+X29)</f>
        <v>1.0324639420856103</v>
      </c>
      <c r="Y30" s="74">
        <f t="shared" ref="Y30" si="257">X30*(1+Y29)</f>
        <v>1.0345288699697814</v>
      </c>
      <c r="Z30" s="74">
        <f t="shared" ref="Z30" si="258">Y30*(1+Z29)</f>
        <v>1.036597927709721</v>
      </c>
      <c r="AA30" s="74">
        <f t="shared" ref="AA30" si="259">Z30*(1+AA29)</f>
        <v>1.0386711235651405</v>
      </c>
      <c r="AB30" s="74">
        <f t="shared" ref="AB30" si="260">AA30*(1+AB29)</f>
        <v>1.0407484658122708</v>
      </c>
      <c r="AC30" s="74">
        <f t="shared" ref="AC30" si="261">AB30*(1+AC29)</f>
        <v>1.0428299627438953</v>
      </c>
      <c r="AD30" s="74">
        <f t="shared" ref="AD30" si="262">AC30*(1+AD29)</f>
        <v>1.044915622669383</v>
      </c>
      <c r="AE30" s="74">
        <f t="shared" ref="AE30" si="263">AD30*(1+AE29)</f>
        <v>1.0470054539147218</v>
      </c>
      <c r="AF30" s="74">
        <f t="shared" ref="AF30" si="264">AE30*(1+AF29)</f>
        <v>1.0490994648225511</v>
      </c>
      <c r="AG30" s="74">
        <f t="shared" ref="AG30" si="265">AF30*(1+AG29)</f>
        <v>1.0511976637521963</v>
      </c>
      <c r="AH30" s="74">
        <f t="shared" ref="AH30" si="266">AG30*(1+AH29)</f>
        <v>1.0533000590797006</v>
      </c>
      <c r="AI30" s="74">
        <f t="shared" ref="AI30" si="267">AH30*(1+AI29)</f>
        <v>1.0554066591978599</v>
      </c>
      <c r="AJ30" s="74">
        <f t="shared" ref="AJ30" si="268">AI30*(1+AJ29)</f>
        <v>1.0575174725162557</v>
      </c>
      <c r="AK30" s="74">
        <f t="shared" ref="AK30" si="269">AJ30*(1+AK29)</f>
        <v>1.0596325074612882</v>
      </c>
      <c r="AL30" s="74">
        <f t="shared" ref="AL30" si="270">AK30*(1+AL29)</f>
        <v>1.0617517724762109</v>
      </c>
      <c r="AM30" s="74">
        <f t="shared" ref="AM30" si="271">AL30*(1+AM29)</f>
        <v>1.0638752760211634</v>
      </c>
      <c r="AN30" s="74">
        <f t="shared" ref="AN30" si="272">AM30*(1+AN29)</f>
        <v>1.0660030265732057</v>
      </c>
      <c r="AO30" s="74">
        <f t="shared" ref="AO30" si="273">AN30*(1+AO29)</f>
        <v>1.0681350326263521</v>
      </c>
      <c r="AP30" s="74">
        <f t="shared" ref="AP30" si="274">AO30*(1+AP29)</f>
        <v>1.0702713026916049</v>
      </c>
      <c r="AQ30" s="74">
        <f t="shared" ref="AQ30" si="275">AP30*(1+AQ29)</f>
        <v>1.0724118452969882</v>
      </c>
      <c r="AR30" s="74">
        <f t="shared" ref="AR30" si="276">AQ30*(1+AR29)</f>
        <v>1.0745566689875821</v>
      </c>
      <c r="AS30" s="74">
        <f t="shared" ref="AS30" si="277">AR30*(1+AS29)</f>
        <v>1.0767057823255572</v>
      </c>
      <c r="AT30" s="74">
        <f t="shared" ref="AT30" si="278">AS30*(1+AT29)</f>
        <v>1.0788591938902083</v>
      </c>
      <c r="AU30" s="74">
        <f t="shared" ref="AU30" si="279">AT30*(1+AU29)</f>
        <v>1.0810169122779887</v>
      </c>
      <c r="AV30" s="74">
        <f t="shared" ref="AV30" si="280">AU30*(1+AV29)</f>
        <v>1.0831789461025447</v>
      </c>
      <c r="AW30" s="74">
        <f t="shared" ref="AW30" si="281">AV30*(1+AW29)</f>
        <v>1.0853453039947498</v>
      </c>
      <c r="AX30" s="74">
        <f t="shared" ref="AX30" si="282">AW30*(1+AX29)</f>
        <v>1.0875159946027393</v>
      </c>
      <c r="AY30" s="74">
        <f t="shared" ref="AY30" si="283">AX30*(1+AY29)</f>
        <v>1.0896910265919448</v>
      </c>
      <c r="AZ30" s="74">
        <f t="shared" ref="AZ30" si="284">AY30*(1+AZ29)</f>
        <v>1.0918704086451287</v>
      </c>
      <c r="BA30" s="74">
        <f t="shared" ref="BA30" si="285">AZ30*(1+BA29)</f>
        <v>1.094054149462419</v>
      </c>
      <c r="BB30" s="74">
        <f t="shared" ref="BB30" si="286">BA30*(1+BB29)</f>
        <v>1.0962422577613438</v>
      </c>
      <c r="BC30" s="74">
        <f t="shared" ref="BC30" si="287">BB30*(1+BC29)</f>
        <v>1.0984347422768665</v>
      </c>
      <c r="BD30" s="74">
        <f t="shared" ref="BD30" si="288">BC30*(1+BD29)</f>
        <v>1.1006316117614203</v>
      </c>
      <c r="BE30" s="74">
        <f t="shared" ref="BE30" si="289">BD30*(1+BE29)</f>
        <v>1.1028328749849432</v>
      </c>
      <c r="BF30" s="74">
        <f t="shared" ref="BF30" si="290">BE30*(1+BF29)</f>
        <v>1.105038540734913</v>
      </c>
      <c r="BG30" s="74">
        <f t="shared" ref="BG30" si="291">BF30*(1+BG29)</f>
        <v>1.107248617816383</v>
      </c>
      <c r="BH30" s="74">
        <f t="shared" ref="BH30" si="292">BG30*(1+BH29)</f>
        <v>1.1094631150520158</v>
      </c>
      <c r="BI30" s="74">
        <f t="shared" ref="BI30" si="293">BH30*(1+BI29)</f>
        <v>1.1116820412821198</v>
      </c>
      <c r="BJ30" s="74">
        <f t="shared" ref="BJ30" si="294">BI30*(1+BJ29)</f>
        <v>1.113905405364684</v>
      </c>
      <c r="BK30" s="74">
        <f t="shared" ref="BK30" si="295">BJ30*(1+BK29)</f>
        <v>1.1161332161754134</v>
      </c>
      <c r="BL30" s="74">
        <f t="shared" ref="BL30" si="296">BK30*(1+BL29)</f>
        <v>1.1183654826077642</v>
      </c>
      <c r="BM30" s="74">
        <f t="shared" ref="BM30" si="297">BL30*(1+BM29)</f>
        <v>1.1206022135729798</v>
      </c>
      <c r="BN30" s="74">
        <f t="shared" ref="BN30" si="298">BM30*(1+BN29)</f>
        <v>1.1228434180001259</v>
      </c>
      <c r="BO30" s="74">
        <f t="shared" ref="BO30" si="299">BN30*(1+BO29)</f>
        <v>1.1250891048361262</v>
      </c>
      <c r="BP30" s="74">
        <f t="shared" ref="BP30" si="300">BO30*(1+BP29)</f>
        <v>1.1273392830457984</v>
      </c>
      <c r="BQ30" s="74">
        <f t="shared" ref="BQ30" si="301">BP30*(1+BQ29)</f>
        <v>1.12959396161189</v>
      </c>
      <c r="BR30" s="74">
        <f t="shared" ref="BR30" si="302">BQ30*(1+BR29)</f>
        <v>1.1318531495351138</v>
      </c>
      <c r="BS30" s="74">
        <f t="shared" ref="BS30" si="303">BR30*(1+BS29)</f>
        <v>1.1341168558341841</v>
      </c>
      <c r="BT30" s="74">
        <f t="shared" ref="BT30" si="304">BS30*(1+BT29)</f>
        <v>1.1363850895458525</v>
      </c>
      <c r="BU30" s="74">
        <f t="shared" ref="BU30" si="305">BT30*(1+BU29)</f>
        <v>1.1386578597249442</v>
      </c>
      <c r="BV30" s="74">
        <f t="shared" ref="BV30" si="306">BU30*(1+BV29)</f>
        <v>1.1409351754443939</v>
      </c>
      <c r="BW30" s="74">
        <f t="shared" ref="BW30" si="307">BV30*(1+BW29)</f>
        <v>1.1432170457952828</v>
      </c>
      <c r="BX30" s="74">
        <f t="shared" ref="BX30" si="308">BW30*(1+BX29)</f>
        <v>1.1455034798868733</v>
      </c>
      <c r="BY30" s="74">
        <f t="shared" ref="BY30" si="309">BX30*(1+BY29)</f>
        <v>1.147794486846647</v>
      </c>
      <c r="BZ30" s="74">
        <f t="shared" ref="BZ30" si="310">BY30*(1+BZ29)</f>
        <v>1.1500900758203403</v>
      </c>
      <c r="CA30" s="74">
        <f t="shared" ref="CA30" si="311">BZ30*(1+CA29)</f>
        <v>1.152390255971981</v>
      </c>
      <c r="CB30" s="74">
        <f t="shared" ref="CB30" si="312">CA30*(1+CB29)</f>
        <v>1.154695036483925</v>
      </c>
      <c r="CC30" s="74">
        <f t="shared" ref="CC30" si="313">CB30*(1+CC29)</f>
        <v>1.1570044265568928</v>
      </c>
      <c r="CD30" s="74">
        <f t="shared" ref="CD30" si="314">CC30*(1+CD29)</f>
        <v>1.1593184354100066</v>
      </c>
      <c r="CE30" s="74">
        <f t="shared" ref="CE30" si="315">CD30*(1+CE29)</f>
        <v>1.1616370722808267</v>
      </c>
      <c r="CF30" s="74">
        <f t="shared" ref="CF30" si="316">CE30*(1+CF29)</f>
        <v>1.1639603464253883</v>
      </c>
      <c r="CG30" s="74">
        <f t="shared" ref="CG30" si="317">CF30*(1+CG29)</f>
        <v>1.1662882671182391</v>
      </c>
      <c r="CH30" s="74">
        <f t="shared" ref="CH30" si="318">CG30*(1+CH29)</f>
        <v>1.1686208436524756</v>
      </c>
      <c r="CI30" s="74">
        <f t="shared" ref="CI30" si="319">CH30*(1+CI29)</f>
        <v>1.1709580853397805</v>
      </c>
      <c r="CJ30" s="74">
        <f t="shared" ref="CJ30" si="320">CI30*(1+CJ29)</f>
        <v>1.17330000151046</v>
      </c>
      <c r="CK30" s="74">
        <f t="shared" ref="CK30" si="321">CJ30*(1+CK29)</f>
        <v>1.175646601513481</v>
      </c>
      <c r="CL30" s="74">
        <f t="shared" ref="CL30" si="322">CK30*(1+CL29)</f>
        <v>1.177997894716508</v>
      </c>
      <c r="CM30" s="74">
        <f t="shared" ref="CM30" si="323">CL30*(1+CM29)</f>
        <v>1.180353890505941</v>
      </c>
      <c r="CN30" s="74">
        <f t="shared" ref="CN30" si="324">CM30*(1+CN29)</f>
        <v>1.1827145982869529</v>
      </c>
    </row>
    <row r="31" spans="4:92" ht="12.75" customHeight="1" x14ac:dyDescent="0.3">
      <c r="D31" s="15"/>
      <c r="H31" s="1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</row>
    <row r="32" spans="4:92" ht="12.75" customHeight="1" x14ac:dyDescent="0.3">
      <c r="D32" s="17" t="str">
        <f>D47</f>
        <v>HCVs</v>
      </c>
      <c r="H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</row>
    <row r="33" spans="1:92" ht="12.75" customHeight="1" x14ac:dyDescent="0.3">
      <c r="D33" s="112" t="s">
        <v>261</v>
      </c>
      <c r="H33" s="16" t="s">
        <v>16</v>
      </c>
      <c r="L33" s="15">
        <f>IF(L$6&lt;Ass!$I$56,0,INDEX(Ass!$K$74:$K$76,MATCH(L$6,Ass!$I$74:$I$76,1)))</f>
        <v>0</v>
      </c>
      <c r="M33" s="15">
        <f>IF(M$6&lt;Ass!$I$56,0,INDEX(Ass!$K$74:$K$76,MATCH(M$6,Ass!$I$74:$I$76,1)))</f>
        <v>0</v>
      </c>
      <c r="N33" s="55">
        <f>IF(N$6&lt;Ass!$I$56,0,INDEX(Ass!$K$74:$K$76,MATCH(N$6,Ass!$I$74:$I$76,1)))</f>
        <v>1.6E-2</v>
      </c>
      <c r="O33" s="55">
        <f>IF(O$6&lt;Ass!$I$56,0,INDEX(Ass!$K$74:$K$76,MATCH(O$6,Ass!$I$74:$I$76,1)))</f>
        <v>1.6E-2</v>
      </c>
      <c r="P33" s="55">
        <f>IF(P$6&lt;Ass!$I$56,0,INDEX(Ass!$K$74:$K$76,MATCH(P$6,Ass!$I$74:$I$76,1)))</f>
        <v>1.6E-2</v>
      </c>
      <c r="Q33" s="55">
        <f>IF(Q$6&lt;Ass!$I$56,0,INDEX(Ass!$K$74:$K$76,MATCH(Q$6,Ass!$I$74:$I$76,1)))</f>
        <v>1.6E-2</v>
      </c>
      <c r="R33" s="55">
        <f>IF(R$6&lt;Ass!$I$56,0,INDEX(Ass!$K$74:$K$76,MATCH(R$6,Ass!$I$74:$I$76,1)))</f>
        <v>1.6E-2</v>
      </c>
      <c r="S33" s="55">
        <f>IF(S$6&lt;Ass!$I$56,0,INDEX(Ass!$K$74:$K$76,MATCH(S$6,Ass!$I$74:$I$76,1)))</f>
        <v>0.01</v>
      </c>
      <c r="T33" s="55">
        <f>IF(T$6&lt;Ass!$I$56,0,INDEX(Ass!$K$74:$K$76,MATCH(T$6,Ass!$I$74:$I$76,1)))</f>
        <v>0.01</v>
      </c>
      <c r="U33" s="55">
        <f>IF(U$6&lt;Ass!$I$56,0,INDEX(Ass!$K$74:$K$76,MATCH(U$6,Ass!$I$74:$I$76,1)))</f>
        <v>0.01</v>
      </c>
      <c r="V33" s="55">
        <f>IF(V$6&lt;Ass!$I$56,0,INDEX(Ass!$K$74:$K$76,MATCH(V$6,Ass!$I$74:$I$76,1)))</f>
        <v>0.01</v>
      </c>
      <c r="W33" s="55">
        <f>IF(W$6&lt;Ass!$I$56,0,INDEX(Ass!$K$74:$K$76,MATCH(W$6,Ass!$I$74:$I$76,1)))</f>
        <v>0.01</v>
      </c>
      <c r="X33" s="55">
        <f>IF(X$6&lt;Ass!$I$56,0,INDEX(Ass!$K$74:$K$76,MATCH(X$6,Ass!$I$74:$I$76,1)))</f>
        <v>0.01</v>
      </c>
      <c r="Y33" s="55">
        <f>IF(Y$6&lt;Ass!$I$56,0,INDEX(Ass!$K$74:$K$76,MATCH(Y$6,Ass!$I$74:$I$76,1)))</f>
        <v>0.01</v>
      </c>
      <c r="Z33" s="55">
        <f>IF(Z$6&lt;Ass!$I$56,0,INDEX(Ass!$K$74:$K$76,MATCH(Z$6,Ass!$I$74:$I$76,1)))</f>
        <v>0.01</v>
      </c>
      <c r="AA33" s="55">
        <f>IF(AA$6&lt;Ass!$I$56,0,INDEX(Ass!$K$74:$K$76,MATCH(AA$6,Ass!$I$74:$I$76,1)))</f>
        <v>0.01</v>
      </c>
      <c r="AB33" s="55">
        <f>IF(AB$6&lt;Ass!$I$56,0,INDEX(Ass!$K$74:$K$76,MATCH(AB$6,Ass!$I$74:$I$76,1)))</f>
        <v>0.01</v>
      </c>
      <c r="AC33" s="55">
        <f>IF(AC$6&lt;Ass!$I$56,0,INDEX(Ass!$K$74:$K$76,MATCH(AC$6,Ass!$I$74:$I$76,1)))</f>
        <v>0.01</v>
      </c>
      <c r="AD33" s="55">
        <f>IF(AD$6&lt;Ass!$I$56,0,INDEX(Ass!$K$74:$K$76,MATCH(AD$6,Ass!$I$74:$I$76,1)))</f>
        <v>0.01</v>
      </c>
      <c r="AE33" s="55">
        <f>IF(AE$6&lt;Ass!$I$56,0,INDEX(Ass!$K$74:$K$76,MATCH(AE$6,Ass!$I$74:$I$76,1)))</f>
        <v>0.01</v>
      </c>
      <c r="AF33" s="55">
        <f>IF(AF$6&lt;Ass!$I$56,0,INDEX(Ass!$K$74:$K$76,MATCH(AF$6,Ass!$I$74:$I$76,1)))</f>
        <v>0.01</v>
      </c>
      <c r="AG33" s="55">
        <f>IF(AG$6&lt;Ass!$I$56,0,INDEX(Ass!$K$74:$K$76,MATCH(AG$6,Ass!$I$74:$I$76,1)))</f>
        <v>5.0000000000000001E-3</v>
      </c>
      <c r="AH33" s="55">
        <f>IF(AH$6&lt;Ass!$I$56,0,INDEX(Ass!$K$74:$K$76,MATCH(AH$6,Ass!$I$74:$I$76,1)))</f>
        <v>5.0000000000000001E-3</v>
      </c>
      <c r="AI33" s="55">
        <f>IF(AI$6&lt;Ass!$I$56,0,INDEX(Ass!$K$74:$K$76,MATCH(AI$6,Ass!$I$74:$I$76,1)))</f>
        <v>5.0000000000000001E-3</v>
      </c>
      <c r="AJ33" s="55">
        <f>IF(AJ$6&lt;Ass!$I$56,0,INDEX(Ass!$K$74:$K$76,MATCH(AJ$6,Ass!$I$74:$I$76,1)))</f>
        <v>5.0000000000000001E-3</v>
      </c>
      <c r="AK33" s="55">
        <f>IF(AK$6&lt;Ass!$I$56,0,INDEX(Ass!$K$74:$K$76,MATCH(AK$6,Ass!$I$74:$I$76,1)))</f>
        <v>5.0000000000000001E-3</v>
      </c>
      <c r="AL33" s="55">
        <f>IF(AL$6&lt;Ass!$I$56,0,INDEX(Ass!$K$74:$K$76,MATCH(AL$6,Ass!$I$74:$I$76,1)))</f>
        <v>5.0000000000000001E-3</v>
      </c>
      <c r="AM33" s="55">
        <f>IF(AM$6&lt;Ass!$I$56,0,INDEX(Ass!$K$74:$K$76,MATCH(AM$6,Ass!$I$74:$I$76,1)))</f>
        <v>5.0000000000000001E-3</v>
      </c>
      <c r="AN33" s="55">
        <f>IF(AN$6&lt;Ass!$I$56,0,INDEX(Ass!$K$74:$K$76,MATCH(AN$6,Ass!$I$74:$I$76,1)))</f>
        <v>5.0000000000000001E-3</v>
      </c>
      <c r="AO33" s="55">
        <f>IF(AO$6&lt;Ass!$I$56,0,INDEX(Ass!$K$74:$K$76,MATCH(AO$6,Ass!$I$74:$I$76,1)))</f>
        <v>5.0000000000000001E-3</v>
      </c>
      <c r="AP33" s="55">
        <f>IF(AP$6&lt;Ass!$I$56,0,INDEX(Ass!$K$74:$K$76,MATCH(AP$6,Ass!$I$74:$I$76,1)))</f>
        <v>5.0000000000000001E-3</v>
      </c>
      <c r="AQ33" s="55">
        <f>IF(AQ$6&lt;Ass!$I$56,0,INDEX(Ass!$K$74:$K$76,MATCH(AQ$6,Ass!$I$74:$I$76,1)))</f>
        <v>5.0000000000000001E-3</v>
      </c>
      <c r="AR33" s="55">
        <f>IF(AR$6&lt;Ass!$I$56,0,INDEX(Ass!$K$74:$K$76,MATCH(AR$6,Ass!$I$74:$I$76,1)))</f>
        <v>5.0000000000000001E-3</v>
      </c>
      <c r="AS33" s="55">
        <f>IF(AS$6&lt;Ass!$I$56,0,INDEX(Ass!$K$74:$K$76,MATCH(AS$6,Ass!$I$74:$I$76,1)))</f>
        <v>5.0000000000000001E-3</v>
      </c>
      <c r="AT33" s="55">
        <f>IF(AT$6&lt;Ass!$I$56,0,INDEX(Ass!$K$74:$K$76,MATCH(AT$6,Ass!$I$74:$I$76,1)))</f>
        <v>5.0000000000000001E-3</v>
      </c>
      <c r="AU33" s="55">
        <f>IF(AU$6&lt;Ass!$I$56,0,INDEX(Ass!$K$74:$K$76,MATCH(AU$6,Ass!$I$74:$I$76,1)))</f>
        <v>5.0000000000000001E-3</v>
      </c>
      <c r="AV33" s="55">
        <f>IF(AV$6&lt;Ass!$I$56,0,INDEX(Ass!$K$74:$K$76,MATCH(AV$6,Ass!$I$74:$I$76,1)))</f>
        <v>5.0000000000000001E-3</v>
      </c>
      <c r="AW33" s="55">
        <f>IF(AW$6&lt;Ass!$I$56,0,INDEX(Ass!$K$74:$K$76,MATCH(AW$6,Ass!$I$74:$I$76,1)))</f>
        <v>5.0000000000000001E-3</v>
      </c>
      <c r="AX33" s="55">
        <f>IF(AX$6&lt;Ass!$I$56,0,INDEX(Ass!$K$74:$K$76,MATCH(AX$6,Ass!$I$74:$I$76,1)))</f>
        <v>5.0000000000000001E-3</v>
      </c>
      <c r="AY33" s="55">
        <f>IF(AY$6&lt;Ass!$I$56,0,INDEX(Ass!$K$74:$K$76,MATCH(AY$6,Ass!$I$74:$I$76,1)))</f>
        <v>5.0000000000000001E-3</v>
      </c>
      <c r="AZ33" s="55">
        <f>IF(AZ$6&lt;Ass!$I$56,0,INDEX(Ass!$K$74:$K$76,MATCH(AZ$6,Ass!$I$74:$I$76,1)))</f>
        <v>5.0000000000000001E-3</v>
      </c>
      <c r="BA33" s="55">
        <f>IF(BA$6&lt;Ass!$I$56,0,INDEX(Ass!$K$74:$K$76,MATCH(BA$6,Ass!$I$74:$I$76,1)))</f>
        <v>5.0000000000000001E-3</v>
      </c>
      <c r="BB33" s="55">
        <f>IF(BB$6&lt;Ass!$I$56,0,INDEX(Ass!$K$74:$K$76,MATCH(BB$6,Ass!$I$74:$I$76,1)))</f>
        <v>5.0000000000000001E-3</v>
      </c>
      <c r="BC33" s="55">
        <f>IF(BC$6&lt;Ass!$I$56,0,INDEX(Ass!$K$74:$K$76,MATCH(BC$6,Ass!$I$74:$I$76,1)))</f>
        <v>5.0000000000000001E-3</v>
      </c>
      <c r="BD33" s="55">
        <f>IF(BD$6&lt;Ass!$I$56,0,INDEX(Ass!$K$74:$K$76,MATCH(BD$6,Ass!$I$74:$I$76,1)))</f>
        <v>5.0000000000000001E-3</v>
      </c>
      <c r="BE33" s="55">
        <f>IF(BE$6&lt;Ass!$I$56,0,INDEX(Ass!$K$74:$K$76,MATCH(BE$6,Ass!$I$74:$I$76,1)))</f>
        <v>5.0000000000000001E-3</v>
      </c>
      <c r="BF33" s="55">
        <f>IF(BF$6&lt;Ass!$I$56,0,INDEX(Ass!$K$74:$K$76,MATCH(BF$6,Ass!$I$74:$I$76,1)))</f>
        <v>5.0000000000000001E-3</v>
      </c>
      <c r="BG33" s="55">
        <f>IF(BG$6&lt;Ass!$I$56,0,INDEX(Ass!$K$74:$K$76,MATCH(BG$6,Ass!$I$74:$I$76,1)))</f>
        <v>5.0000000000000001E-3</v>
      </c>
      <c r="BH33" s="55">
        <f>IF(BH$6&lt;Ass!$I$56,0,INDEX(Ass!$K$74:$K$76,MATCH(BH$6,Ass!$I$74:$I$76,1)))</f>
        <v>5.0000000000000001E-3</v>
      </c>
      <c r="BI33" s="55">
        <f>IF(BI$6&lt;Ass!$I$56,0,INDEX(Ass!$K$74:$K$76,MATCH(BI$6,Ass!$I$74:$I$76,1)))</f>
        <v>5.0000000000000001E-3</v>
      </c>
      <c r="BJ33" s="55">
        <f>IF(BJ$6&lt;Ass!$I$56,0,INDEX(Ass!$K$74:$K$76,MATCH(BJ$6,Ass!$I$74:$I$76,1)))</f>
        <v>5.0000000000000001E-3</v>
      </c>
      <c r="BK33" s="55">
        <f>IF(BK$6&lt;Ass!$I$56,0,INDEX(Ass!$K$74:$K$76,MATCH(BK$6,Ass!$I$74:$I$76,1)))</f>
        <v>5.0000000000000001E-3</v>
      </c>
      <c r="BL33" s="55">
        <f>IF(BL$6&lt;Ass!$I$56,0,INDEX(Ass!$K$74:$K$76,MATCH(BL$6,Ass!$I$74:$I$76,1)))</f>
        <v>5.0000000000000001E-3</v>
      </c>
      <c r="BM33" s="55">
        <f>IF(BM$6&lt;Ass!$I$56,0,INDEX(Ass!$K$74:$K$76,MATCH(BM$6,Ass!$I$74:$I$76,1)))</f>
        <v>5.0000000000000001E-3</v>
      </c>
      <c r="BN33" s="55">
        <f>IF(BN$6&lt;Ass!$I$56,0,INDEX(Ass!$K$74:$K$76,MATCH(BN$6,Ass!$I$74:$I$76,1)))</f>
        <v>5.0000000000000001E-3</v>
      </c>
      <c r="BO33" s="55">
        <f>IF(BO$6&lt;Ass!$I$56,0,INDEX(Ass!$K$74:$K$76,MATCH(BO$6,Ass!$I$74:$I$76,1)))</f>
        <v>5.0000000000000001E-3</v>
      </c>
      <c r="BP33" s="55">
        <f>IF(BP$6&lt;Ass!$I$56,0,INDEX(Ass!$K$74:$K$76,MATCH(BP$6,Ass!$I$74:$I$76,1)))</f>
        <v>5.0000000000000001E-3</v>
      </c>
      <c r="BQ33" s="55">
        <f>IF(BQ$6&lt;Ass!$I$56,0,INDEX(Ass!$K$74:$K$76,MATCH(BQ$6,Ass!$I$74:$I$76,1)))</f>
        <v>5.0000000000000001E-3</v>
      </c>
      <c r="BR33" s="55">
        <f>IF(BR$6&lt;Ass!$I$56,0,INDEX(Ass!$K$74:$K$76,MATCH(BR$6,Ass!$I$74:$I$76,1)))</f>
        <v>5.0000000000000001E-3</v>
      </c>
      <c r="BS33" s="55">
        <f>IF(BS$6&lt;Ass!$I$56,0,INDEX(Ass!$K$74:$K$76,MATCH(BS$6,Ass!$I$74:$I$76,1)))</f>
        <v>5.0000000000000001E-3</v>
      </c>
      <c r="BT33" s="55">
        <f>IF(BT$6&lt;Ass!$I$56,0,INDEX(Ass!$K$74:$K$76,MATCH(BT$6,Ass!$I$74:$I$76,1)))</f>
        <v>5.0000000000000001E-3</v>
      </c>
      <c r="BU33" s="55">
        <f>IF(BU$6&lt;Ass!$I$56,0,INDEX(Ass!$K$74:$K$76,MATCH(BU$6,Ass!$I$74:$I$76,1)))</f>
        <v>5.0000000000000001E-3</v>
      </c>
      <c r="BV33" s="55">
        <f>IF(BV$6&lt;Ass!$I$56,0,INDEX(Ass!$K$74:$K$76,MATCH(BV$6,Ass!$I$74:$I$76,1)))</f>
        <v>5.0000000000000001E-3</v>
      </c>
      <c r="BW33" s="55">
        <f>IF(BW$6&lt;Ass!$I$56,0,INDEX(Ass!$K$74:$K$76,MATCH(BW$6,Ass!$I$74:$I$76,1)))</f>
        <v>5.0000000000000001E-3</v>
      </c>
      <c r="BX33" s="55">
        <f>IF(BX$6&lt;Ass!$I$56,0,INDEX(Ass!$K$74:$K$76,MATCH(BX$6,Ass!$I$74:$I$76,1)))</f>
        <v>5.0000000000000001E-3</v>
      </c>
      <c r="BY33" s="55">
        <f>IF(BY$6&lt;Ass!$I$56,0,INDEX(Ass!$K$74:$K$76,MATCH(BY$6,Ass!$I$74:$I$76,1)))</f>
        <v>5.0000000000000001E-3</v>
      </c>
      <c r="BZ33" s="55">
        <f>IF(BZ$6&lt;Ass!$I$56,0,INDEX(Ass!$K$74:$K$76,MATCH(BZ$6,Ass!$I$74:$I$76,1)))</f>
        <v>5.0000000000000001E-3</v>
      </c>
      <c r="CA33" s="55">
        <f>IF(CA$6&lt;Ass!$I$56,0,INDEX(Ass!$K$74:$K$76,MATCH(CA$6,Ass!$I$74:$I$76,1)))</f>
        <v>5.0000000000000001E-3</v>
      </c>
      <c r="CB33" s="55">
        <f>IF(CB$6&lt;Ass!$I$56,0,INDEX(Ass!$K$74:$K$76,MATCH(CB$6,Ass!$I$74:$I$76,1)))</f>
        <v>5.0000000000000001E-3</v>
      </c>
      <c r="CC33" s="55">
        <f>IF(CC$6&lt;Ass!$I$56,0,INDEX(Ass!$K$74:$K$76,MATCH(CC$6,Ass!$I$74:$I$76,1)))</f>
        <v>5.0000000000000001E-3</v>
      </c>
      <c r="CD33" s="55">
        <f>IF(CD$6&lt;Ass!$I$56,0,INDEX(Ass!$K$74:$K$76,MATCH(CD$6,Ass!$I$74:$I$76,1)))</f>
        <v>5.0000000000000001E-3</v>
      </c>
      <c r="CE33" s="55">
        <f>IF(CE$6&lt;Ass!$I$56,0,INDEX(Ass!$K$74:$K$76,MATCH(CE$6,Ass!$I$74:$I$76,1)))</f>
        <v>5.0000000000000001E-3</v>
      </c>
      <c r="CF33" s="55">
        <f>IF(CF$6&lt;Ass!$I$56,0,INDEX(Ass!$K$74:$K$76,MATCH(CF$6,Ass!$I$74:$I$76,1)))</f>
        <v>5.0000000000000001E-3</v>
      </c>
      <c r="CG33" s="55">
        <f>IF(CG$6&lt;Ass!$I$56,0,INDEX(Ass!$K$74:$K$76,MATCH(CG$6,Ass!$I$74:$I$76,1)))</f>
        <v>5.0000000000000001E-3</v>
      </c>
      <c r="CH33" s="55">
        <f>IF(CH$6&lt;Ass!$I$56,0,INDEX(Ass!$K$74:$K$76,MATCH(CH$6,Ass!$I$74:$I$76,1)))</f>
        <v>5.0000000000000001E-3</v>
      </c>
      <c r="CI33" s="55">
        <f>IF(CI$6&lt;Ass!$I$56,0,INDEX(Ass!$K$74:$K$76,MATCH(CI$6,Ass!$I$74:$I$76,1)))</f>
        <v>5.0000000000000001E-3</v>
      </c>
      <c r="CJ33" s="55">
        <f>IF(CJ$6&lt;Ass!$I$56,0,INDEX(Ass!$K$74:$K$76,MATCH(CJ$6,Ass!$I$74:$I$76,1)))</f>
        <v>5.0000000000000001E-3</v>
      </c>
      <c r="CK33" s="55">
        <f>IF(CK$6&lt;Ass!$I$56,0,INDEX(Ass!$K$74:$K$76,MATCH(CK$6,Ass!$I$74:$I$76,1)))</f>
        <v>5.0000000000000001E-3</v>
      </c>
      <c r="CL33" s="55">
        <f>IF(CL$6&lt;Ass!$I$56,0,INDEX(Ass!$K$74:$K$76,MATCH(CL$6,Ass!$I$74:$I$76,1)))</f>
        <v>5.0000000000000001E-3</v>
      </c>
      <c r="CM33" s="55">
        <f>IF(CM$6&lt;Ass!$I$56,0,INDEX(Ass!$K$74:$K$76,MATCH(CM$6,Ass!$I$74:$I$76,1)))</f>
        <v>5.0000000000000001E-3</v>
      </c>
      <c r="CN33" s="55">
        <f>IF(CN$6&lt;Ass!$I$56,0,INDEX(Ass!$K$74:$K$76,MATCH(CN$6,Ass!$I$74:$I$76,1)))</f>
        <v>5.0000000000000001E-3</v>
      </c>
    </row>
    <row r="34" spans="1:92" ht="12.75" customHeight="1" x14ac:dyDescent="0.3">
      <c r="D34" s="112" t="s">
        <v>262</v>
      </c>
      <c r="H34" s="16" t="s">
        <v>146</v>
      </c>
      <c r="L34" s="73">
        <v>1</v>
      </c>
      <c r="M34" s="74">
        <f t="shared" ref="M34" si="325">L34*(1+M33)</f>
        <v>1</v>
      </c>
      <c r="N34" s="74">
        <f t="shared" ref="N34" si="326">M34*(1+N33)</f>
        <v>1.016</v>
      </c>
      <c r="O34" s="74">
        <f t="shared" ref="O34" si="327">N34*(1+O33)</f>
        <v>1.0322560000000001</v>
      </c>
      <c r="P34" s="74">
        <f t="shared" ref="P34" si="328">O34*(1+P33)</f>
        <v>1.048772096</v>
      </c>
      <c r="Q34" s="74">
        <f t="shared" ref="Q34" si="329">P34*(1+Q33)</f>
        <v>1.065552449536</v>
      </c>
      <c r="R34" s="74">
        <f t="shared" ref="R34" si="330">Q34*(1+R33)</f>
        <v>1.0826012887285761</v>
      </c>
      <c r="S34" s="74">
        <f t="shared" ref="S34" si="331">R34*(1+S33)</f>
        <v>1.0934273016158618</v>
      </c>
      <c r="T34" s="74">
        <f t="shared" ref="T34" si="332">S34*(1+T33)</f>
        <v>1.1043615746320203</v>
      </c>
      <c r="U34" s="74">
        <f t="shared" ref="U34" si="333">T34*(1+U33)</f>
        <v>1.1154051903783406</v>
      </c>
      <c r="V34" s="74">
        <f t="shared" ref="V34" si="334">U34*(1+V33)</f>
        <v>1.126559242282124</v>
      </c>
      <c r="W34" s="74">
        <f t="shared" ref="W34" si="335">V34*(1+W33)</f>
        <v>1.1378248347049453</v>
      </c>
      <c r="X34" s="74">
        <f t="shared" ref="X34" si="336">W34*(1+X33)</f>
        <v>1.1492030830519948</v>
      </c>
      <c r="Y34" s="74">
        <f t="shared" ref="Y34" si="337">X34*(1+Y33)</f>
        <v>1.1606951138825148</v>
      </c>
      <c r="Z34" s="74">
        <f t="shared" ref="Z34" si="338">Y34*(1+Z33)</f>
        <v>1.17230206502134</v>
      </c>
      <c r="AA34" s="74">
        <f t="shared" ref="AA34" si="339">Z34*(1+AA33)</f>
        <v>1.1840250856715535</v>
      </c>
      <c r="AB34" s="74">
        <f t="shared" ref="AB34" si="340">AA34*(1+AB33)</f>
        <v>1.195865336528269</v>
      </c>
      <c r="AC34" s="74">
        <f t="shared" ref="AC34" si="341">AB34*(1+AC33)</f>
        <v>1.2078239898935517</v>
      </c>
      <c r="AD34" s="74">
        <f t="shared" ref="AD34" si="342">AC34*(1+AD33)</f>
        <v>1.2199022297924871</v>
      </c>
      <c r="AE34" s="74">
        <f t="shared" ref="AE34" si="343">AD34*(1+AE33)</f>
        <v>1.232101252090412</v>
      </c>
      <c r="AF34" s="74">
        <f t="shared" ref="AF34" si="344">AE34*(1+AF33)</f>
        <v>1.2444222646113161</v>
      </c>
      <c r="AG34" s="74">
        <f t="shared" ref="AG34" si="345">AF34*(1+AG33)</f>
        <v>1.2506443759343726</v>
      </c>
      <c r="AH34" s="74">
        <f t="shared" ref="AH34" si="346">AG34*(1+AH33)</f>
        <v>1.2568975978140444</v>
      </c>
      <c r="AI34" s="74">
        <f t="shared" ref="AI34" si="347">AH34*(1+AI33)</f>
        <v>1.2631820858031144</v>
      </c>
      <c r="AJ34" s="74">
        <f t="shared" ref="AJ34" si="348">AI34*(1+AJ33)</f>
        <v>1.2694979962321298</v>
      </c>
      <c r="AK34" s="74">
        <f t="shared" ref="AK34" si="349">AJ34*(1+AK33)</f>
        <v>1.2758454862132902</v>
      </c>
      <c r="AL34" s="74">
        <f t="shared" ref="AL34" si="350">AK34*(1+AL33)</f>
        <v>1.2822247136443565</v>
      </c>
      <c r="AM34" s="74">
        <f t="shared" ref="AM34" si="351">AL34*(1+AM33)</f>
        <v>1.2886358372125781</v>
      </c>
      <c r="AN34" s="74">
        <f t="shared" ref="AN34" si="352">AM34*(1+AN33)</f>
        <v>1.295079016398641</v>
      </c>
      <c r="AO34" s="74">
        <f t="shared" ref="AO34" si="353">AN34*(1+AO33)</f>
        <v>1.3015544114806341</v>
      </c>
      <c r="AP34" s="74">
        <f t="shared" ref="AP34" si="354">AO34*(1+AP33)</f>
        <v>1.308062183538037</v>
      </c>
      <c r="AQ34" s="74">
        <f t="shared" ref="AQ34" si="355">AP34*(1+AQ33)</f>
        <v>1.3146024944557271</v>
      </c>
      <c r="AR34" s="74">
        <f t="shared" ref="AR34" si="356">AQ34*(1+AR33)</f>
        <v>1.3211755069280056</v>
      </c>
      <c r="AS34" s="74">
        <f t="shared" ref="AS34" si="357">AR34*(1+AS33)</f>
        <v>1.3277813844626454</v>
      </c>
      <c r="AT34" s="74">
        <f t="shared" ref="AT34" si="358">AS34*(1+AT33)</f>
        <v>1.3344202913849585</v>
      </c>
      <c r="AU34" s="74">
        <f t="shared" ref="AU34" si="359">AT34*(1+AU33)</f>
        <v>1.3410923928418832</v>
      </c>
      <c r="AV34" s="74">
        <f t="shared" ref="AV34" si="360">AU34*(1+AV33)</f>
        <v>1.3477978548060925</v>
      </c>
      <c r="AW34" s="74">
        <f t="shared" ref="AW34" si="361">AV34*(1+AW33)</f>
        <v>1.3545368440801229</v>
      </c>
      <c r="AX34" s="74">
        <f t="shared" ref="AX34" si="362">AW34*(1+AX33)</f>
        <v>1.3613095283005234</v>
      </c>
      <c r="AY34" s="74">
        <f t="shared" ref="AY34" si="363">AX34*(1+AY33)</f>
        <v>1.3681160759420259</v>
      </c>
      <c r="AZ34" s="74">
        <f t="shared" ref="AZ34" si="364">AY34*(1+AZ33)</f>
        <v>1.3749566563217359</v>
      </c>
      <c r="BA34" s="74">
        <f t="shared" ref="BA34" si="365">AZ34*(1+BA33)</f>
        <v>1.3818314396033444</v>
      </c>
      <c r="BB34" s="74">
        <f t="shared" ref="BB34" si="366">BA34*(1+BB33)</f>
        <v>1.3887405968013611</v>
      </c>
      <c r="BC34" s="74">
        <f t="shared" ref="BC34" si="367">BB34*(1+BC33)</f>
        <v>1.3956842997853678</v>
      </c>
      <c r="BD34" s="74">
        <f t="shared" ref="BD34" si="368">BC34*(1+BD33)</f>
        <v>1.4026627212842944</v>
      </c>
      <c r="BE34" s="74">
        <f t="shared" ref="BE34" si="369">BD34*(1+BE33)</f>
        <v>1.4096760348907156</v>
      </c>
      <c r="BF34" s="74">
        <f t="shared" ref="BF34" si="370">BE34*(1+BF33)</f>
        <v>1.416724415065169</v>
      </c>
      <c r="BG34" s="74">
        <f t="shared" ref="BG34" si="371">BF34*(1+BG33)</f>
        <v>1.4238080371404946</v>
      </c>
      <c r="BH34" s="74">
        <f t="shared" ref="BH34" si="372">BG34*(1+BH33)</f>
        <v>1.4309270773261971</v>
      </c>
      <c r="BI34" s="74">
        <f t="shared" ref="BI34" si="373">BH34*(1+BI33)</f>
        <v>1.4380817127128278</v>
      </c>
      <c r="BJ34" s="74">
        <f t="shared" ref="BJ34" si="374">BI34*(1+BJ33)</f>
        <v>1.4452721212763917</v>
      </c>
      <c r="BK34" s="74">
        <f t="shared" ref="BK34" si="375">BJ34*(1+BK33)</f>
        <v>1.4524984818827735</v>
      </c>
      <c r="BL34" s="74">
        <f t="shared" ref="BL34" si="376">BK34*(1+BL33)</f>
        <v>1.4597609742921873</v>
      </c>
      <c r="BM34" s="74">
        <f t="shared" ref="BM34" si="377">BL34*(1+BM33)</f>
        <v>1.4670597791636482</v>
      </c>
      <c r="BN34" s="74">
        <f t="shared" ref="BN34" si="378">BM34*(1+BN33)</f>
        <v>1.4743950780594663</v>
      </c>
      <c r="BO34" s="74">
        <f t="shared" ref="BO34" si="379">BN34*(1+BO33)</f>
        <v>1.4817670534497636</v>
      </c>
      <c r="BP34" s="74">
        <f t="shared" ref="BP34" si="380">BO34*(1+BP33)</f>
        <v>1.4891758887170121</v>
      </c>
      <c r="BQ34" s="74">
        <f t="shared" ref="BQ34" si="381">BP34*(1+BQ33)</f>
        <v>1.4966217681605971</v>
      </c>
      <c r="BR34" s="74">
        <f t="shared" ref="BR34" si="382">BQ34*(1+BR33)</f>
        <v>1.5041048770013998</v>
      </c>
      <c r="BS34" s="74">
        <f t="shared" ref="BS34" si="383">BR34*(1+BS33)</f>
        <v>1.5116254013864068</v>
      </c>
      <c r="BT34" s="74">
        <f t="shared" ref="BT34" si="384">BS34*(1+BT33)</f>
        <v>1.5191835283933386</v>
      </c>
      <c r="BU34" s="74">
        <f t="shared" ref="BU34" si="385">BT34*(1+BU33)</f>
        <v>1.526779446035305</v>
      </c>
      <c r="BV34" s="74">
        <f t="shared" ref="BV34" si="386">BU34*(1+BV33)</f>
        <v>1.5344133432654814</v>
      </c>
      <c r="BW34" s="74">
        <f t="shared" ref="BW34" si="387">BV34*(1+BW33)</f>
        <v>1.5420854099818087</v>
      </c>
      <c r="BX34" s="74">
        <f t="shared" ref="BX34" si="388">BW34*(1+BX33)</f>
        <v>1.5497958370317175</v>
      </c>
      <c r="BY34" s="74">
        <f t="shared" ref="BY34" si="389">BX34*(1+BY33)</f>
        <v>1.5575448162168759</v>
      </c>
      <c r="BZ34" s="74">
        <f t="shared" ref="BZ34" si="390">BY34*(1+BZ33)</f>
        <v>1.5653325402979601</v>
      </c>
      <c r="CA34" s="74">
        <f t="shared" ref="CA34" si="391">BZ34*(1+CA33)</f>
        <v>1.5731592029994497</v>
      </c>
      <c r="CB34" s="74">
        <f t="shared" ref="CB34" si="392">CA34*(1+CB33)</f>
        <v>1.5810249990144467</v>
      </c>
      <c r="CC34" s="74">
        <f t="shared" ref="CC34" si="393">CB34*(1+CC33)</f>
        <v>1.5889301240095188</v>
      </c>
      <c r="CD34" s="74">
        <f t="shared" ref="CD34" si="394">CC34*(1+CD33)</f>
        <v>1.5968747746295662</v>
      </c>
      <c r="CE34" s="74">
        <f t="shared" ref="CE34" si="395">CD34*(1+CE33)</f>
        <v>1.6048591485027139</v>
      </c>
      <c r="CF34" s="74">
        <f t="shared" ref="CF34" si="396">CE34*(1+CF33)</f>
        <v>1.6128834442452273</v>
      </c>
      <c r="CG34" s="74">
        <f t="shared" ref="CG34" si="397">CF34*(1+CG33)</f>
        <v>1.6209478614664532</v>
      </c>
      <c r="CH34" s="74">
        <f t="shared" ref="CH34" si="398">CG34*(1+CH33)</f>
        <v>1.6290526007737853</v>
      </c>
      <c r="CI34" s="74">
        <f t="shared" ref="CI34" si="399">CH34*(1+CI33)</f>
        <v>1.6371978637776541</v>
      </c>
      <c r="CJ34" s="74">
        <f t="shared" ref="CJ34" si="400">CI34*(1+CJ33)</f>
        <v>1.6453838530965421</v>
      </c>
      <c r="CK34" s="74">
        <f t="shared" ref="CK34" si="401">CJ34*(1+CK33)</f>
        <v>1.6536107723620246</v>
      </c>
      <c r="CL34" s="74">
        <f t="shared" ref="CL34" si="402">CK34*(1+CL33)</f>
        <v>1.6618788262238344</v>
      </c>
      <c r="CM34" s="74">
        <f t="shared" ref="CM34" si="403">CL34*(1+CM33)</f>
        <v>1.6701882203549534</v>
      </c>
      <c r="CN34" s="74">
        <f t="shared" ref="CN34" si="404">CM34*(1+CN33)</f>
        <v>1.678539161456728</v>
      </c>
    </row>
    <row r="35" spans="1:92" ht="12.75" customHeight="1" x14ac:dyDescent="0.3">
      <c r="D35" s="15"/>
      <c r="H35" s="1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</row>
    <row r="36" spans="1:92" ht="12.75" customHeight="1" x14ac:dyDescent="0.3">
      <c r="D36" s="75" t="s">
        <v>164</v>
      </c>
      <c r="H36" s="16" t="s">
        <v>147</v>
      </c>
      <c r="L36" s="15">
        <f>--AND(L$7&gt;Ass!$I$12,L$7&lt;=Ass!$I$14)</f>
        <v>0</v>
      </c>
      <c r="M36" s="15">
        <f>--AND(M$7&gt;Ass!$I$12,M$7&lt;=Ass!$I$14)</f>
        <v>1</v>
      </c>
      <c r="N36" s="15">
        <f>--AND(N$7&gt;Ass!$I$12,N$7&lt;=Ass!$I$14)</f>
        <v>1</v>
      </c>
      <c r="O36" s="15">
        <f>--AND(O$7&gt;Ass!$I$12,O$7&lt;=Ass!$I$14)</f>
        <v>1</v>
      </c>
      <c r="P36" s="15">
        <f>--AND(P$7&gt;Ass!$I$12,P$7&lt;=Ass!$I$14)</f>
        <v>1</v>
      </c>
      <c r="Q36" s="15">
        <f>--AND(Q$7&gt;Ass!$I$12,Q$7&lt;=Ass!$I$14)</f>
        <v>1</v>
      </c>
      <c r="R36" s="15">
        <f>--AND(R$7&gt;Ass!$I$12,R$7&lt;=Ass!$I$14)</f>
        <v>1</v>
      </c>
      <c r="S36" s="15">
        <f>--AND(S$7&gt;Ass!$I$12,S$7&lt;=Ass!$I$14)</f>
        <v>1</v>
      </c>
      <c r="T36" s="15">
        <f>--AND(T$7&gt;Ass!$I$12,T$7&lt;=Ass!$I$14)</f>
        <v>1</v>
      </c>
      <c r="U36" s="15">
        <f>--AND(U$7&gt;Ass!$I$12,U$7&lt;=Ass!$I$14)</f>
        <v>1</v>
      </c>
      <c r="V36" s="15">
        <f>--AND(V$7&gt;Ass!$I$12,V$7&lt;=Ass!$I$14)</f>
        <v>1</v>
      </c>
      <c r="W36" s="15">
        <f>--AND(W$7&gt;Ass!$I$12,W$7&lt;=Ass!$I$14)</f>
        <v>1</v>
      </c>
      <c r="X36" s="15">
        <f>--AND(X$7&gt;Ass!$I$12,X$7&lt;=Ass!$I$14)</f>
        <v>1</v>
      </c>
      <c r="Y36" s="15">
        <f>--AND(Y$7&gt;Ass!$I$12,Y$7&lt;=Ass!$I$14)</f>
        <v>1</v>
      </c>
      <c r="Z36" s="15">
        <f>--AND(Z$7&gt;Ass!$I$12,Z$7&lt;=Ass!$I$14)</f>
        <v>1</v>
      </c>
      <c r="AA36" s="15">
        <f>--AND(AA$7&gt;Ass!$I$12,AA$7&lt;=Ass!$I$14)</f>
        <v>1</v>
      </c>
      <c r="AB36" s="15">
        <f>--AND(AB$7&gt;Ass!$I$12,AB$7&lt;=Ass!$I$14)</f>
        <v>1</v>
      </c>
      <c r="AC36" s="15">
        <f>--AND(AC$7&gt;Ass!$I$12,AC$7&lt;=Ass!$I$14)</f>
        <v>1</v>
      </c>
      <c r="AD36" s="15">
        <f>--AND(AD$7&gt;Ass!$I$12,AD$7&lt;=Ass!$I$14)</f>
        <v>1</v>
      </c>
      <c r="AE36" s="15">
        <f>--AND(AE$7&gt;Ass!$I$12,AE$7&lt;=Ass!$I$14)</f>
        <v>1</v>
      </c>
      <c r="AF36" s="15">
        <f>--AND(AF$7&gt;Ass!$I$12,AF$7&lt;=Ass!$I$14)</f>
        <v>1</v>
      </c>
      <c r="AG36" s="15">
        <f>--AND(AG$7&gt;Ass!$I$12,AG$7&lt;=Ass!$I$14)</f>
        <v>1</v>
      </c>
      <c r="AH36" s="15">
        <f>--AND(AH$7&gt;Ass!$I$12,AH$7&lt;=Ass!$I$14)</f>
        <v>1</v>
      </c>
      <c r="AI36" s="15">
        <f>--AND(AI$7&gt;Ass!$I$12,AI$7&lt;=Ass!$I$14)</f>
        <v>1</v>
      </c>
      <c r="AJ36" s="15">
        <f>--AND(AJ$7&gt;Ass!$I$12,AJ$7&lt;=Ass!$I$14)</f>
        <v>1</v>
      </c>
      <c r="AK36" s="15">
        <f>--AND(AK$7&gt;Ass!$I$12,AK$7&lt;=Ass!$I$14)</f>
        <v>1</v>
      </c>
      <c r="AL36" s="15">
        <f>--AND(AL$7&gt;Ass!$I$12,AL$7&lt;=Ass!$I$14)</f>
        <v>1</v>
      </c>
      <c r="AM36" s="15">
        <f>--AND(AM$7&gt;Ass!$I$12,AM$7&lt;=Ass!$I$14)</f>
        <v>1</v>
      </c>
      <c r="AN36" s="15">
        <f>--AND(AN$7&gt;Ass!$I$12,AN$7&lt;=Ass!$I$14)</f>
        <v>1</v>
      </c>
      <c r="AO36" s="15">
        <f>--AND(AO$7&gt;Ass!$I$12,AO$7&lt;=Ass!$I$14)</f>
        <v>1</v>
      </c>
      <c r="AP36" s="15">
        <f>--AND(AP$7&gt;Ass!$I$12,AP$7&lt;=Ass!$I$14)</f>
        <v>1</v>
      </c>
      <c r="AQ36" s="15">
        <f>--AND(AQ$7&gt;Ass!$I$12,AQ$7&lt;=Ass!$I$14)</f>
        <v>1</v>
      </c>
      <c r="AR36" s="15">
        <f>--AND(AR$7&gt;Ass!$I$12,AR$7&lt;=Ass!$I$14)</f>
        <v>1</v>
      </c>
      <c r="AS36" s="15">
        <f>--AND(AS$7&gt;Ass!$I$12,AS$7&lt;=Ass!$I$14)</f>
        <v>1</v>
      </c>
      <c r="AT36" s="15">
        <f>--AND(AT$7&gt;Ass!$I$12,AT$7&lt;=Ass!$I$14)</f>
        <v>1</v>
      </c>
      <c r="AU36" s="15">
        <f>--AND(AU$7&gt;Ass!$I$12,AU$7&lt;=Ass!$I$14)</f>
        <v>1</v>
      </c>
      <c r="AV36" s="15">
        <f>--AND(AV$7&gt;Ass!$I$12,AV$7&lt;=Ass!$I$14)</f>
        <v>1</v>
      </c>
      <c r="AW36" s="15">
        <f>--AND(AW$7&gt;Ass!$I$12,AW$7&lt;=Ass!$I$14)</f>
        <v>1</v>
      </c>
      <c r="AX36" s="15">
        <f>--AND(AX$7&gt;Ass!$I$12,AX$7&lt;=Ass!$I$14)</f>
        <v>1</v>
      </c>
      <c r="AY36" s="15">
        <f>--AND(AY$7&gt;Ass!$I$12,AY$7&lt;=Ass!$I$14)</f>
        <v>1</v>
      </c>
      <c r="AZ36" s="15">
        <f>--AND(AZ$7&gt;Ass!$I$12,AZ$7&lt;=Ass!$I$14)</f>
        <v>1</v>
      </c>
      <c r="BA36" s="15">
        <f>--AND(BA$7&gt;Ass!$I$12,BA$7&lt;=Ass!$I$14)</f>
        <v>1</v>
      </c>
      <c r="BB36" s="15">
        <f>--AND(BB$7&gt;Ass!$I$12,BB$7&lt;=Ass!$I$14)</f>
        <v>1</v>
      </c>
      <c r="BC36" s="15">
        <f>--AND(BC$7&gt;Ass!$I$12,BC$7&lt;=Ass!$I$14)</f>
        <v>1</v>
      </c>
      <c r="BD36" s="15">
        <f>--AND(BD$7&gt;Ass!$I$12,BD$7&lt;=Ass!$I$14)</f>
        <v>1</v>
      </c>
      <c r="BE36" s="15">
        <f>--AND(BE$7&gt;Ass!$I$12,BE$7&lt;=Ass!$I$14)</f>
        <v>1</v>
      </c>
      <c r="BF36" s="15">
        <f>--AND(BF$7&gt;Ass!$I$12,BF$7&lt;=Ass!$I$14)</f>
        <v>1</v>
      </c>
      <c r="BG36" s="15">
        <f>--AND(BG$7&gt;Ass!$I$12,BG$7&lt;=Ass!$I$14)</f>
        <v>1</v>
      </c>
      <c r="BH36" s="15">
        <f>--AND(BH$7&gt;Ass!$I$12,BH$7&lt;=Ass!$I$14)</f>
        <v>1</v>
      </c>
      <c r="BI36" s="15">
        <f>--AND(BI$7&gt;Ass!$I$12,BI$7&lt;=Ass!$I$14)</f>
        <v>1</v>
      </c>
      <c r="BJ36" s="15">
        <f>--AND(BJ$7&gt;Ass!$I$12,BJ$7&lt;=Ass!$I$14)</f>
        <v>1</v>
      </c>
      <c r="BK36" s="15">
        <f>--AND(BK$7&gt;Ass!$I$12,BK$7&lt;=Ass!$I$14)</f>
        <v>1</v>
      </c>
      <c r="BL36" s="15">
        <f>--AND(BL$7&gt;Ass!$I$12,BL$7&lt;=Ass!$I$14)</f>
        <v>1</v>
      </c>
      <c r="BM36" s="15">
        <f>--AND(BM$7&gt;Ass!$I$12,BM$7&lt;=Ass!$I$14)</f>
        <v>1</v>
      </c>
      <c r="BN36" s="15">
        <f>--AND(BN$7&gt;Ass!$I$12,BN$7&lt;=Ass!$I$14)</f>
        <v>1</v>
      </c>
      <c r="BO36" s="15">
        <f>--AND(BO$7&gt;Ass!$I$12,BO$7&lt;=Ass!$I$14)</f>
        <v>1</v>
      </c>
      <c r="BP36" s="15">
        <f>--AND(BP$7&gt;Ass!$I$12,BP$7&lt;=Ass!$I$14)</f>
        <v>1</v>
      </c>
      <c r="BQ36" s="15">
        <f>--AND(BQ$7&gt;Ass!$I$12,BQ$7&lt;=Ass!$I$14)</f>
        <v>1</v>
      </c>
      <c r="BR36" s="15">
        <f>--AND(BR$7&gt;Ass!$I$12,BR$7&lt;=Ass!$I$14)</f>
        <v>1</v>
      </c>
      <c r="BS36" s="15">
        <f>--AND(BS$7&gt;Ass!$I$12,BS$7&lt;=Ass!$I$14)</f>
        <v>1</v>
      </c>
      <c r="BT36" s="15">
        <f>--AND(BT$7&gt;Ass!$I$12,BT$7&lt;=Ass!$I$14)</f>
        <v>1</v>
      </c>
      <c r="BU36" s="15">
        <f>--AND(BU$7&gt;Ass!$I$12,BU$7&lt;=Ass!$I$14)</f>
        <v>1</v>
      </c>
      <c r="BV36" s="15">
        <f>--AND(BV$7&gt;Ass!$I$12,BV$7&lt;=Ass!$I$14)</f>
        <v>1</v>
      </c>
      <c r="BW36" s="15">
        <f>--AND(BW$7&gt;Ass!$I$12,BW$7&lt;=Ass!$I$14)</f>
        <v>1</v>
      </c>
      <c r="BX36" s="15">
        <f>--AND(BX$7&gt;Ass!$I$12,BX$7&lt;=Ass!$I$14)</f>
        <v>1</v>
      </c>
      <c r="BY36" s="15">
        <f>--AND(BY$7&gt;Ass!$I$12,BY$7&lt;=Ass!$I$14)</f>
        <v>1</v>
      </c>
      <c r="BZ36" s="15">
        <f>--AND(BZ$7&gt;Ass!$I$12,BZ$7&lt;=Ass!$I$14)</f>
        <v>1</v>
      </c>
      <c r="CA36" s="15">
        <f>--AND(CA$7&gt;Ass!$I$12,CA$7&lt;=Ass!$I$14)</f>
        <v>1</v>
      </c>
      <c r="CB36" s="15">
        <f>--AND(CB$7&gt;Ass!$I$12,CB$7&lt;=Ass!$I$14)</f>
        <v>1</v>
      </c>
      <c r="CC36" s="15">
        <f>--AND(CC$7&gt;Ass!$I$12,CC$7&lt;=Ass!$I$14)</f>
        <v>1</v>
      </c>
      <c r="CD36" s="15">
        <f>--AND(CD$7&gt;Ass!$I$12,CD$7&lt;=Ass!$I$14)</f>
        <v>1</v>
      </c>
      <c r="CE36" s="15">
        <f>--AND(CE$7&gt;Ass!$I$12,CE$7&lt;=Ass!$I$14)</f>
        <v>1</v>
      </c>
      <c r="CF36" s="15">
        <f>--AND(CF$7&gt;Ass!$I$12,CF$7&lt;=Ass!$I$14)</f>
        <v>1</v>
      </c>
      <c r="CG36" s="15">
        <f>--AND(CG$7&gt;Ass!$I$12,CG$7&lt;=Ass!$I$14)</f>
        <v>1</v>
      </c>
      <c r="CH36" s="15">
        <f>--AND(CH$7&gt;Ass!$I$12,CH$7&lt;=Ass!$I$14)</f>
        <v>1</v>
      </c>
      <c r="CI36" s="15">
        <f>--AND(CI$7&gt;Ass!$I$12,CI$7&lt;=Ass!$I$14)</f>
        <v>1</v>
      </c>
      <c r="CJ36" s="15">
        <f>--AND(CJ$7&gt;Ass!$I$12,CJ$7&lt;=Ass!$I$14)</f>
        <v>1</v>
      </c>
      <c r="CK36" s="15">
        <f>--AND(CK$7&gt;Ass!$I$12,CK$7&lt;=Ass!$I$14)</f>
        <v>1</v>
      </c>
      <c r="CL36" s="15">
        <f>--AND(CL$7&gt;Ass!$I$12,CL$7&lt;=Ass!$I$14)</f>
        <v>1</v>
      </c>
      <c r="CM36" s="15">
        <f>--AND(CM$7&gt;Ass!$I$12,CM$7&lt;=Ass!$I$14)</f>
        <v>1</v>
      </c>
      <c r="CN36" s="15">
        <f>--AND(CN$7&gt;Ass!$I$12,CN$7&lt;=Ass!$I$14)</f>
        <v>1</v>
      </c>
    </row>
    <row r="37" spans="1:92" ht="12.75" customHeight="1" x14ac:dyDescent="0.3">
      <c r="D37" s="15" t="s">
        <v>144</v>
      </c>
      <c r="H37" s="16" t="s">
        <v>147</v>
      </c>
      <c r="L37" s="15">
        <f>--(Ass!$I$14=L$7)</f>
        <v>0</v>
      </c>
      <c r="M37" s="15">
        <f>--(Ass!$I$14=M$7)</f>
        <v>0</v>
      </c>
      <c r="N37" s="15">
        <f>--(Ass!$I$14=N$7)</f>
        <v>0</v>
      </c>
      <c r="O37" s="15">
        <f>--(Ass!$I$14=O$7)</f>
        <v>0</v>
      </c>
      <c r="P37" s="15">
        <f>--(Ass!$I$14=P$7)</f>
        <v>0</v>
      </c>
      <c r="Q37" s="15">
        <f>--(Ass!$I$14=Q$7)</f>
        <v>0</v>
      </c>
      <c r="R37" s="15">
        <f>--(Ass!$I$14=R$7)</f>
        <v>0</v>
      </c>
      <c r="S37" s="15">
        <f>--(Ass!$I$14=S$7)</f>
        <v>0</v>
      </c>
      <c r="T37" s="15">
        <f>--(Ass!$I$14=T$7)</f>
        <v>0</v>
      </c>
      <c r="U37" s="15">
        <f>--(Ass!$I$14=U$7)</f>
        <v>0</v>
      </c>
      <c r="V37" s="15">
        <f>--(Ass!$I$14=V$7)</f>
        <v>0</v>
      </c>
      <c r="W37" s="15">
        <f>--(Ass!$I$14=W$7)</f>
        <v>0</v>
      </c>
      <c r="X37" s="15">
        <f>--(Ass!$I$14=X$7)</f>
        <v>0</v>
      </c>
      <c r="Y37" s="15">
        <f>--(Ass!$I$14=Y$7)</f>
        <v>0</v>
      </c>
      <c r="Z37" s="15">
        <f>--(Ass!$I$14=Z$7)</f>
        <v>0</v>
      </c>
      <c r="AA37" s="15">
        <f>--(Ass!$I$14=AA$7)</f>
        <v>0</v>
      </c>
      <c r="AB37" s="15">
        <f>--(Ass!$I$14=AB$7)</f>
        <v>0</v>
      </c>
      <c r="AC37" s="15">
        <f>--(Ass!$I$14=AC$7)</f>
        <v>0</v>
      </c>
      <c r="AD37" s="15">
        <f>--(Ass!$I$14=AD$7)</f>
        <v>0</v>
      </c>
      <c r="AE37" s="15">
        <f>--(Ass!$I$14=AE$7)</f>
        <v>0</v>
      </c>
      <c r="AF37" s="15">
        <f>--(Ass!$I$14=AF$7)</f>
        <v>0</v>
      </c>
      <c r="AG37" s="15">
        <f>--(Ass!$I$14=AG$7)</f>
        <v>0</v>
      </c>
      <c r="AH37" s="15">
        <f>--(Ass!$I$14=AH$7)</f>
        <v>0</v>
      </c>
      <c r="AI37" s="15">
        <f>--(Ass!$I$14=AI$7)</f>
        <v>0</v>
      </c>
      <c r="AJ37" s="15">
        <f>--(Ass!$I$14=AJ$7)</f>
        <v>0</v>
      </c>
      <c r="AK37" s="15">
        <f>--(Ass!$I$14=AK$7)</f>
        <v>0</v>
      </c>
      <c r="AL37" s="15">
        <f>--(Ass!$I$14=AL$7)</f>
        <v>0</v>
      </c>
      <c r="AM37" s="15">
        <f>--(Ass!$I$14=AM$7)</f>
        <v>0</v>
      </c>
      <c r="AN37" s="15">
        <f>--(Ass!$I$14=AN$7)</f>
        <v>0</v>
      </c>
      <c r="AO37" s="15">
        <f>--(Ass!$I$14=AO$7)</f>
        <v>0</v>
      </c>
      <c r="AP37" s="15">
        <f>--(Ass!$I$14=AP$7)</f>
        <v>0</v>
      </c>
      <c r="AQ37" s="15">
        <f>--(Ass!$I$14=AQ$7)</f>
        <v>0</v>
      </c>
      <c r="AR37" s="15">
        <f>--(Ass!$I$14=AR$7)</f>
        <v>0</v>
      </c>
      <c r="AS37" s="15">
        <f>--(Ass!$I$14=AS$7)</f>
        <v>0</v>
      </c>
      <c r="AT37" s="15">
        <f>--(Ass!$I$14=AT$7)</f>
        <v>0</v>
      </c>
      <c r="AU37" s="15">
        <f>--(Ass!$I$14=AU$7)</f>
        <v>0</v>
      </c>
      <c r="AV37" s="15">
        <f>--(Ass!$I$14=AV$7)</f>
        <v>0</v>
      </c>
      <c r="AW37" s="15">
        <f>--(Ass!$I$14=AW$7)</f>
        <v>0</v>
      </c>
      <c r="AX37" s="15">
        <f>--(Ass!$I$14=AX$7)</f>
        <v>0</v>
      </c>
      <c r="AY37" s="15">
        <f>--(Ass!$I$14=AY$7)</f>
        <v>0</v>
      </c>
      <c r="AZ37" s="15">
        <f>--(Ass!$I$14=AZ$7)</f>
        <v>0</v>
      </c>
      <c r="BA37" s="15">
        <f>--(Ass!$I$14=BA$7)</f>
        <v>0</v>
      </c>
      <c r="BB37" s="15">
        <f>--(Ass!$I$14=BB$7)</f>
        <v>0</v>
      </c>
      <c r="BC37" s="15">
        <f>--(Ass!$I$14=BC$7)</f>
        <v>0</v>
      </c>
      <c r="BD37" s="15">
        <f>--(Ass!$I$14=BD$7)</f>
        <v>0</v>
      </c>
      <c r="BE37" s="15">
        <f>--(Ass!$I$14=BE$7)</f>
        <v>0</v>
      </c>
      <c r="BF37" s="15">
        <f>--(Ass!$I$14=BF$7)</f>
        <v>0</v>
      </c>
      <c r="BG37" s="15">
        <f>--(Ass!$I$14=BG$7)</f>
        <v>0</v>
      </c>
      <c r="BH37" s="15">
        <f>--(Ass!$I$14=BH$7)</f>
        <v>0</v>
      </c>
      <c r="BI37" s="15">
        <f>--(Ass!$I$14=BI$7)</f>
        <v>0</v>
      </c>
      <c r="BJ37" s="15">
        <f>--(Ass!$I$14=BJ$7)</f>
        <v>0</v>
      </c>
      <c r="BK37" s="15">
        <f>--(Ass!$I$14=BK$7)</f>
        <v>0</v>
      </c>
      <c r="BL37" s="15">
        <f>--(Ass!$I$14=BL$7)</f>
        <v>0</v>
      </c>
      <c r="BM37" s="15">
        <f>--(Ass!$I$14=BM$7)</f>
        <v>0</v>
      </c>
      <c r="BN37" s="15">
        <f>--(Ass!$I$14=BN$7)</f>
        <v>0</v>
      </c>
      <c r="BO37" s="15">
        <f>--(Ass!$I$14=BO$7)</f>
        <v>0</v>
      </c>
      <c r="BP37" s="15">
        <f>--(Ass!$I$14=BP$7)</f>
        <v>0</v>
      </c>
      <c r="BQ37" s="15">
        <f>--(Ass!$I$14=BQ$7)</f>
        <v>0</v>
      </c>
      <c r="BR37" s="15">
        <f>--(Ass!$I$14=BR$7)</f>
        <v>0</v>
      </c>
      <c r="BS37" s="15">
        <f>--(Ass!$I$14=BS$7)</f>
        <v>0</v>
      </c>
      <c r="BT37" s="15">
        <f>--(Ass!$I$14=BT$7)</f>
        <v>0</v>
      </c>
      <c r="BU37" s="15">
        <f>--(Ass!$I$14=BU$7)</f>
        <v>0</v>
      </c>
      <c r="BV37" s="15">
        <f>--(Ass!$I$14=BV$7)</f>
        <v>0</v>
      </c>
      <c r="BW37" s="15">
        <f>--(Ass!$I$14=BW$7)</f>
        <v>0</v>
      </c>
      <c r="BX37" s="15">
        <f>--(Ass!$I$14=BX$7)</f>
        <v>0</v>
      </c>
      <c r="BY37" s="15">
        <f>--(Ass!$I$14=BY$7)</f>
        <v>0</v>
      </c>
      <c r="BZ37" s="15">
        <f>--(Ass!$I$14=BZ$7)</f>
        <v>0</v>
      </c>
      <c r="CA37" s="15">
        <f>--(Ass!$I$14=CA$7)</f>
        <v>0</v>
      </c>
      <c r="CB37" s="15">
        <f>--(Ass!$I$14=CB$7)</f>
        <v>0</v>
      </c>
      <c r="CC37" s="15">
        <f>--(Ass!$I$14=CC$7)</f>
        <v>0</v>
      </c>
      <c r="CD37" s="15">
        <f>--(Ass!$I$14=CD$7)</f>
        <v>0</v>
      </c>
      <c r="CE37" s="15">
        <f>--(Ass!$I$14=CE$7)</f>
        <v>0</v>
      </c>
      <c r="CF37" s="15">
        <f>--(Ass!$I$14=CF$7)</f>
        <v>0</v>
      </c>
      <c r="CG37" s="15">
        <f>--(Ass!$I$14=CG$7)</f>
        <v>0</v>
      </c>
      <c r="CH37" s="15">
        <f>--(Ass!$I$14=CH$7)</f>
        <v>0</v>
      </c>
      <c r="CI37" s="15">
        <f>--(Ass!$I$14=CI$7)</f>
        <v>0</v>
      </c>
      <c r="CJ37" s="15">
        <f>--(Ass!$I$14=CJ$7)</f>
        <v>0</v>
      </c>
      <c r="CK37" s="15">
        <f>--(Ass!$I$14=CK$7)</f>
        <v>0</v>
      </c>
      <c r="CL37" s="15">
        <f>--(Ass!$I$14=CL$7)</f>
        <v>0</v>
      </c>
      <c r="CM37" s="15">
        <f>--(Ass!$I$14=CM$7)</f>
        <v>0</v>
      </c>
      <c r="CN37" s="15">
        <f>--(Ass!$I$14=CN$7)</f>
        <v>1</v>
      </c>
    </row>
    <row r="38" spans="1:92" ht="12.75" customHeight="1" x14ac:dyDescent="0.3">
      <c r="D38" s="15" t="s">
        <v>145</v>
      </c>
      <c r="H38" s="16" t="s">
        <v>148</v>
      </c>
      <c r="L38" s="72">
        <v>1</v>
      </c>
      <c r="M38" s="15">
        <f>L38+1</f>
        <v>2</v>
      </c>
      <c r="N38" s="15">
        <f t="shared" ref="N38:S38" si="405">M38+1</f>
        <v>3</v>
      </c>
      <c r="O38" s="15">
        <f t="shared" si="405"/>
        <v>4</v>
      </c>
      <c r="P38" s="15">
        <f t="shared" si="405"/>
        <v>5</v>
      </c>
      <c r="Q38" s="15">
        <f t="shared" si="405"/>
        <v>6</v>
      </c>
      <c r="R38" s="15">
        <f t="shared" si="405"/>
        <v>7</v>
      </c>
      <c r="S38" s="15">
        <f t="shared" si="405"/>
        <v>8</v>
      </c>
      <c r="T38" s="15">
        <f t="shared" ref="T38:CE38" si="406">S38+1</f>
        <v>9</v>
      </c>
      <c r="U38" s="15">
        <f t="shared" si="406"/>
        <v>10</v>
      </c>
      <c r="V38" s="15">
        <f t="shared" si="406"/>
        <v>11</v>
      </c>
      <c r="W38" s="15">
        <f t="shared" si="406"/>
        <v>12</v>
      </c>
      <c r="X38" s="15">
        <f t="shared" si="406"/>
        <v>13</v>
      </c>
      <c r="Y38" s="15">
        <f t="shared" si="406"/>
        <v>14</v>
      </c>
      <c r="Z38" s="15">
        <f t="shared" si="406"/>
        <v>15</v>
      </c>
      <c r="AA38" s="15">
        <f t="shared" si="406"/>
        <v>16</v>
      </c>
      <c r="AB38" s="15">
        <f t="shared" si="406"/>
        <v>17</v>
      </c>
      <c r="AC38" s="15">
        <f t="shared" si="406"/>
        <v>18</v>
      </c>
      <c r="AD38" s="15">
        <f t="shared" si="406"/>
        <v>19</v>
      </c>
      <c r="AE38" s="15">
        <f t="shared" si="406"/>
        <v>20</v>
      </c>
      <c r="AF38" s="15">
        <f t="shared" si="406"/>
        <v>21</v>
      </c>
      <c r="AG38" s="15">
        <f t="shared" si="406"/>
        <v>22</v>
      </c>
      <c r="AH38" s="15">
        <f t="shared" si="406"/>
        <v>23</v>
      </c>
      <c r="AI38" s="15">
        <f t="shared" si="406"/>
        <v>24</v>
      </c>
      <c r="AJ38" s="15">
        <f t="shared" si="406"/>
        <v>25</v>
      </c>
      <c r="AK38" s="15">
        <f t="shared" si="406"/>
        <v>26</v>
      </c>
      <c r="AL38" s="15">
        <f t="shared" si="406"/>
        <v>27</v>
      </c>
      <c r="AM38" s="15">
        <f t="shared" si="406"/>
        <v>28</v>
      </c>
      <c r="AN38" s="15">
        <f t="shared" si="406"/>
        <v>29</v>
      </c>
      <c r="AO38" s="15">
        <f t="shared" si="406"/>
        <v>30</v>
      </c>
      <c r="AP38" s="15">
        <f t="shared" si="406"/>
        <v>31</v>
      </c>
      <c r="AQ38" s="15">
        <f t="shared" si="406"/>
        <v>32</v>
      </c>
      <c r="AR38" s="15">
        <f t="shared" si="406"/>
        <v>33</v>
      </c>
      <c r="AS38" s="15">
        <f t="shared" si="406"/>
        <v>34</v>
      </c>
      <c r="AT38" s="15">
        <f t="shared" si="406"/>
        <v>35</v>
      </c>
      <c r="AU38" s="15">
        <f t="shared" si="406"/>
        <v>36</v>
      </c>
      <c r="AV38" s="15">
        <f t="shared" si="406"/>
        <v>37</v>
      </c>
      <c r="AW38" s="15">
        <f t="shared" si="406"/>
        <v>38</v>
      </c>
      <c r="AX38" s="15">
        <f t="shared" si="406"/>
        <v>39</v>
      </c>
      <c r="AY38" s="15">
        <f t="shared" si="406"/>
        <v>40</v>
      </c>
      <c r="AZ38" s="15">
        <f t="shared" si="406"/>
        <v>41</v>
      </c>
      <c r="BA38" s="15">
        <f t="shared" si="406"/>
        <v>42</v>
      </c>
      <c r="BB38" s="15">
        <f t="shared" si="406"/>
        <v>43</v>
      </c>
      <c r="BC38" s="15">
        <f t="shared" si="406"/>
        <v>44</v>
      </c>
      <c r="BD38" s="15">
        <f t="shared" si="406"/>
        <v>45</v>
      </c>
      <c r="BE38" s="15">
        <f t="shared" si="406"/>
        <v>46</v>
      </c>
      <c r="BF38" s="15">
        <f t="shared" si="406"/>
        <v>47</v>
      </c>
      <c r="BG38" s="15">
        <f t="shared" si="406"/>
        <v>48</v>
      </c>
      <c r="BH38" s="15">
        <f t="shared" si="406"/>
        <v>49</v>
      </c>
      <c r="BI38" s="15">
        <f t="shared" si="406"/>
        <v>50</v>
      </c>
      <c r="BJ38" s="15">
        <f t="shared" si="406"/>
        <v>51</v>
      </c>
      <c r="BK38" s="15">
        <f t="shared" si="406"/>
        <v>52</v>
      </c>
      <c r="BL38" s="15">
        <f t="shared" si="406"/>
        <v>53</v>
      </c>
      <c r="BM38" s="15">
        <f t="shared" si="406"/>
        <v>54</v>
      </c>
      <c r="BN38" s="15">
        <f t="shared" si="406"/>
        <v>55</v>
      </c>
      <c r="BO38" s="15">
        <f t="shared" si="406"/>
        <v>56</v>
      </c>
      <c r="BP38" s="15">
        <f t="shared" si="406"/>
        <v>57</v>
      </c>
      <c r="BQ38" s="15">
        <f t="shared" si="406"/>
        <v>58</v>
      </c>
      <c r="BR38" s="15">
        <f t="shared" si="406"/>
        <v>59</v>
      </c>
      <c r="BS38" s="15">
        <f t="shared" si="406"/>
        <v>60</v>
      </c>
      <c r="BT38" s="15">
        <f t="shared" si="406"/>
        <v>61</v>
      </c>
      <c r="BU38" s="15">
        <f t="shared" si="406"/>
        <v>62</v>
      </c>
      <c r="BV38" s="15">
        <f t="shared" si="406"/>
        <v>63</v>
      </c>
      <c r="BW38" s="15">
        <f t="shared" si="406"/>
        <v>64</v>
      </c>
      <c r="BX38" s="15">
        <f t="shared" si="406"/>
        <v>65</v>
      </c>
      <c r="BY38" s="15">
        <f t="shared" si="406"/>
        <v>66</v>
      </c>
      <c r="BZ38" s="15">
        <f t="shared" si="406"/>
        <v>67</v>
      </c>
      <c r="CA38" s="15">
        <f t="shared" si="406"/>
        <v>68</v>
      </c>
      <c r="CB38" s="15">
        <f t="shared" si="406"/>
        <v>69</v>
      </c>
      <c r="CC38" s="15">
        <f t="shared" si="406"/>
        <v>70</v>
      </c>
      <c r="CD38" s="15">
        <f t="shared" si="406"/>
        <v>71</v>
      </c>
      <c r="CE38" s="15">
        <f t="shared" si="406"/>
        <v>72</v>
      </c>
      <c r="CF38" s="15">
        <f t="shared" ref="CF38:CN38" si="407">CE38+1</f>
        <v>73</v>
      </c>
      <c r="CG38" s="15">
        <f t="shared" si="407"/>
        <v>74</v>
      </c>
      <c r="CH38" s="15">
        <f t="shared" si="407"/>
        <v>75</v>
      </c>
      <c r="CI38" s="15">
        <f t="shared" si="407"/>
        <v>76</v>
      </c>
      <c r="CJ38" s="15">
        <f t="shared" si="407"/>
        <v>77</v>
      </c>
      <c r="CK38" s="15">
        <f t="shared" si="407"/>
        <v>78</v>
      </c>
      <c r="CL38" s="15">
        <f t="shared" si="407"/>
        <v>79</v>
      </c>
      <c r="CM38" s="15">
        <f t="shared" si="407"/>
        <v>80</v>
      </c>
      <c r="CN38" s="15">
        <f t="shared" si="407"/>
        <v>81</v>
      </c>
    </row>
    <row r="39" spans="1:92" ht="12.75" customHeight="1" x14ac:dyDescent="0.3">
      <c r="D39" s="15"/>
      <c r="H39" s="16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92" ht="13.2" x14ac:dyDescent="0.25">
      <c r="A40" s="14">
        <f>MAX(A$3:A39)+0.01</f>
        <v>2.0199999999999996</v>
      </c>
      <c r="B40" s="14"/>
      <c r="C40" s="14" t="s">
        <v>136</v>
      </c>
      <c r="D40" s="20"/>
      <c r="E40" s="14"/>
      <c r="F40" s="14"/>
      <c r="G40" s="14"/>
      <c r="H40" s="5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</row>
    <row r="41" spans="1:92" ht="12.75" customHeight="1" x14ac:dyDescent="0.3">
      <c r="D41" s="15"/>
      <c r="H41" s="16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92" ht="12.75" customHeight="1" x14ac:dyDescent="0.3">
      <c r="C42" s="17" t="s">
        <v>149</v>
      </c>
      <c r="D42" s="15"/>
      <c r="H42" s="16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92" ht="12.75" customHeight="1" x14ac:dyDescent="0.3">
      <c r="D43" s="25" t="s">
        <v>263</v>
      </c>
      <c r="H43" s="16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92" ht="12.75" customHeight="1" x14ac:dyDescent="0.3">
      <c r="D44" s="15" t="s">
        <v>31</v>
      </c>
      <c r="H44" s="16" t="s">
        <v>237</v>
      </c>
      <c r="J44" s="58">
        <f>SUM(L44:CN44)</f>
        <v>3449193.1469857665</v>
      </c>
      <c r="L44" s="15">
        <f>Ass!$I43*L$22*L$36</f>
        <v>0</v>
      </c>
      <c r="M44" s="15">
        <f>Ass!$I43*M$22*M$36</f>
        <v>4000</v>
      </c>
      <c r="N44" s="15">
        <f>Ass!$I43*N$22*N$36</f>
        <v>4320</v>
      </c>
      <c r="O44" s="15">
        <f>Ass!$I43*O$22*O$36</f>
        <v>4665.6000000000004</v>
      </c>
      <c r="P44" s="15">
        <f>Ass!$I43*P$22*P$36</f>
        <v>5038.8480000000009</v>
      </c>
      <c r="Q44" s="15">
        <f>Ass!$I43*Q$22*Q$36</f>
        <v>5441.9558400000014</v>
      </c>
      <c r="R44" s="15">
        <f>Ass!$I43*R$22*R$36</f>
        <v>5877.3123072000017</v>
      </c>
      <c r="S44" s="15">
        <f>Ass!$I43*S$22*S$36</f>
        <v>6229.9510456320022</v>
      </c>
      <c r="T44" s="15">
        <f>Ass!$I43*T$22*T$36</f>
        <v>6603.7481083699222</v>
      </c>
      <c r="U44" s="15">
        <f>Ass!$I43*U$22*U$36</f>
        <v>6999.9729948721179</v>
      </c>
      <c r="V44" s="15">
        <f>Ass!$I43*V$22*V$36</f>
        <v>7419.9713745644449</v>
      </c>
      <c r="W44" s="15">
        <f>Ass!$I43*W$22*W$36</f>
        <v>7865.1696570383119</v>
      </c>
      <c r="X44" s="15">
        <f>Ass!$I43*X$22*X$36</f>
        <v>8337.0798364606107</v>
      </c>
      <c r="Y44" s="15">
        <f>Ass!$I43*Y$22*Y$36</f>
        <v>8837.304626648247</v>
      </c>
      <c r="Z44" s="15">
        <f>Ass!$I43*Z$22*Z$36</f>
        <v>9367.5429042471424</v>
      </c>
      <c r="AA44" s="15">
        <f>Ass!$I43*AA$22*AA$36</f>
        <v>9929.595478501973</v>
      </c>
      <c r="AB44" s="15">
        <f>Ass!$I43*AB$22*AB$36</f>
        <v>10525.371207212092</v>
      </c>
      <c r="AC44" s="15">
        <f>Ass!$I43*AC$22*AC$36</f>
        <v>11156.893479644817</v>
      </c>
      <c r="AD44" s="15">
        <f>Ass!$I43*AD$22*AD$36</f>
        <v>11826.307088423508</v>
      </c>
      <c r="AE44" s="15">
        <f>Ass!$I43*AE$22*AE$36</f>
        <v>12535.885513728919</v>
      </c>
      <c r="AF44" s="15">
        <f>Ass!$I43*AF$22*AF$36</f>
        <v>13288.038644552655</v>
      </c>
      <c r="AG44" s="15">
        <f>Ass!$I43*AG$22*AG$36</f>
        <v>13819.560190334762</v>
      </c>
      <c r="AH44" s="15">
        <f>Ass!$I43*AH$22*AH$36</f>
        <v>14372.342597948153</v>
      </c>
      <c r="AI44" s="15">
        <f>Ass!$I43*AI$22*AI$36</f>
        <v>14947.23630186608</v>
      </c>
      <c r="AJ44" s="15">
        <f>Ass!$I43*AJ$22*AJ$36</f>
        <v>15545.125753940722</v>
      </c>
      <c r="AK44" s="15">
        <f>Ass!$I43*AK$22*AK$36</f>
        <v>16166.930784098351</v>
      </c>
      <c r="AL44" s="15">
        <f>Ass!$I43*AL$22*AL$36</f>
        <v>16813.608015462287</v>
      </c>
      <c r="AM44" s="15">
        <f>Ass!$I43*AM$22*AM$36</f>
        <v>17486.152336080777</v>
      </c>
      <c r="AN44" s="15">
        <f>Ass!$I43*AN$22*AN$36</f>
        <v>18185.598429524009</v>
      </c>
      <c r="AO44" s="15">
        <f>Ass!$I43*AO$22*AO$36</f>
        <v>18913.022366704972</v>
      </c>
      <c r="AP44" s="15">
        <f>Ass!$I43*AP$22*AP$36</f>
        <v>19669.543261373172</v>
      </c>
      <c r="AQ44" s="15">
        <f>Ass!$I43*AQ$22*AQ$36</f>
        <v>20456.324991828096</v>
      </c>
      <c r="AR44" s="15">
        <f>Ass!$I43*AR$22*AR$36</f>
        <v>21274.577991501221</v>
      </c>
      <c r="AS44" s="15">
        <f>Ass!$I43*AS$22*AS$36</f>
        <v>22125.561111161271</v>
      </c>
      <c r="AT44" s="15">
        <f>Ass!$I43*AT$22*AT$36</f>
        <v>23010.583555607725</v>
      </c>
      <c r="AU44" s="15">
        <f>Ass!$I43*AU$22*AU$36</f>
        <v>23931.006897832034</v>
      </c>
      <c r="AV44" s="15">
        <f>Ass!$I43*AV$22*AV$36</f>
        <v>24888.247173745316</v>
      </c>
      <c r="AW44" s="15">
        <f>Ass!$I43*AW$22*AW$36</f>
        <v>25883.777060695131</v>
      </c>
      <c r="AX44" s="15">
        <f>Ass!$I43*AX$22*AX$36</f>
        <v>26919.128143122936</v>
      </c>
      <c r="AY44" s="15">
        <f>Ass!$I43*AY$22*AY$36</f>
        <v>27995.893268847856</v>
      </c>
      <c r="AZ44" s="15">
        <f>Ass!$I43*AZ$22*AZ$36</f>
        <v>29115.728999601772</v>
      </c>
      <c r="BA44" s="15">
        <f>Ass!$I43*BA$22*BA$36</f>
        <v>30280.358159585841</v>
      </c>
      <c r="BB44" s="15">
        <f>Ass!$I43*BB$22*BB$36</f>
        <v>31491.572485969275</v>
      </c>
      <c r="BC44" s="15">
        <f>Ass!$I43*BC$22*BC$36</f>
        <v>32751.235385408043</v>
      </c>
      <c r="BD44" s="15">
        <f>Ass!$I43*BD$22*BD$36</f>
        <v>34061.284800824367</v>
      </c>
      <c r="BE44" s="15">
        <f>Ass!$I43*BE$22*BE$36</f>
        <v>35423.736192857337</v>
      </c>
      <c r="BF44" s="15">
        <f>Ass!$I43*BF$22*BF$36</f>
        <v>36840.685640571639</v>
      </c>
      <c r="BG44" s="15">
        <f>Ass!$I43*BG$22*BG$36</f>
        <v>38314.313066194503</v>
      </c>
      <c r="BH44" s="15">
        <f>Ass!$I43*BH$22*BH$36</f>
        <v>39846.885588842284</v>
      </c>
      <c r="BI44" s="15">
        <f>Ass!$I43*BI$22*BI$36</f>
        <v>41440.761012395975</v>
      </c>
      <c r="BJ44" s="15">
        <f>Ass!$I43*BJ$22*BJ$36</f>
        <v>43098.391452891818</v>
      </c>
      <c r="BK44" s="15">
        <f>Ass!$I43*BK$22*BK$36</f>
        <v>44822.327111007486</v>
      </c>
      <c r="BL44" s="15">
        <f>Ass!$I43*BL$22*BL$36</f>
        <v>46615.220195447793</v>
      </c>
      <c r="BM44" s="15">
        <f>Ass!$I43*BM$22*BM$36</f>
        <v>48479.82900326571</v>
      </c>
      <c r="BN44" s="15">
        <f>Ass!$I43*BN$22*BN$36</f>
        <v>50419.022163396337</v>
      </c>
      <c r="BO44" s="15">
        <f>Ass!$I43*BO$22*BO$36</f>
        <v>52435.783049932194</v>
      </c>
      <c r="BP44" s="15">
        <f>Ass!$I43*BP$22*BP$36</f>
        <v>54533.214371929484</v>
      </c>
      <c r="BQ44" s="15">
        <f>Ass!$I43*BQ$22*BQ$36</f>
        <v>56714.542946806665</v>
      </c>
      <c r="BR44" s="15">
        <f>Ass!$I43*BR$22*BR$36</f>
        <v>58983.12466467893</v>
      </c>
      <c r="BS44" s="15">
        <f>Ass!$I43*BS$22*BS$36</f>
        <v>61342.449651266092</v>
      </c>
      <c r="BT44" s="15">
        <f>Ass!$I43*BT$22*BT$36</f>
        <v>63796.147637316746</v>
      </c>
      <c r="BU44" s="15">
        <f>Ass!$I43*BU$22*BU$36</f>
        <v>66347.993542809418</v>
      </c>
      <c r="BV44" s="15">
        <f>Ass!$I43*BV$22*BV$36</f>
        <v>69001.913284521812</v>
      </c>
      <c r="BW44" s="15">
        <f>Ass!$I43*BW$22*BW$36</f>
        <v>71761.989815902678</v>
      </c>
      <c r="BX44" s="15">
        <f>Ass!$I43*BX$22*BX$36</f>
        <v>74632.469408538789</v>
      </c>
      <c r="BY44" s="15">
        <f>Ass!$I43*BY$22*BY$36</f>
        <v>77617.768184880348</v>
      </c>
      <c r="BZ44" s="15">
        <f>Ass!$I43*BZ$22*BZ$36</f>
        <v>80722.478912275561</v>
      </c>
      <c r="CA44" s="15">
        <f>Ass!$I43*CA$22*CA$36</f>
        <v>83951.378068766586</v>
      </c>
      <c r="CB44" s="15">
        <f>Ass!$I43*CB$22*CB$36</f>
        <v>87309.433191517252</v>
      </c>
      <c r="CC44" s="15">
        <f>Ass!$I43*CC$22*CC$36</f>
        <v>90801.810519177947</v>
      </c>
      <c r="CD44" s="15">
        <f>Ass!$I43*CD$22*CD$36</f>
        <v>94433.882939945062</v>
      </c>
      <c r="CE44" s="15">
        <f>Ass!$I43*CE$22*CE$36</f>
        <v>98211.238257542878</v>
      </c>
      <c r="CF44" s="15">
        <f>Ass!$I43*CF$22*CF$36</f>
        <v>102139.6877878446</v>
      </c>
      <c r="CG44" s="15">
        <f>Ass!$I43*CG$22*CG$36</f>
        <v>106225.27529935839</v>
      </c>
      <c r="CH44" s="15">
        <f>Ass!$I43*CH$22*CH$36</f>
        <v>110474.28631133273</v>
      </c>
      <c r="CI44" s="15">
        <f>Ass!$I43*CI$22*CI$36</f>
        <v>114893.25776378605</v>
      </c>
      <c r="CJ44" s="15">
        <f>Ass!$I43*CJ$22*CJ$36</f>
        <v>119488.9880743375</v>
      </c>
      <c r="CK44" s="15">
        <f>Ass!$I43*CK$22*CK$36</f>
        <v>124268.547597311</v>
      </c>
      <c r="CL44" s="15">
        <f>Ass!$I43*CL$22*CL$36</f>
        <v>129239.28950120344</v>
      </c>
      <c r="CM44" s="15">
        <f>Ass!$I43*CM$22*CM$36</f>
        <v>134408.86108125158</v>
      </c>
      <c r="CN44" s="15">
        <f>Ass!$I43*CN$22*CN$36</f>
        <v>139785.21552450166</v>
      </c>
    </row>
    <row r="45" spans="1:92" ht="12.75" customHeight="1" x14ac:dyDescent="0.3">
      <c r="D45" s="15" t="s">
        <v>32</v>
      </c>
      <c r="H45" s="16" t="s">
        <v>237</v>
      </c>
      <c r="J45" s="58">
        <f>SUM(L45:CN45)</f>
        <v>1675680.233887651</v>
      </c>
      <c r="L45" s="15">
        <f>Ass!$I44*L$26*L$36</f>
        <v>0</v>
      </c>
      <c r="M45" s="15">
        <f>Ass!$I44*M$26*M$36</f>
        <v>25000</v>
      </c>
      <c r="N45" s="15">
        <f>Ass!$I44*N$26*N$36</f>
        <v>24950</v>
      </c>
      <c r="O45" s="15">
        <f>Ass!$I44*O$26*O$36</f>
        <v>24900.1</v>
      </c>
      <c r="P45" s="15">
        <f>Ass!$I44*P$26*P$36</f>
        <v>24850.299800000001</v>
      </c>
      <c r="Q45" s="15">
        <f>Ass!$I44*Q$26*Q$36</f>
        <v>24800.5992004</v>
      </c>
      <c r="R45" s="15">
        <f>Ass!$I44*R$26*R$36</f>
        <v>24750.9980019992</v>
      </c>
      <c r="S45" s="15">
        <f>Ass!$I44*S$26*S$36</f>
        <v>24627.243011989201</v>
      </c>
      <c r="T45" s="15">
        <f>Ass!$I44*T$26*T$36</f>
        <v>24504.106796929256</v>
      </c>
      <c r="U45" s="15">
        <f>Ass!$I44*U$26*U$36</f>
        <v>24381.586262944609</v>
      </c>
      <c r="V45" s="15">
        <f>Ass!$I44*V$26*V$36</f>
        <v>24259.678331629886</v>
      </c>
      <c r="W45" s="15">
        <f>Ass!$I44*W$26*W$36</f>
        <v>24138.379939971735</v>
      </c>
      <c r="X45" s="15">
        <f>Ass!$I44*X$26*X$36</f>
        <v>24017.688040271874</v>
      </c>
      <c r="Y45" s="15">
        <f>Ass!$I44*Y$26*Y$36</f>
        <v>23897.599600070516</v>
      </c>
      <c r="Z45" s="15">
        <f>Ass!$I44*Z$26*Z$36</f>
        <v>23778.111602070163</v>
      </c>
      <c r="AA45" s="15">
        <f>Ass!$I44*AA$26*AA$36</f>
        <v>23659.22104405981</v>
      </c>
      <c r="AB45" s="15">
        <f>Ass!$I44*AB$26*AB$36</f>
        <v>23540.924938839511</v>
      </c>
      <c r="AC45" s="15">
        <f>Ass!$I44*AC$26*AC$36</f>
        <v>23423.220314145314</v>
      </c>
      <c r="AD45" s="15">
        <f>Ass!$I44*AD$26*AD$36</f>
        <v>23306.104212574584</v>
      </c>
      <c r="AE45" s="15">
        <f>Ass!$I44*AE$26*AE$36</f>
        <v>23189.573691511712</v>
      </c>
      <c r="AF45" s="15">
        <f>Ass!$I44*AF$26*AF$36</f>
        <v>23073.625823054153</v>
      </c>
      <c r="AG45" s="15">
        <f>Ass!$I44*AG$26*AG$36</f>
        <v>22958.257693938882</v>
      </c>
      <c r="AH45" s="15">
        <f>Ass!$I44*AH$26*AH$36</f>
        <v>22843.466405469186</v>
      </c>
      <c r="AI45" s="15">
        <f>Ass!$I44*AI$26*AI$36</f>
        <v>22729.249073441839</v>
      </c>
      <c r="AJ45" s="15">
        <f>Ass!$I44*AJ$26*AJ$36</f>
        <v>22615.602828074629</v>
      </c>
      <c r="AK45" s="15">
        <f>Ass!$I44*AK$26*AK$36</f>
        <v>22502.524813934258</v>
      </c>
      <c r="AL45" s="15">
        <f>Ass!$I44*AL$26*AL$36</f>
        <v>22390.012189864585</v>
      </c>
      <c r="AM45" s="15">
        <f>Ass!$I44*AM$26*AM$36</f>
        <v>22278.062128915262</v>
      </c>
      <c r="AN45" s="15">
        <f>Ass!$I44*AN$26*AN$36</f>
        <v>22166.671818270686</v>
      </c>
      <c r="AO45" s="15">
        <f>Ass!$I44*AO$26*AO$36</f>
        <v>22055.838459179333</v>
      </c>
      <c r="AP45" s="15">
        <f>Ass!$I44*AP$26*AP$36</f>
        <v>21945.559266883436</v>
      </c>
      <c r="AQ45" s="15">
        <f>Ass!$I44*AQ$26*AQ$36</f>
        <v>21835.831470549019</v>
      </c>
      <c r="AR45" s="15">
        <f>Ass!$I44*AR$26*AR$36</f>
        <v>21726.652313196275</v>
      </c>
      <c r="AS45" s="15">
        <f>Ass!$I44*AS$26*AS$36</f>
        <v>21618.01905163029</v>
      </c>
      <c r="AT45" s="15">
        <f>Ass!$I44*AT$26*AT$36</f>
        <v>21509.92895637214</v>
      </c>
      <c r="AU45" s="15">
        <f>Ass!$I44*AU$26*AU$36</f>
        <v>21402.379311590281</v>
      </c>
      <c r="AV45" s="15">
        <f>Ass!$I44*AV$26*AV$36</f>
        <v>21295.367415032328</v>
      </c>
      <c r="AW45" s="15">
        <f>Ass!$I44*AW$26*AW$36</f>
        <v>21188.890577957169</v>
      </c>
      <c r="AX45" s="15">
        <f>Ass!$I44*AX$26*AX$36</f>
        <v>21082.946125067381</v>
      </c>
      <c r="AY45" s="15">
        <f>Ass!$I44*AY$26*AY$36</f>
        <v>20977.531394442045</v>
      </c>
      <c r="AZ45" s="15">
        <f>Ass!$I44*AZ$26*AZ$36</f>
        <v>20872.643737469833</v>
      </c>
      <c r="BA45" s="15">
        <f>Ass!$I44*BA$26*BA$36</f>
        <v>20768.280518782485</v>
      </c>
      <c r="BB45" s="15">
        <f>Ass!$I44*BB$26*BB$36</f>
        <v>20664.439116188572</v>
      </c>
      <c r="BC45" s="15">
        <f>Ass!$I44*BC$26*BC$36</f>
        <v>20561.116920607627</v>
      </c>
      <c r="BD45" s="15">
        <f>Ass!$I44*BD$26*BD$36</f>
        <v>20458.31133600459</v>
      </c>
      <c r="BE45" s="15">
        <f>Ass!$I44*BE$26*BE$36</f>
        <v>20356.019779324568</v>
      </c>
      <c r="BF45" s="15">
        <f>Ass!$I44*BF$26*BF$36</f>
        <v>20254.239680427945</v>
      </c>
      <c r="BG45" s="15">
        <f>Ass!$I44*BG$26*BG$36</f>
        <v>20152.968482025804</v>
      </c>
      <c r="BH45" s="15">
        <f>Ass!$I44*BH$26*BH$36</f>
        <v>20052.203639615676</v>
      </c>
      <c r="BI45" s="15">
        <f>Ass!$I44*BI$26*BI$36</f>
        <v>19951.942621417598</v>
      </c>
      <c r="BJ45" s="15">
        <f>Ass!$I44*BJ$26*BJ$36</f>
        <v>19852.182908310508</v>
      </c>
      <c r="BK45" s="15">
        <f>Ass!$I44*BK$26*BK$36</f>
        <v>19752.921993768956</v>
      </c>
      <c r="BL45" s="15">
        <f>Ass!$I44*BL$26*BL$36</f>
        <v>19654.15738380011</v>
      </c>
      <c r="BM45" s="15">
        <f>Ass!$I44*BM$26*BM$36</f>
        <v>19555.886596881111</v>
      </c>
      <c r="BN45" s="15">
        <f>Ass!$I44*BN$26*BN$36</f>
        <v>19458.107163896708</v>
      </c>
      <c r="BO45" s="15">
        <f>Ass!$I44*BO$26*BO$36</f>
        <v>19360.816628077224</v>
      </c>
      <c r="BP45" s="15">
        <f>Ass!$I44*BP$26*BP$36</f>
        <v>19264.012544936839</v>
      </c>
      <c r="BQ45" s="15">
        <f>Ass!$I44*BQ$26*BQ$36</f>
        <v>19167.692482212155</v>
      </c>
      <c r="BR45" s="15">
        <f>Ass!$I44*BR$26*BR$36</f>
        <v>19071.854019801092</v>
      </c>
      <c r="BS45" s="15">
        <f>Ass!$I44*BS$26*BS$36</f>
        <v>18976.494749702088</v>
      </c>
      <c r="BT45" s="15">
        <f>Ass!$I44*BT$26*BT$36</f>
        <v>18881.612275953576</v>
      </c>
      <c r="BU45" s="15">
        <f>Ass!$I44*BU$26*BU$36</f>
        <v>18787.204214573809</v>
      </c>
      <c r="BV45" s="15">
        <f>Ass!$I44*BV$26*BV$36</f>
        <v>18693.268193500939</v>
      </c>
      <c r="BW45" s="15">
        <f>Ass!$I44*BW$26*BW$36</f>
        <v>18599.801852533434</v>
      </c>
      <c r="BX45" s="15">
        <f>Ass!$I44*BX$26*BX$36</f>
        <v>18506.802843270769</v>
      </c>
      <c r="BY45" s="15">
        <f>Ass!$I44*BY$26*BY$36</f>
        <v>18414.268829054414</v>
      </c>
      <c r="BZ45" s="15">
        <f>Ass!$I44*BZ$26*BZ$36</f>
        <v>18322.197484909142</v>
      </c>
      <c r="CA45" s="15">
        <f>Ass!$I44*CA$26*CA$36</f>
        <v>18230.586497484597</v>
      </c>
      <c r="CB45" s="15">
        <f>Ass!$I44*CB$26*CB$36</f>
        <v>18139.433564997173</v>
      </c>
      <c r="CC45" s="15">
        <f>Ass!$I44*CC$26*CC$36</f>
        <v>18048.73639717219</v>
      </c>
      <c r="CD45" s="15">
        <f>Ass!$I44*CD$26*CD$36</f>
        <v>17958.492715186327</v>
      </c>
      <c r="CE45" s="15">
        <f>Ass!$I44*CE$26*CE$36</f>
        <v>17868.700251610397</v>
      </c>
      <c r="CF45" s="15">
        <f>Ass!$I44*CF$26*CF$36</f>
        <v>17779.356750352345</v>
      </c>
      <c r="CG45" s="15">
        <f>Ass!$I44*CG$26*CG$36</f>
        <v>17690.459966600582</v>
      </c>
      <c r="CH45" s="15">
        <f>Ass!$I44*CH$26*CH$36</f>
        <v>17602.007666767578</v>
      </c>
      <c r="CI45" s="15">
        <f>Ass!$I44*CI$26*CI$36</f>
        <v>17513.997628433739</v>
      </c>
      <c r="CJ45" s="15">
        <f>Ass!$I44*CJ$26*CJ$36</f>
        <v>17426.427640291571</v>
      </c>
      <c r="CK45" s="15">
        <f>Ass!$I44*CK$26*CK$36</f>
        <v>17339.295502090114</v>
      </c>
      <c r="CL45" s="15">
        <f>Ass!$I44*CL$26*CL$36</f>
        <v>17252.599024579664</v>
      </c>
      <c r="CM45" s="15">
        <f>Ass!$I44*CM$26*CM$36</f>
        <v>17166.336029456765</v>
      </c>
      <c r="CN45" s="15">
        <f>Ass!$I44*CN$26*CN$36</f>
        <v>17080.504349309482</v>
      </c>
    </row>
    <row r="46" spans="1:92" ht="12.75" customHeight="1" x14ac:dyDescent="0.3">
      <c r="D46" s="15" t="s">
        <v>33</v>
      </c>
      <c r="H46" s="16" t="s">
        <v>237</v>
      </c>
      <c r="J46" s="58">
        <f>SUM(L46:CN46)</f>
        <v>612498.97395055008</v>
      </c>
      <c r="L46" s="15">
        <f>Ass!$I45*L$30*L$36</f>
        <v>0</v>
      </c>
      <c r="M46" s="15">
        <f>Ass!$I45*M$30*M$36</f>
        <v>7000</v>
      </c>
      <c r="N46" s="15">
        <f>Ass!$I45*N$30*N$36</f>
        <v>7028</v>
      </c>
      <c r="O46" s="15">
        <f>Ass!$I45*O$30*O$36</f>
        <v>7056.1120000000001</v>
      </c>
      <c r="P46" s="15">
        <f>Ass!$I45*P$30*P$36</f>
        <v>7084.336448</v>
      </c>
      <c r="Q46" s="15">
        <f>Ass!$I45*Q$30*Q$36</f>
        <v>7112.6737937920007</v>
      </c>
      <c r="R46" s="15">
        <f>Ass!$I45*R$30*R$36</f>
        <v>7141.124488967168</v>
      </c>
      <c r="S46" s="15">
        <f>Ass!$I45*S$30*S$36</f>
        <v>7155.4067379451035</v>
      </c>
      <c r="T46" s="15">
        <f>Ass!$I45*T$30*T$36</f>
        <v>7169.717551420993</v>
      </c>
      <c r="U46" s="15">
        <f>Ass!$I45*U$30*U$36</f>
        <v>7184.0569865238358</v>
      </c>
      <c r="V46" s="15">
        <f>Ass!$I45*V$30*V$36</f>
        <v>7198.4251004968828</v>
      </c>
      <c r="W46" s="15">
        <f>Ass!$I45*W$30*W$36</f>
        <v>7212.8219506978776</v>
      </c>
      <c r="X46" s="15">
        <f>Ass!$I45*X$30*X$36</f>
        <v>7227.2475945992719</v>
      </c>
      <c r="Y46" s="15">
        <f>Ass!$I45*Y$30*Y$36</f>
        <v>7241.7020897884704</v>
      </c>
      <c r="Z46" s="15">
        <f>Ass!$I45*Z$30*Z$36</f>
        <v>7256.185493968047</v>
      </c>
      <c r="AA46" s="15">
        <f>Ass!$I45*AA$30*AA$36</f>
        <v>7270.6978649559833</v>
      </c>
      <c r="AB46" s="15">
        <f>Ass!$I45*AB$30*AB$36</f>
        <v>7285.2392606858957</v>
      </c>
      <c r="AC46" s="15">
        <f>Ass!$I45*AC$30*AC$36</f>
        <v>7299.8097392072668</v>
      </c>
      <c r="AD46" s="15">
        <f>Ass!$I45*AD$30*AD$36</f>
        <v>7314.4093586856807</v>
      </c>
      <c r="AE46" s="15">
        <f>Ass!$I45*AE$30*AE$36</f>
        <v>7329.038177403052</v>
      </c>
      <c r="AF46" s="15">
        <f>Ass!$I45*AF$30*AF$36</f>
        <v>7343.6962537578574</v>
      </c>
      <c r="AG46" s="15">
        <f>Ass!$I45*AG$30*AG$36</f>
        <v>7358.3836462653735</v>
      </c>
      <c r="AH46" s="15">
        <f>Ass!$I45*AH$30*AH$36</f>
        <v>7373.1004135579042</v>
      </c>
      <c r="AI46" s="15">
        <f>Ass!$I45*AI$30*AI$36</f>
        <v>7387.8466143850192</v>
      </c>
      <c r="AJ46" s="15">
        <f>Ass!$I45*AJ$30*AJ$36</f>
        <v>7402.6223076137903</v>
      </c>
      <c r="AK46" s="15">
        <f>Ass!$I45*AK$30*AK$36</f>
        <v>7417.4275522290172</v>
      </c>
      <c r="AL46" s="15">
        <f>Ass!$I45*AL$30*AL$36</f>
        <v>7432.2624073334764</v>
      </c>
      <c r="AM46" s="15">
        <f>Ass!$I45*AM$30*AM$36</f>
        <v>7447.1269321481441</v>
      </c>
      <c r="AN46" s="15">
        <f>Ass!$I45*AN$30*AN$36</f>
        <v>7462.02118601244</v>
      </c>
      <c r="AO46" s="15">
        <f>Ass!$I45*AO$30*AO$36</f>
        <v>7476.9452283844648</v>
      </c>
      <c r="AP46" s="15">
        <f>Ass!$I45*AP$30*AP$36</f>
        <v>7491.8991188412338</v>
      </c>
      <c r="AQ46" s="15">
        <f>Ass!$I45*AQ$30*AQ$36</f>
        <v>7506.8829170789177</v>
      </c>
      <c r="AR46" s="15">
        <f>Ass!$I45*AR$30*AR$36</f>
        <v>7521.8966829130741</v>
      </c>
      <c r="AS46" s="15">
        <f>Ass!$I45*AS$30*AS$36</f>
        <v>7536.9404762789009</v>
      </c>
      <c r="AT46" s="15">
        <f>Ass!$I45*AT$30*AT$36</f>
        <v>7552.0143572314582</v>
      </c>
      <c r="AU46" s="15">
        <f>Ass!$I45*AU$30*AU$36</f>
        <v>7567.1183859459206</v>
      </c>
      <c r="AV46" s="15">
        <f>Ass!$I45*AV$30*AV$36</f>
        <v>7582.2526227178132</v>
      </c>
      <c r="AW46" s="15">
        <f>Ass!$I45*AW$30*AW$36</f>
        <v>7597.4171279632492</v>
      </c>
      <c r="AX46" s="15">
        <f>Ass!$I45*AX$30*AX$36</f>
        <v>7612.6119622191754</v>
      </c>
      <c r="AY46" s="15">
        <f>Ass!$I45*AY$30*AY$36</f>
        <v>7627.8371861436135</v>
      </c>
      <c r="AZ46" s="15">
        <f>Ass!$I45*AZ$30*AZ$36</f>
        <v>7643.0928605159015</v>
      </c>
      <c r="BA46" s="15">
        <f>Ass!$I45*BA$30*BA$36</f>
        <v>7658.3790462369325</v>
      </c>
      <c r="BB46" s="15">
        <f>Ass!$I45*BB$30*BB$36</f>
        <v>7673.6958043294062</v>
      </c>
      <c r="BC46" s="15">
        <f>Ass!$I45*BC$30*BC$36</f>
        <v>7689.0431959380658</v>
      </c>
      <c r="BD46" s="15">
        <f>Ass!$I45*BD$30*BD$36</f>
        <v>7704.4212823299422</v>
      </c>
      <c r="BE46" s="15">
        <f>Ass!$I45*BE$30*BE$36</f>
        <v>7719.8301248946027</v>
      </c>
      <c r="BF46" s="15">
        <f>Ass!$I45*BF$30*BF$36</f>
        <v>7735.2697851443909</v>
      </c>
      <c r="BG46" s="15">
        <f>Ass!$I45*BG$30*BG$36</f>
        <v>7750.7403247146804</v>
      </c>
      <c r="BH46" s="15">
        <f>Ass!$I45*BH$30*BH$36</f>
        <v>7766.2418053641104</v>
      </c>
      <c r="BI46" s="15">
        <f>Ass!$I45*BI$30*BI$36</f>
        <v>7781.7742889748388</v>
      </c>
      <c r="BJ46" s="15">
        <f>Ass!$I45*BJ$30*BJ$36</f>
        <v>7797.3378375527882</v>
      </c>
      <c r="BK46" s="15">
        <f>Ass!$I45*BK$30*BK$36</f>
        <v>7812.9325132278937</v>
      </c>
      <c r="BL46" s="15">
        <f>Ass!$I45*BL$30*BL$36</f>
        <v>7828.5583782543499</v>
      </c>
      <c r="BM46" s="15">
        <f>Ass!$I45*BM$30*BM$36</f>
        <v>7844.2154950108588</v>
      </c>
      <c r="BN46" s="15">
        <f>Ass!$I45*BN$30*BN$36</f>
        <v>7859.9039260008813</v>
      </c>
      <c r="BO46" s="15">
        <f>Ass!$I45*BO$30*BO$36</f>
        <v>7875.6237338528836</v>
      </c>
      <c r="BP46" s="15">
        <f>Ass!$I45*BP$30*BP$36</f>
        <v>7891.3749813205895</v>
      </c>
      <c r="BQ46" s="15">
        <f>Ass!$I45*BQ$30*BQ$36</f>
        <v>7907.1577312832296</v>
      </c>
      <c r="BR46" s="15">
        <f>Ass!$I45*BR$30*BR$36</f>
        <v>7922.9720467457973</v>
      </c>
      <c r="BS46" s="15">
        <f>Ass!$I45*BS$30*BS$36</f>
        <v>7938.8179908392885</v>
      </c>
      <c r="BT46" s="15">
        <f>Ass!$I45*BT$30*BT$36</f>
        <v>7954.6956268209678</v>
      </c>
      <c r="BU46" s="15">
        <f>Ass!$I45*BU$30*BU$36</f>
        <v>7970.6050180746088</v>
      </c>
      <c r="BV46" s="15">
        <f>Ass!$I45*BV$30*BV$36</f>
        <v>7986.5462281107575</v>
      </c>
      <c r="BW46" s="15">
        <f>Ass!$I45*BW$30*BW$36</f>
        <v>8002.5193205669802</v>
      </c>
      <c r="BX46" s="15">
        <f>Ass!$I45*BX$30*BX$36</f>
        <v>8018.5243592081133</v>
      </c>
      <c r="BY46" s="15">
        <f>Ass!$I45*BY$30*BY$36</f>
        <v>8034.5614079265288</v>
      </c>
      <c r="BZ46" s="15">
        <f>Ass!$I45*BZ$30*BZ$36</f>
        <v>8050.6305307423818</v>
      </c>
      <c r="CA46" s="15">
        <f>Ass!$I45*CA$30*CA$36</f>
        <v>8066.7317918038671</v>
      </c>
      <c r="CB46" s="15">
        <f>Ass!$I45*CB$30*CB$36</f>
        <v>8082.8652553874754</v>
      </c>
      <c r="CC46" s="15">
        <f>Ass!$I45*CC$30*CC$36</f>
        <v>8099.03098589825</v>
      </c>
      <c r="CD46" s="15">
        <f>Ass!$I45*CD$30*CD$36</f>
        <v>8115.2290478700461</v>
      </c>
      <c r="CE46" s="15">
        <f>Ass!$I45*CE$30*CE$36</f>
        <v>8131.4595059657868</v>
      </c>
      <c r="CF46" s="15">
        <f>Ass!$I45*CF$30*CF$36</f>
        <v>8147.7224249777182</v>
      </c>
      <c r="CG46" s="15">
        <f>Ass!$I45*CG$30*CG$36</f>
        <v>8164.0178698276732</v>
      </c>
      <c r="CH46" s="15">
        <f>Ass!$I45*CH$30*CH$36</f>
        <v>8180.3459055673293</v>
      </c>
      <c r="CI46" s="15">
        <f>Ass!$I45*CI$30*CI$36</f>
        <v>8196.7065973784629</v>
      </c>
      <c r="CJ46" s="15">
        <f>Ass!$I45*CJ$30*CJ$36</f>
        <v>8213.1000105732201</v>
      </c>
      <c r="CK46" s="15">
        <f>Ass!$I45*CK$30*CK$36</f>
        <v>8229.5262105943675</v>
      </c>
      <c r="CL46" s="15">
        <f>Ass!$I45*CL$30*CL$36</f>
        <v>8245.9852630155565</v>
      </c>
      <c r="CM46" s="15">
        <f>Ass!$I45*CM$30*CM$36</f>
        <v>8262.4772335415873</v>
      </c>
      <c r="CN46" s="15">
        <f>Ass!$I45*CN$30*CN$36</f>
        <v>8279.0021880086697</v>
      </c>
    </row>
    <row r="47" spans="1:92" ht="12.75" customHeight="1" x14ac:dyDescent="0.3">
      <c r="D47" s="15" t="s">
        <v>34</v>
      </c>
      <c r="H47" s="16" t="s">
        <v>237</v>
      </c>
      <c r="J47" s="58">
        <f>SUM(L47:CN47)</f>
        <v>549232.98332175519</v>
      </c>
      <c r="L47" s="15">
        <f>Ass!$I46*L$34*L$36</f>
        <v>0</v>
      </c>
      <c r="M47" s="15">
        <f>Ass!$I46*M$34*M$36</f>
        <v>5000</v>
      </c>
      <c r="N47" s="15">
        <f>Ass!$I46*N$34*N$36</f>
        <v>5080</v>
      </c>
      <c r="O47" s="15">
        <f>Ass!$I46*O$34*O$36</f>
        <v>5161.2800000000007</v>
      </c>
      <c r="P47" s="15">
        <f>Ass!$I46*P$34*P$36</f>
        <v>5243.8604800000003</v>
      </c>
      <c r="Q47" s="15">
        <f>Ass!$I46*Q$34*Q$36</f>
        <v>5327.7622476799997</v>
      </c>
      <c r="R47" s="15">
        <f>Ass!$I46*R$34*R$36</f>
        <v>5413.0064436428802</v>
      </c>
      <c r="S47" s="15">
        <f>Ass!$I46*S$34*S$36</f>
        <v>5467.1365080793084</v>
      </c>
      <c r="T47" s="15">
        <f>Ass!$I46*T$34*T$36</f>
        <v>5521.8078731601017</v>
      </c>
      <c r="U47" s="15">
        <f>Ass!$I46*U$34*U$36</f>
        <v>5577.0259518917028</v>
      </c>
      <c r="V47" s="15">
        <f>Ass!$I46*V$34*V$36</f>
        <v>5632.7962114106203</v>
      </c>
      <c r="W47" s="15">
        <f>Ass!$I46*W$34*W$36</f>
        <v>5689.1241735247268</v>
      </c>
      <c r="X47" s="15">
        <f>Ass!$I46*X$34*X$36</f>
        <v>5746.0154152599744</v>
      </c>
      <c r="Y47" s="15">
        <f>Ass!$I46*Y$34*Y$36</f>
        <v>5803.4755694125743</v>
      </c>
      <c r="Z47" s="15">
        <f>Ass!$I46*Z$34*Z$36</f>
        <v>5861.5103251067003</v>
      </c>
      <c r="AA47" s="15">
        <f>Ass!$I46*AA$34*AA$36</f>
        <v>5920.1254283577673</v>
      </c>
      <c r="AB47" s="15">
        <f>Ass!$I46*AB$34*AB$36</f>
        <v>5979.3266826413446</v>
      </c>
      <c r="AC47" s="15">
        <f>Ass!$I46*AC$34*AC$36</f>
        <v>6039.1199494677585</v>
      </c>
      <c r="AD47" s="15">
        <f>Ass!$I46*AD$34*AD$36</f>
        <v>6099.5111489624351</v>
      </c>
      <c r="AE47" s="15">
        <f>Ass!$I46*AE$34*AE$36</f>
        <v>6160.5062604520599</v>
      </c>
      <c r="AF47" s="15">
        <f>Ass!$I46*AF$34*AF$36</f>
        <v>6222.1113230565807</v>
      </c>
      <c r="AG47" s="15">
        <f>Ass!$I46*AG$34*AG$36</f>
        <v>6253.2218796718635</v>
      </c>
      <c r="AH47" s="15">
        <f>Ass!$I46*AH$34*AH$36</f>
        <v>6284.4879890702223</v>
      </c>
      <c r="AI47" s="15">
        <f>Ass!$I46*AI$34*AI$36</f>
        <v>6315.9104290155719</v>
      </c>
      <c r="AJ47" s="15">
        <f>Ass!$I46*AJ$34*AJ$36</f>
        <v>6347.4899811606492</v>
      </c>
      <c r="AK47" s="15">
        <f>Ass!$I46*AK$34*AK$36</f>
        <v>6379.2274310664507</v>
      </c>
      <c r="AL47" s="15">
        <f>Ass!$I46*AL$34*AL$36</f>
        <v>6411.123568221783</v>
      </c>
      <c r="AM47" s="15">
        <f>Ass!$I46*AM$34*AM$36</f>
        <v>6443.1791860628909</v>
      </c>
      <c r="AN47" s="15">
        <f>Ass!$I46*AN$34*AN$36</f>
        <v>6475.3950819932052</v>
      </c>
      <c r="AO47" s="15">
        <f>Ass!$I46*AO$34*AO$36</f>
        <v>6507.7720574031709</v>
      </c>
      <c r="AP47" s="15">
        <f>Ass!$I46*AP$34*AP$36</f>
        <v>6540.3109176901853</v>
      </c>
      <c r="AQ47" s="15">
        <f>Ass!$I46*AQ$34*AQ$36</f>
        <v>6573.012472278635</v>
      </c>
      <c r="AR47" s="15">
        <f>Ass!$I46*AR$34*AR$36</f>
        <v>6605.877534640028</v>
      </c>
      <c r="AS47" s="15">
        <f>Ass!$I46*AS$34*AS$36</f>
        <v>6638.9069223132265</v>
      </c>
      <c r="AT47" s="15">
        <f>Ass!$I46*AT$34*AT$36</f>
        <v>6672.1014569247927</v>
      </c>
      <c r="AU47" s="15">
        <f>Ass!$I46*AU$34*AU$36</f>
        <v>6705.4619642094158</v>
      </c>
      <c r="AV47" s="15">
        <f>Ass!$I46*AV$34*AV$36</f>
        <v>6738.9892740304622</v>
      </c>
      <c r="AW47" s="15">
        <f>Ass!$I46*AW$34*AW$36</f>
        <v>6772.6842204006143</v>
      </c>
      <c r="AX47" s="15">
        <f>Ass!$I46*AX$34*AX$36</f>
        <v>6806.5476415026169</v>
      </c>
      <c r="AY47" s="15">
        <f>Ass!$I46*AY$34*AY$36</f>
        <v>6840.5803797101298</v>
      </c>
      <c r="AZ47" s="15">
        <f>Ass!$I46*AZ$34*AZ$36</f>
        <v>6874.7832816086793</v>
      </c>
      <c r="BA47" s="15">
        <f>Ass!$I46*BA$34*BA$36</f>
        <v>6909.1571980167218</v>
      </c>
      <c r="BB47" s="15">
        <f>Ass!$I46*BB$34*BB$36</f>
        <v>6943.7029840068053</v>
      </c>
      <c r="BC47" s="15">
        <f>Ass!$I46*BC$34*BC$36</f>
        <v>6978.4214989268394</v>
      </c>
      <c r="BD47" s="15">
        <f>Ass!$I46*BD$34*BD$36</f>
        <v>7013.3136064214723</v>
      </c>
      <c r="BE47" s="15">
        <f>Ass!$I46*BE$34*BE$36</f>
        <v>7048.3801744535776</v>
      </c>
      <c r="BF47" s="15">
        <f>Ass!$I46*BF$34*BF$36</f>
        <v>7083.6220753258449</v>
      </c>
      <c r="BG47" s="15">
        <f>Ass!$I46*BG$34*BG$36</f>
        <v>7119.0401857024735</v>
      </c>
      <c r="BH47" s="15">
        <f>Ass!$I46*BH$34*BH$36</f>
        <v>7154.6353866309855</v>
      </c>
      <c r="BI47" s="15">
        <f>Ass!$I46*BI$34*BI$36</f>
        <v>7190.4085635641386</v>
      </c>
      <c r="BJ47" s="15">
        <f>Ass!$I46*BJ$34*BJ$36</f>
        <v>7226.3606063819589</v>
      </c>
      <c r="BK47" s="15">
        <f>Ass!$I46*BK$34*BK$36</f>
        <v>7262.4924094138678</v>
      </c>
      <c r="BL47" s="15">
        <f>Ass!$I46*BL$34*BL$36</f>
        <v>7298.8048714609367</v>
      </c>
      <c r="BM47" s="15">
        <f>Ass!$I46*BM$34*BM$36</f>
        <v>7335.2988958182405</v>
      </c>
      <c r="BN47" s="15">
        <f>Ass!$I46*BN$34*BN$36</f>
        <v>7371.9753902973316</v>
      </c>
      <c r="BO47" s="15">
        <f>Ass!$I46*BO$34*BO$36</f>
        <v>7408.8352672488181</v>
      </c>
      <c r="BP47" s="15">
        <f>Ass!$I46*BP$34*BP$36</f>
        <v>7445.8794435850605</v>
      </c>
      <c r="BQ47" s="15">
        <f>Ass!$I46*BQ$34*BQ$36</f>
        <v>7483.1088408029855</v>
      </c>
      <c r="BR47" s="15">
        <f>Ass!$I46*BR$34*BR$36</f>
        <v>7520.5243850069992</v>
      </c>
      <c r="BS47" s="15">
        <f>Ass!$I46*BS$34*BS$36</f>
        <v>7558.1270069320335</v>
      </c>
      <c r="BT47" s="15">
        <f>Ass!$I46*BT$34*BT$36</f>
        <v>7595.9176419666928</v>
      </c>
      <c r="BU47" s="15">
        <f>Ass!$I46*BU$34*BU$36</f>
        <v>7633.8972301765252</v>
      </c>
      <c r="BV47" s="15">
        <f>Ass!$I46*BV$34*BV$36</f>
        <v>7672.0667163274074</v>
      </c>
      <c r="BW47" s="15">
        <f>Ass!$I46*BW$34*BW$36</f>
        <v>7710.4270499090435</v>
      </c>
      <c r="BX47" s="15">
        <f>Ass!$I46*BX$34*BX$36</f>
        <v>7748.9791851585878</v>
      </c>
      <c r="BY47" s="15">
        <f>Ass!$I46*BY$34*BY$36</f>
        <v>7787.7240810843796</v>
      </c>
      <c r="BZ47" s="15">
        <f>Ass!$I46*BZ$34*BZ$36</f>
        <v>7826.6627014898004</v>
      </c>
      <c r="CA47" s="15">
        <f>Ass!$I46*CA$34*CA$36</f>
        <v>7865.7960149972487</v>
      </c>
      <c r="CB47" s="15">
        <f>Ass!$I46*CB$34*CB$36</f>
        <v>7905.1249950722331</v>
      </c>
      <c r="CC47" s="15">
        <f>Ass!$I46*CC$34*CC$36</f>
        <v>7944.6506200475942</v>
      </c>
      <c r="CD47" s="15">
        <f>Ass!$I46*CD$34*CD$36</f>
        <v>7984.3738731478306</v>
      </c>
      <c r="CE47" s="15">
        <f>Ass!$I46*CE$34*CE$36</f>
        <v>8024.2957425135701</v>
      </c>
      <c r="CF47" s="15">
        <f>Ass!$I46*CF$34*CF$36</f>
        <v>8064.4172212261365</v>
      </c>
      <c r="CG47" s="15">
        <f>Ass!$I46*CG$34*CG$36</f>
        <v>8104.7393073322664</v>
      </c>
      <c r="CH47" s="15">
        <f>Ass!$I46*CH$34*CH$36</f>
        <v>8145.2630038689267</v>
      </c>
      <c r="CI47" s="15">
        <f>Ass!$I46*CI$34*CI$36</f>
        <v>8185.9893188882706</v>
      </c>
      <c r="CJ47" s="15">
        <f>Ass!$I46*CJ$34*CJ$36</f>
        <v>8226.9192654827111</v>
      </c>
      <c r="CK47" s="15">
        <f>Ass!$I46*CK$34*CK$36</f>
        <v>8268.0538618101236</v>
      </c>
      <c r="CL47" s="15">
        <f>Ass!$I46*CL$34*CL$36</f>
        <v>8309.394131119172</v>
      </c>
      <c r="CM47" s="15">
        <f>Ass!$I46*CM$34*CM$36</f>
        <v>8350.9411017747661</v>
      </c>
      <c r="CN47" s="15">
        <f>Ass!$I46*CN$34*CN$36</f>
        <v>8392.6958072836405</v>
      </c>
    </row>
    <row r="48" spans="1:92" ht="12.75" customHeight="1" x14ac:dyDescent="0.3">
      <c r="D48" s="50" t="s">
        <v>104</v>
      </c>
      <c r="H48" s="16" t="s">
        <v>237</v>
      </c>
      <c r="J48" s="59">
        <f>SUM(L48:CN48)</f>
        <v>6286605.3381457208</v>
      </c>
      <c r="L48" s="50">
        <f>SUM(L44:L47)</f>
        <v>0</v>
      </c>
      <c r="M48" s="50">
        <f t="shared" ref="M48:R48" si="408">SUM(M44:M47)</f>
        <v>41000</v>
      </c>
      <c r="N48" s="50">
        <f t="shared" si="408"/>
        <v>41378</v>
      </c>
      <c r="O48" s="50">
        <f t="shared" si="408"/>
        <v>41783.091999999997</v>
      </c>
      <c r="P48" s="50">
        <f t="shared" si="408"/>
        <v>42217.344728000004</v>
      </c>
      <c r="Q48" s="50">
        <f t="shared" si="408"/>
        <v>42682.991081872009</v>
      </c>
      <c r="R48" s="50">
        <f t="shared" si="408"/>
        <v>43182.441241809247</v>
      </c>
      <c r="S48" s="50">
        <f t="shared" ref="S48" si="409">SUM(S44:S47)</f>
        <v>43479.737303645619</v>
      </c>
      <c r="T48" s="50">
        <f t="shared" ref="T48" si="410">SUM(T44:T47)</f>
        <v>43799.380329880281</v>
      </c>
      <c r="U48" s="50">
        <f t="shared" ref="U48" si="411">SUM(U44:U47)</f>
        <v>44142.642196232264</v>
      </c>
      <c r="V48" s="50">
        <f t="shared" ref="V48" si="412">SUM(V44:V47)</f>
        <v>44510.871018101832</v>
      </c>
      <c r="W48" s="50">
        <f t="shared" ref="W48" si="413">SUM(W44:W47)</f>
        <v>44905.495721232648</v>
      </c>
      <c r="X48" s="50">
        <f t="shared" ref="X48" si="414">SUM(X44:X47)</f>
        <v>45328.030886591725</v>
      </c>
      <c r="Y48" s="50">
        <f t="shared" ref="Y48" si="415">SUM(Y44:Y47)</f>
        <v>45780.081885919804</v>
      </c>
      <c r="Z48" s="50">
        <f t="shared" ref="Z48" si="416">SUM(Z44:Z47)</f>
        <v>46263.35032539205</v>
      </c>
      <c r="AA48" s="50">
        <f t="shared" ref="AA48" si="417">SUM(AA44:AA47)</f>
        <v>46779.639815875533</v>
      </c>
      <c r="AB48" s="50">
        <f t="shared" ref="AB48" si="418">SUM(AB44:AB47)</f>
        <v>47330.862089378847</v>
      </c>
      <c r="AC48" s="50">
        <f t="shared" ref="AC48" si="419">SUM(AC44:AC47)</f>
        <v>47919.043482465153</v>
      </c>
      <c r="AD48" s="50">
        <f t="shared" ref="AD48" si="420">SUM(AD44:AD47)</f>
        <v>48546.33180864621</v>
      </c>
      <c r="AE48" s="50">
        <f t="shared" ref="AE48" si="421">SUM(AE44:AE47)</f>
        <v>49215.003643095741</v>
      </c>
      <c r="AF48" s="50">
        <f t="shared" ref="AF48" si="422">SUM(AF44:AF47)</f>
        <v>49927.472044421251</v>
      </c>
      <c r="AG48" s="50">
        <f t="shared" ref="AG48" si="423">SUM(AG44:AG47)</f>
        <v>50389.423410210882</v>
      </c>
      <c r="AH48" s="50">
        <f t="shared" ref="AH48" si="424">SUM(AH44:AH47)</f>
        <v>50873.397406045464</v>
      </c>
      <c r="AI48" s="50">
        <f t="shared" ref="AI48" si="425">SUM(AI44:AI47)</f>
        <v>51380.242418708513</v>
      </c>
      <c r="AJ48" s="50">
        <f t="shared" ref="AJ48" si="426">SUM(AJ44:AJ47)</f>
        <v>51910.840870789791</v>
      </c>
      <c r="AK48" s="50">
        <f t="shared" ref="AK48" si="427">SUM(AK44:AK47)</f>
        <v>52466.110581328081</v>
      </c>
      <c r="AL48" s="50">
        <f t="shared" ref="AL48" si="428">SUM(AL44:AL47)</f>
        <v>53047.006180882127</v>
      </c>
      <c r="AM48" s="50">
        <f t="shared" ref="AM48" si="429">SUM(AM44:AM47)</f>
        <v>53654.520583207079</v>
      </c>
      <c r="AN48" s="50">
        <f t="shared" ref="AN48" si="430">SUM(AN44:AN47)</f>
        <v>54289.686515800342</v>
      </c>
      <c r="AO48" s="50">
        <f t="shared" ref="AO48" si="431">SUM(AO44:AO47)</f>
        <v>54953.578111671937</v>
      </c>
      <c r="AP48" s="50">
        <f t="shared" ref="AP48" si="432">SUM(AP44:AP47)</f>
        <v>55647.31256478803</v>
      </c>
      <c r="AQ48" s="50">
        <f t="shared" ref="AQ48" si="433">SUM(AQ44:AQ47)</f>
        <v>56372.051851734665</v>
      </c>
      <c r="AR48" s="50">
        <f t="shared" ref="AR48" si="434">SUM(AR44:AR47)</f>
        <v>57129.004522250601</v>
      </c>
      <c r="AS48" s="50">
        <f t="shared" ref="AS48" si="435">SUM(AS44:AS47)</f>
        <v>57919.427561383687</v>
      </c>
      <c r="AT48" s="50">
        <f t="shared" ref="AT48" si="436">SUM(AT44:AT47)</f>
        <v>58744.62832613611</v>
      </c>
      <c r="AU48" s="50">
        <f t="shared" ref="AU48" si="437">SUM(AU44:AU47)</f>
        <v>59605.966559577653</v>
      </c>
      <c r="AV48" s="50">
        <f t="shared" ref="AV48" si="438">SUM(AV44:AV47)</f>
        <v>60504.856485525917</v>
      </c>
      <c r="AW48" s="50">
        <f t="shared" ref="AW48" si="439">SUM(AW44:AW47)</f>
        <v>61442.76898701617</v>
      </c>
      <c r="AX48" s="50">
        <f t="shared" ref="AX48" si="440">SUM(AX44:AX47)</f>
        <v>62421.233871912118</v>
      </c>
      <c r="AY48" s="50">
        <f t="shared" ref="AY48" si="441">SUM(AY44:AY47)</f>
        <v>63441.842229143651</v>
      </c>
      <c r="AZ48" s="50">
        <f t="shared" ref="AZ48" si="442">SUM(AZ44:AZ47)</f>
        <v>64506.248879196188</v>
      </c>
      <c r="BA48" s="50">
        <f t="shared" ref="BA48" si="443">SUM(BA44:BA47)</f>
        <v>65616.174922621984</v>
      </c>
      <c r="BB48" s="50">
        <f t="shared" ref="BB48" si="444">SUM(BB44:BB47)</f>
        <v>66773.410390494057</v>
      </c>
      <c r="BC48" s="50">
        <f t="shared" ref="BC48" si="445">SUM(BC44:BC47)</f>
        <v>67979.817000880576</v>
      </c>
      <c r="BD48" s="50">
        <f t="shared" ref="BD48" si="446">SUM(BD44:BD47)</f>
        <v>69237.331025580381</v>
      </c>
      <c r="BE48" s="50">
        <f t="shared" ref="BE48" si="447">SUM(BE44:BE47)</f>
        <v>70547.96627153008</v>
      </c>
      <c r="BF48" s="50">
        <f t="shared" ref="BF48" si="448">SUM(BF44:BF47)</f>
        <v>71913.817181469814</v>
      </c>
      <c r="BG48" s="50">
        <f t="shared" ref="BG48" si="449">SUM(BG44:BG47)</f>
        <v>73337.062058637457</v>
      </c>
      <c r="BH48" s="50">
        <f t="shared" ref="BH48" si="450">SUM(BH44:BH47)</f>
        <v>74819.966420453056</v>
      </c>
      <c r="BI48" s="50">
        <f t="shared" ref="BI48" si="451">SUM(BI44:BI47)</f>
        <v>76364.886486352552</v>
      </c>
      <c r="BJ48" s="50">
        <f t="shared" ref="BJ48" si="452">SUM(BJ44:BJ47)</f>
        <v>77974.272805137065</v>
      </c>
      <c r="BK48" s="50">
        <f t="shared" ref="BK48" si="453">SUM(BK44:BK47)</f>
        <v>79650.674027418208</v>
      </c>
      <c r="BL48" s="50">
        <f t="shared" ref="BL48" si="454">SUM(BL44:BL47)</f>
        <v>81396.740828963186</v>
      </c>
      <c r="BM48" s="50">
        <f t="shared" ref="BM48" si="455">SUM(BM44:BM47)</f>
        <v>83215.229990975917</v>
      </c>
      <c r="BN48" s="50">
        <f t="shared" ref="BN48" si="456">SUM(BN44:BN47)</f>
        <v>85109.008643591267</v>
      </c>
      <c r="BO48" s="50">
        <f t="shared" ref="BO48" si="457">SUM(BO44:BO47)</f>
        <v>87081.058679111127</v>
      </c>
      <c r="BP48" s="50">
        <f t="shared" ref="BP48" si="458">SUM(BP44:BP47)</f>
        <v>89134.481341771971</v>
      </c>
      <c r="BQ48" s="50">
        <f t="shared" ref="BQ48" si="459">SUM(BQ44:BQ47)</f>
        <v>91272.502001105036</v>
      </c>
      <c r="BR48" s="50">
        <f t="shared" ref="BR48" si="460">SUM(BR44:BR47)</f>
        <v>93498.475116232818</v>
      </c>
      <c r="BS48" s="50">
        <f t="shared" ref="BS48" si="461">SUM(BS44:BS47)</f>
        <v>95815.889398739499</v>
      </c>
      <c r="BT48" s="50">
        <f t="shared" ref="BT48" si="462">SUM(BT44:BT47)</f>
        <v>98228.373182057971</v>
      </c>
      <c r="BU48" s="50">
        <f t="shared" ref="BU48" si="463">SUM(BU44:BU47)</f>
        <v>100739.70000563437</v>
      </c>
      <c r="BV48" s="50">
        <f t="shared" ref="BV48" si="464">SUM(BV44:BV47)</f>
        <v>103353.79442246091</v>
      </c>
      <c r="BW48" s="50">
        <f t="shared" ref="BW48" si="465">SUM(BW44:BW47)</f>
        <v>106074.73803891214</v>
      </c>
      <c r="BX48" s="50">
        <f t="shared" ref="BX48" si="466">SUM(BX44:BX47)</f>
        <v>108906.77579617625</v>
      </c>
      <c r="BY48" s="50">
        <f t="shared" ref="BY48" si="467">SUM(BY44:BY47)</f>
        <v>111854.32250294568</v>
      </c>
      <c r="BZ48" s="50">
        <f t="shared" ref="BZ48" si="468">SUM(BZ44:BZ47)</f>
        <v>114921.96962941687</v>
      </c>
      <c r="CA48" s="50">
        <f t="shared" ref="CA48" si="469">SUM(CA44:CA47)</f>
        <v>118114.49237305229</v>
      </c>
      <c r="CB48" s="50">
        <f t="shared" ref="CB48" si="470">SUM(CB44:CB47)</f>
        <v>121436.85700697413</v>
      </c>
      <c r="CC48" s="50">
        <f t="shared" ref="CC48" si="471">SUM(CC44:CC47)</f>
        <v>124894.22852229599</v>
      </c>
      <c r="CD48" s="50">
        <f t="shared" ref="CD48" si="472">SUM(CD44:CD47)</f>
        <v>128491.97857614927</v>
      </c>
      <c r="CE48" s="50">
        <f t="shared" ref="CE48" si="473">SUM(CE44:CE47)</f>
        <v>132235.69375763263</v>
      </c>
      <c r="CF48" s="50">
        <f t="shared" ref="CF48" si="474">SUM(CF44:CF47)</f>
        <v>136131.1841844008</v>
      </c>
      <c r="CG48" s="50">
        <f t="shared" ref="CG48" si="475">SUM(CG44:CG47)</f>
        <v>140184.49244311891</v>
      </c>
      <c r="CH48" s="50">
        <f t="shared" ref="CH48" si="476">SUM(CH44:CH47)</f>
        <v>144401.90288753656</v>
      </c>
      <c r="CI48" s="50">
        <f t="shared" ref="CI48" si="477">SUM(CI44:CI47)</f>
        <v>148789.95130848652</v>
      </c>
      <c r="CJ48" s="50">
        <f t="shared" ref="CJ48" si="478">SUM(CJ44:CJ47)</f>
        <v>153355.434990685</v>
      </c>
      <c r="CK48" s="50">
        <f t="shared" ref="CK48" si="479">SUM(CK44:CK47)</f>
        <v>158105.4231718056</v>
      </c>
      <c r="CL48" s="50">
        <f t="shared" ref="CL48" si="480">SUM(CL44:CL47)</f>
        <v>163047.26791991782</v>
      </c>
      <c r="CM48" s="50">
        <f t="shared" ref="CM48" si="481">SUM(CM44:CM47)</f>
        <v>168188.61544602469</v>
      </c>
      <c r="CN48" s="50">
        <f t="shared" ref="CN48" si="482">SUM(CN44:CN47)</f>
        <v>173537.41786910343</v>
      </c>
    </row>
    <row r="49" spans="4:92" ht="12.75" customHeight="1" x14ac:dyDescent="0.3">
      <c r="D49" s="15"/>
      <c r="H49" s="16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</row>
    <row r="50" spans="4:92" ht="12.75" customHeight="1" x14ac:dyDescent="0.3">
      <c r="D50" s="25" t="s">
        <v>150</v>
      </c>
      <c r="H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</row>
    <row r="51" spans="4:92" ht="12.75" customHeight="1" x14ac:dyDescent="0.3">
      <c r="D51" s="15" t="s">
        <v>31</v>
      </c>
      <c r="H51" s="16" t="s">
        <v>151</v>
      </c>
      <c r="J51" s="58">
        <f>SUM(L51:CN51)</f>
        <v>315075964.4144454</v>
      </c>
      <c r="L51" s="15">
        <f t="shared" ref="L51:AQ51" si="483">L44*L$12</f>
        <v>0</v>
      </c>
      <c r="M51" s="15">
        <f t="shared" si="483"/>
        <v>360000</v>
      </c>
      <c r="N51" s="15">
        <f t="shared" si="483"/>
        <v>393120</v>
      </c>
      <c r="O51" s="15">
        <f t="shared" si="483"/>
        <v>429235.20000000001</v>
      </c>
      <c r="P51" s="15">
        <f t="shared" si="483"/>
        <v>463574.01600000006</v>
      </c>
      <c r="Q51" s="15">
        <f t="shared" si="483"/>
        <v>489776.02560000011</v>
      </c>
      <c r="R51" s="15">
        <f t="shared" si="483"/>
        <v>534835.41995520017</v>
      </c>
      <c r="S51" s="15">
        <f t="shared" si="483"/>
        <v>573155.49619814416</v>
      </c>
      <c r="T51" s="15">
        <f t="shared" si="483"/>
        <v>607544.82597003283</v>
      </c>
      <c r="U51" s="15">
        <f t="shared" si="483"/>
        <v>636997.54253336275</v>
      </c>
      <c r="V51" s="15">
        <f t="shared" si="483"/>
        <v>675217.39508536446</v>
      </c>
      <c r="W51" s="15">
        <f t="shared" si="483"/>
        <v>723595.60844752472</v>
      </c>
      <c r="X51" s="15">
        <f t="shared" si="483"/>
        <v>767011.34495437623</v>
      </c>
      <c r="Y51" s="15">
        <f t="shared" si="483"/>
        <v>795357.41639834223</v>
      </c>
      <c r="Z51" s="15">
        <f t="shared" si="483"/>
        <v>852446.40428648994</v>
      </c>
      <c r="AA51" s="15">
        <f t="shared" si="483"/>
        <v>913522.78402218153</v>
      </c>
      <c r="AB51" s="15">
        <f t="shared" si="483"/>
        <v>968334.15106351255</v>
      </c>
      <c r="AC51" s="15">
        <f t="shared" si="483"/>
        <v>1004120.4131680336</v>
      </c>
      <c r="AD51" s="15">
        <f t="shared" si="483"/>
        <v>1076193.9450465392</v>
      </c>
      <c r="AE51" s="15">
        <f t="shared" si="483"/>
        <v>1153301.4672630606</v>
      </c>
      <c r="AF51" s="15">
        <f t="shared" si="483"/>
        <v>1222499.5552988441</v>
      </c>
      <c r="AG51" s="15">
        <f t="shared" si="483"/>
        <v>1243760.4171301285</v>
      </c>
      <c r="AH51" s="15">
        <f t="shared" si="483"/>
        <v>1307883.1764132818</v>
      </c>
      <c r="AI51" s="15">
        <f t="shared" si="483"/>
        <v>1375145.7397716793</v>
      </c>
      <c r="AJ51" s="15">
        <f t="shared" si="483"/>
        <v>1430151.5693625463</v>
      </c>
      <c r="AK51" s="15">
        <f t="shared" si="483"/>
        <v>1471190.70135295</v>
      </c>
      <c r="AL51" s="15">
        <f t="shared" si="483"/>
        <v>1530038.3294070682</v>
      </c>
      <c r="AM51" s="15">
        <f t="shared" si="483"/>
        <v>1608726.0149194314</v>
      </c>
      <c r="AN51" s="15">
        <f t="shared" si="483"/>
        <v>1673075.0555162088</v>
      </c>
      <c r="AO51" s="15">
        <f t="shared" si="483"/>
        <v>1702172.0130034476</v>
      </c>
      <c r="AP51" s="15">
        <f t="shared" si="483"/>
        <v>1789928.4367849587</v>
      </c>
      <c r="AQ51" s="15">
        <f t="shared" si="483"/>
        <v>1881981.8992481849</v>
      </c>
      <c r="AR51" s="15">
        <f t="shared" ref="AR51:BW51" si="484">AR44*AR$12</f>
        <v>1957261.1752181123</v>
      </c>
      <c r="AS51" s="15">
        <f t="shared" si="484"/>
        <v>1991300.5000045144</v>
      </c>
      <c r="AT51" s="15">
        <f t="shared" si="484"/>
        <v>2093963.1035603031</v>
      </c>
      <c r="AU51" s="15">
        <f t="shared" si="484"/>
        <v>2201652.6346005471</v>
      </c>
      <c r="AV51" s="15">
        <f t="shared" si="484"/>
        <v>2289718.7399845691</v>
      </c>
      <c r="AW51" s="15">
        <f t="shared" si="484"/>
        <v>2329539.9354625619</v>
      </c>
      <c r="AX51" s="15">
        <f t="shared" si="484"/>
        <v>2449640.6610241872</v>
      </c>
      <c r="AY51" s="15">
        <f t="shared" si="484"/>
        <v>2575622.180734003</v>
      </c>
      <c r="AZ51" s="15">
        <f t="shared" si="484"/>
        <v>2678647.0679633631</v>
      </c>
      <c r="BA51" s="15">
        <f t="shared" si="484"/>
        <v>2755512.5925223115</v>
      </c>
      <c r="BB51" s="15">
        <f t="shared" si="484"/>
        <v>2865733.0962232039</v>
      </c>
      <c r="BC51" s="15">
        <f t="shared" si="484"/>
        <v>3013113.6554575399</v>
      </c>
      <c r="BD51" s="15">
        <f t="shared" si="484"/>
        <v>3133638.2016758416</v>
      </c>
      <c r="BE51" s="15">
        <f t="shared" si="484"/>
        <v>3188136.2573571606</v>
      </c>
      <c r="BF51" s="15">
        <f t="shared" si="484"/>
        <v>3352502.3932920191</v>
      </c>
      <c r="BG51" s="15">
        <f t="shared" si="484"/>
        <v>3524916.8020898942</v>
      </c>
      <c r="BH51" s="15">
        <f t="shared" si="484"/>
        <v>3665913.47417349</v>
      </c>
      <c r="BI51" s="15">
        <f t="shared" si="484"/>
        <v>3729668.4911156376</v>
      </c>
      <c r="BJ51" s="15">
        <f t="shared" si="484"/>
        <v>3921953.6222131555</v>
      </c>
      <c r="BK51" s="15">
        <f t="shared" si="484"/>
        <v>4123654.0942126885</v>
      </c>
      <c r="BL51" s="15">
        <f t="shared" si="484"/>
        <v>4288600.257981197</v>
      </c>
      <c r="BM51" s="15">
        <f t="shared" si="484"/>
        <v>4363184.6102939136</v>
      </c>
      <c r="BN51" s="15">
        <f t="shared" si="484"/>
        <v>4588131.0168690663</v>
      </c>
      <c r="BO51" s="15">
        <f t="shared" si="484"/>
        <v>4824092.040593762</v>
      </c>
      <c r="BP51" s="15">
        <f t="shared" si="484"/>
        <v>5017055.7222175123</v>
      </c>
      <c r="BQ51" s="15">
        <f t="shared" si="484"/>
        <v>5161023.4081594069</v>
      </c>
      <c r="BR51" s="15">
        <f t="shared" si="484"/>
        <v>5367464.344485783</v>
      </c>
      <c r="BS51" s="15">
        <f t="shared" si="484"/>
        <v>5643505.3679164806</v>
      </c>
      <c r="BT51" s="15">
        <f t="shared" si="484"/>
        <v>5869245.5826331405</v>
      </c>
      <c r="BU51" s="15">
        <f t="shared" si="484"/>
        <v>5971319.418852848</v>
      </c>
      <c r="BV51" s="15">
        <f t="shared" si="484"/>
        <v>6279174.1088914853</v>
      </c>
      <c r="BW51" s="15">
        <f t="shared" si="484"/>
        <v>6602103.063063046</v>
      </c>
      <c r="BX51" s="15">
        <f t="shared" ref="BX51:CN51" si="485">BX44*BX$12</f>
        <v>6866187.1855855687</v>
      </c>
      <c r="BY51" s="15">
        <f t="shared" si="485"/>
        <v>6985599.1366392309</v>
      </c>
      <c r="BZ51" s="15">
        <f t="shared" si="485"/>
        <v>7345745.581017076</v>
      </c>
      <c r="CA51" s="15">
        <f t="shared" si="485"/>
        <v>7723526.782326526</v>
      </c>
      <c r="CB51" s="15">
        <f t="shared" si="485"/>
        <v>8032467.8536195867</v>
      </c>
      <c r="CC51" s="15">
        <f t="shared" si="485"/>
        <v>8172162.9467260148</v>
      </c>
      <c r="CD51" s="15">
        <f t="shared" si="485"/>
        <v>8593483.3475350011</v>
      </c>
      <c r="CE51" s="15">
        <f t="shared" si="485"/>
        <v>9035433.919693945</v>
      </c>
      <c r="CF51" s="15">
        <f t="shared" si="485"/>
        <v>9396851.2764817029</v>
      </c>
      <c r="CG51" s="15">
        <f t="shared" si="485"/>
        <v>9666500.0522416122</v>
      </c>
      <c r="CH51" s="15">
        <f t="shared" si="485"/>
        <v>10053160.054331278</v>
      </c>
      <c r="CI51" s="15">
        <f t="shared" si="485"/>
        <v>10570179.714268317</v>
      </c>
      <c r="CJ51" s="15">
        <f t="shared" si="485"/>
        <v>10992986.90283905</v>
      </c>
      <c r="CK51" s="15">
        <f t="shared" si="485"/>
        <v>11184169.28375799</v>
      </c>
      <c r="CL51" s="15">
        <f t="shared" si="485"/>
        <v>11760775.344609514</v>
      </c>
      <c r="CM51" s="15">
        <f t="shared" si="485"/>
        <v>12365615.219475146</v>
      </c>
      <c r="CN51" s="15">
        <f t="shared" si="485"/>
        <v>12860239.828254152</v>
      </c>
    </row>
    <row r="52" spans="4:92" ht="12.75" customHeight="1" x14ac:dyDescent="0.3">
      <c r="D52" s="15" t="s">
        <v>32</v>
      </c>
      <c r="H52" s="16" t="s">
        <v>151</v>
      </c>
      <c r="J52" s="58">
        <f>SUM(L52:CN52)</f>
        <v>153003333.22287822</v>
      </c>
      <c r="L52" s="15">
        <f t="shared" ref="L52:AQ52" si="486">L45*L$12</f>
        <v>0</v>
      </c>
      <c r="M52" s="15">
        <f t="shared" si="486"/>
        <v>2250000</v>
      </c>
      <c r="N52" s="15">
        <f t="shared" si="486"/>
        <v>2270450</v>
      </c>
      <c r="O52" s="15">
        <f t="shared" si="486"/>
        <v>2290809.1999999997</v>
      </c>
      <c r="P52" s="15">
        <f t="shared" si="486"/>
        <v>2286227.5816000002</v>
      </c>
      <c r="Q52" s="15">
        <f t="shared" si="486"/>
        <v>2232053.9280360001</v>
      </c>
      <c r="R52" s="15">
        <f t="shared" si="486"/>
        <v>2252340.8181819273</v>
      </c>
      <c r="S52" s="15">
        <f t="shared" si="486"/>
        <v>2265706.3571030064</v>
      </c>
      <c r="T52" s="15">
        <f t="shared" si="486"/>
        <v>2254377.8253174918</v>
      </c>
      <c r="U52" s="15">
        <f t="shared" si="486"/>
        <v>2218724.3499279595</v>
      </c>
      <c r="V52" s="15">
        <f t="shared" si="486"/>
        <v>2207630.7281783195</v>
      </c>
      <c r="W52" s="15">
        <f t="shared" si="486"/>
        <v>2220730.9544773996</v>
      </c>
      <c r="X52" s="15">
        <f t="shared" si="486"/>
        <v>2209627.2997050122</v>
      </c>
      <c r="Y52" s="15">
        <f t="shared" si="486"/>
        <v>2150783.9640063467</v>
      </c>
      <c r="Z52" s="15">
        <f t="shared" si="486"/>
        <v>2163808.1557883848</v>
      </c>
      <c r="AA52" s="15">
        <f t="shared" si="486"/>
        <v>2176648.3360535027</v>
      </c>
      <c r="AB52" s="15">
        <f t="shared" si="486"/>
        <v>2165765.094373235</v>
      </c>
      <c r="AC52" s="15">
        <f t="shared" si="486"/>
        <v>2108089.8282730784</v>
      </c>
      <c r="AD52" s="15">
        <f t="shared" si="486"/>
        <v>2120855.4833442871</v>
      </c>
      <c r="AE52" s="15">
        <f t="shared" si="486"/>
        <v>2133440.7796190777</v>
      </c>
      <c r="AF52" s="15">
        <f t="shared" si="486"/>
        <v>2122773.5757209822</v>
      </c>
      <c r="AG52" s="15">
        <f t="shared" si="486"/>
        <v>2066243.1924544994</v>
      </c>
      <c r="AH52" s="15">
        <f t="shared" si="486"/>
        <v>2078755.4428976958</v>
      </c>
      <c r="AI52" s="15">
        <f t="shared" si="486"/>
        <v>2091090.9147566492</v>
      </c>
      <c r="AJ52" s="15">
        <f t="shared" si="486"/>
        <v>2080635.4601828658</v>
      </c>
      <c r="AK52" s="15">
        <f t="shared" si="486"/>
        <v>2047729.7580680174</v>
      </c>
      <c r="AL52" s="15">
        <f t="shared" si="486"/>
        <v>2037491.1092776773</v>
      </c>
      <c r="AM52" s="15">
        <f t="shared" si="486"/>
        <v>2049581.7158602041</v>
      </c>
      <c r="AN52" s="15">
        <f t="shared" si="486"/>
        <v>2039333.8072809032</v>
      </c>
      <c r="AO52" s="15">
        <f t="shared" si="486"/>
        <v>1985025.46132614</v>
      </c>
      <c r="AP52" s="15">
        <f t="shared" si="486"/>
        <v>1997045.8932863928</v>
      </c>
      <c r="AQ52" s="15">
        <f t="shared" si="486"/>
        <v>2008896.4952905099</v>
      </c>
      <c r="AR52" s="15">
        <f t="shared" ref="AR52:BW52" si="487">AR45*AR$12</f>
        <v>1998852.0128140573</v>
      </c>
      <c r="AS52" s="15">
        <f t="shared" si="487"/>
        <v>1945621.7146467261</v>
      </c>
      <c r="AT52" s="15">
        <f t="shared" si="487"/>
        <v>1957403.5350298646</v>
      </c>
      <c r="AU52" s="15">
        <f t="shared" si="487"/>
        <v>1969018.8966663058</v>
      </c>
      <c r="AV52" s="15">
        <f t="shared" si="487"/>
        <v>1959173.8021829741</v>
      </c>
      <c r="AW52" s="15">
        <f t="shared" si="487"/>
        <v>1907000.1520161452</v>
      </c>
      <c r="AX52" s="15">
        <f t="shared" si="487"/>
        <v>1918548.0973811317</v>
      </c>
      <c r="AY52" s="15">
        <f t="shared" si="487"/>
        <v>1929932.8882886681</v>
      </c>
      <c r="AZ52" s="15">
        <f t="shared" si="487"/>
        <v>1920283.2238472246</v>
      </c>
      <c r="BA52" s="15">
        <f t="shared" si="487"/>
        <v>1889913.5272092063</v>
      </c>
      <c r="BB52" s="15">
        <f t="shared" si="487"/>
        <v>1880463.9595731602</v>
      </c>
      <c r="BC52" s="15">
        <f t="shared" si="487"/>
        <v>1891622.7566959017</v>
      </c>
      <c r="BD52" s="15">
        <f t="shared" si="487"/>
        <v>1882164.6429124223</v>
      </c>
      <c r="BE52" s="15">
        <f t="shared" si="487"/>
        <v>1832041.7801392111</v>
      </c>
      <c r="BF52" s="15">
        <f t="shared" si="487"/>
        <v>1843135.810918943</v>
      </c>
      <c r="BG52" s="15">
        <f t="shared" si="487"/>
        <v>1854073.1003463741</v>
      </c>
      <c r="BH52" s="15">
        <f t="shared" si="487"/>
        <v>1844802.7348446422</v>
      </c>
      <c r="BI52" s="15">
        <f t="shared" si="487"/>
        <v>1795674.8359275837</v>
      </c>
      <c r="BJ52" s="15">
        <f t="shared" si="487"/>
        <v>1806548.6446562563</v>
      </c>
      <c r="BK52" s="15">
        <f t="shared" si="487"/>
        <v>1817268.823426744</v>
      </c>
      <c r="BL52" s="15">
        <f t="shared" si="487"/>
        <v>1808182.4793096101</v>
      </c>
      <c r="BM52" s="15">
        <f t="shared" si="487"/>
        <v>1760029.7937193001</v>
      </c>
      <c r="BN52" s="15">
        <f t="shared" si="487"/>
        <v>1770687.7519146004</v>
      </c>
      <c r="BO52" s="15">
        <f t="shared" si="487"/>
        <v>1781195.1297831046</v>
      </c>
      <c r="BP52" s="15">
        <f t="shared" si="487"/>
        <v>1772289.1541341892</v>
      </c>
      <c r="BQ52" s="15">
        <f t="shared" si="487"/>
        <v>1744260.015881306</v>
      </c>
      <c r="BR52" s="15">
        <f t="shared" si="487"/>
        <v>1735538.7158018993</v>
      </c>
      <c r="BS52" s="15">
        <f t="shared" si="487"/>
        <v>1745837.5169725921</v>
      </c>
      <c r="BT52" s="15">
        <f t="shared" si="487"/>
        <v>1737108.3293877291</v>
      </c>
      <c r="BU52" s="15">
        <f t="shared" si="487"/>
        <v>1690848.3793116428</v>
      </c>
      <c r="BV52" s="15">
        <f t="shared" si="487"/>
        <v>1701087.4056085853</v>
      </c>
      <c r="BW52" s="15">
        <f t="shared" si="487"/>
        <v>1711181.770433076</v>
      </c>
      <c r="BX52" s="15">
        <f t="shared" ref="BX52:CN52" si="488">BX45*BX$12</f>
        <v>1702625.8615809106</v>
      </c>
      <c r="BY52" s="15">
        <f t="shared" si="488"/>
        <v>1657284.1946148972</v>
      </c>
      <c r="BZ52" s="15">
        <f t="shared" si="488"/>
        <v>1667319.971126732</v>
      </c>
      <c r="CA52" s="15">
        <f t="shared" si="488"/>
        <v>1677213.957768583</v>
      </c>
      <c r="CB52" s="15">
        <f t="shared" si="488"/>
        <v>1668827.8879797398</v>
      </c>
      <c r="CC52" s="15">
        <f t="shared" si="488"/>
        <v>1624386.2757454971</v>
      </c>
      <c r="CD52" s="15">
        <f t="shared" si="488"/>
        <v>1634222.8370819557</v>
      </c>
      <c r="CE52" s="15">
        <f t="shared" si="488"/>
        <v>1643920.4231481566</v>
      </c>
      <c r="CF52" s="15">
        <f t="shared" si="488"/>
        <v>1635700.8210324156</v>
      </c>
      <c r="CG52" s="15">
        <f t="shared" si="488"/>
        <v>1609831.8569606529</v>
      </c>
      <c r="CH52" s="15">
        <f t="shared" si="488"/>
        <v>1601782.6976758495</v>
      </c>
      <c r="CI52" s="15">
        <f t="shared" si="488"/>
        <v>1611287.781815904</v>
      </c>
      <c r="CJ52" s="15">
        <f t="shared" si="488"/>
        <v>1603231.3429068245</v>
      </c>
      <c r="CK52" s="15">
        <f t="shared" si="488"/>
        <v>1560536.5951881101</v>
      </c>
      <c r="CL52" s="15">
        <f t="shared" si="488"/>
        <v>1569986.5112367494</v>
      </c>
      <c r="CM52" s="15">
        <f t="shared" si="488"/>
        <v>1579302.9147100223</v>
      </c>
      <c r="CN52" s="15">
        <f t="shared" si="488"/>
        <v>1571406.4001364724</v>
      </c>
    </row>
    <row r="53" spans="4:92" ht="12.75" customHeight="1" x14ac:dyDescent="0.3">
      <c r="D53" s="15" t="s">
        <v>33</v>
      </c>
      <c r="H53" s="16" t="s">
        <v>151</v>
      </c>
      <c r="J53" s="58">
        <f>SUM(L53:CN53)</f>
        <v>55929999.783922046</v>
      </c>
      <c r="L53" s="15">
        <f t="shared" ref="L53:AQ53" si="489">L46*L$12</f>
        <v>0</v>
      </c>
      <c r="M53" s="15">
        <f t="shared" si="489"/>
        <v>630000</v>
      </c>
      <c r="N53" s="15">
        <f t="shared" si="489"/>
        <v>639548</v>
      </c>
      <c r="O53" s="15">
        <f t="shared" si="489"/>
        <v>649162.304</v>
      </c>
      <c r="P53" s="15">
        <f t="shared" si="489"/>
        <v>651758.95321599999</v>
      </c>
      <c r="Q53" s="15">
        <f t="shared" si="489"/>
        <v>640140.64144128002</v>
      </c>
      <c r="R53" s="15">
        <f t="shared" si="489"/>
        <v>649842.32849601225</v>
      </c>
      <c r="S53" s="15">
        <f t="shared" si="489"/>
        <v>658297.4198909495</v>
      </c>
      <c r="T53" s="15">
        <f t="shared" si="489"/>
        <v>659614.01473073137</v>
      </c>
      <c r="U53" s="15">
        <f t="shared" si="489"/>
        <v>653749.18577366904</v>
      </c>
      <c r="V53" s="15">
        <f t="shared" si="489"/>
        <v>655056.68414521636</v>
      </c>
      <c r="W53" s="15">
        <f t="shared" si="489"/>
        <v>663579.61946420476</v>
      </c>
      <c r="X53" s="15">
        <f t="shared" si="489"/>
        <v>664906.77870313299</v>
      </c>
      <c r="Y53" s="15">
        <f t="shared" si="489"/>
        <v>651753.18808096228</v>
      </c>
      <c r="Z53" s="15">
        <f t="shared" si="489"/>
        <v>660312.8799510923</v>
      </c>
      <c r="AA53" s="15">
        <f t="shared" si="489"/>
        <v>668904.20357595047</v>
      </c>
      <c r="AB53" s="15">
        <f t="shared" si="489"/>
        <v>670242.01198310242</v>
      </c>
      <c r="AC53" s="15">
        <f t="shared" si="489"/>
        <v>656982.87652865401</v>
      </c>
      <c r="AD53" s="15">
        <f t="shared" si="489"/>
        <v>665611.25164039689</v>
      </c>
      <c r="AE53" s="15">
        <f t="shared" si="489"/>
        <v>674271.51232108078</v>
      </c>
      <c r="AF53" s="15">
        <f t="shared" si="489"/>
        <v>675620.05534572294</v>
      </c>
      <c r="AG53" s="15">
        <f t="shared" si="489"/>
        <v>662254.5281638836</v>
      </c>
      <c r="AH53" s="15">
        <f t="shared" si="489"/>
        <v>670952.13763376931</v>
      </c>
      <c r="AI53" s="15">
        <f t="shared" si="489"/>
        <v>679681.88852342172</v>
      </c>
      <c r="AJ53" s="15">
        <f t="shared" si="489"/>
        <v>681041.25230046874</v>
      </c>
      <c r="AK53" s="15">
        <f t="shared" si="489"/>
        <v>674985.90725284058</v>
      </c>
      <c r="AL53" s="15">
        <f t="shared" si="489"/>
        <v>676335.87906734634</v>
      </c>
      <c r="AM53" s="15">
        <f t="shared" si="489"/>
        <v>685135.67775762931</v>
      </c>
      <c r="AN53" s="15">
        <f t="shared" si="489"/>
        <v>686505.94911314454</v>
      </c>
      <c r="AO53" s="15">
        <f t="shared" si="489"/>
        <v>672925.07055460184</v>
      </c>
      <c r="AP53" s="15">
        <f t="shared" si="489"/>
        <v>681762.81981455232</v>
      </c>
      <c r="AQ53" s="15">
        <f t="shared" si="489"/>
        <v>690633.22837126045</v>
      </c>
      <c r="AR53" s="15">
        <f t="shared" ref="AR53:BW53" si="490">AR46*AR$12</f>
        <v>692014.49482800276</v>
      </c>
      <c r="AS53" s="15">
        <f t="shared" si="490"/>
        <v>678324.64286510111</v>
      </c>
      <c r="AT53" s="15">
        <f t="shared" si="490"/>
        <v>687233.30650806276</v>
      </c>
      <c r="AU53" s="15">
        <f t="shared" si="490"/>
        <v>696174.89150702464</v>
      </c>
      <c r="AV53" s="15">
        <f t="shared" si="490"/>
        <v>697567.2412900388</v>
      </c>
      <c r="AW53" s="15">
        <f t="shared" si="490"/>
        <v>683767.54151669238</v>
      </c>
      <c r="AX53" s="15">
        <f t="shared" si="490"/>
        <v>692747.68856194499</v>
      </c>
      <c r="AY53" s="15">
        <f t="shared" si="490"/>
        <v>701761.02112521243</v>
      </c>
      <c r="AZ53" s="15">
        <f t="shared" si="490"/>
        <v>703164.54316746292</v>
      </c>
      <c r="BA53" s="15">
        <f t="shared" si="490"/>
        <v>696912.49320756085</v>
      </c>
      <c r="BB53" s="15">
        <f t="shared" si="490"/>
        <v>698306.31819397595</v>
      </c>
      <c r="BC53" s="15">
        <f t="shared" si="490"/>
        <v>707391.97402630211</v>
      </c>
      <c r="BD53" s="15">
        <f t="shared" si="490"/>
        <v>708806.75797435467</v>
      </c>
      <c r="BE53" s="15">
        <f t="shared" si="490"/>
        <v>694784.7112405143</v>
      </c>
      <c r="BF53" s="15">
        <f t="shared" si="490"/>
        <v>703909.55044813955</v>
      </c>
      <c r="BG53" s="15">
        <f t="shared" si="490"/>
        <v>713068.1098737506</v>
      </c>
      <c r="BH53" s="15">
        <f t="shared" si="490"/>
        <v>714494.24609349819</v>
      </c>
      <c r="BI53" s="15">
        <f t="shared" si="490"/>
        <v>700359.68600773544</v>
      </c>
      <c r="BJ53" s="15">
        <f t="shared" si="490"/>
        <v>709557.74321730377</v>
      </c>
      <c r="BK53" s="15">
        <f t="shared" si="490"/>
        <v>718789.79121696623</v>
      </c>
      <c r="BL53" s="15">
        <f t="shared" si="490"/>
        <v>720227.37079940015</v>
      </c>
      <c r="BM53" s="15">
        <f t="shared" si="490"/>
        <v>705979.39455097727</v>
      </c>
      <c r="BN53" s="15">
        <f t="shared" si="490"/>
        <v>715251.25726608024</v>
      </c>
      <c r="BO53" s="15">
        <f t="shared" si="490"/>
        <v>724557.3835144653</v>
      </c>
      <c r="BP53" s="15">
        <f t="shared" si="490"/>
        <v>726006.49828149425</v>
      </c>
      <c r="BQ53" s="15">
        <f t="shared" si="490"/>
        <v>719551.3535467739</v>
      </c>
      <c r="BR53" s="15">
        <f t="shared" si="490"/>
        <v>720990.4562538676</v>
      </c>
      <c r="BS53" s="15">
        <f t="shared" si="490"/>
        <v>730371.25515721459</v>
      </c>
      <c r="BT53" s="15">
        <f t="shared" si="490"/>
        <v>731831.99766752904</v>
      </c>
      <c r="BU53" s="15">
        <f t="shared" si="490"/>
        <v>717354.45162671478</v>
      </c>
      <c r="BV53" s="15">
        <f t="shared" si="490"/>
        <v>726775.70675807889</v>
      </c>
      <c r="BW53" s="15">
        <f t="shared" si="490"/>
        <v>736231.77749216219</v>
      </c>
      <c r="BX53" s="15">
        <f t="shared" ref="BX53:CN53" si="491">BX46*BX$12</f>
        <v>737704.24104714638</v>
      </c>
      <c r="BY53" s="15">
        <f t="shared" si="491"/>
        <v>723110.52671338758</v>
      </c>
      <c r="BZ53" s="15">
        <f t="shared" si="491"/>
        <v>732607.37829755677</v>
      </c>
      <c r="CA53" s="15">
        <f t="shared" si="491"/>
        <v>742139.32484595582</v>
      </c>
      <c r="CB53" s="15">
        <f t="shared" si="491"/>
        <v>743623.60349564778</v>
      </c>
      <c r="CC53" s="15">
        <f t="shared" si="491"/>
        <v>728912.78873084253</v>
      </c>
      <c r="CD53" s="15">
        <f t="shared" si="491"/>
        <v>738485.84335617418</v>
      </c>
      <c r="CE53" s="15">
        <f t="shared" si="491"/>
        <v>748094.27454885235</v>
      </c>
      <c r="CF53" s="15">
        <f t="shared" si="491"/>
        <v>749590.46309795009</v>
      </c>
      <c r="CG53" s="15">
        <f t="shared" si="491"/>
        <v>742925.62615431822</v>
      </c>
      <c r="CH53" s="15">
        <f t="shared" si="491"/>
        <v>744411.47740662692</v>
      </c>
      <c r="CI53" s="15">
        <f t="shared" si="491"/>
        <v>754097.00695881853</v>
      </c>
      <c r="CJ53" s="15">
        <f t="shared" si="491"/>
        <v>755605.20097273623</v>
      </c>
      <c r="CK53" s="15">
        <f t="shared" si="491"/>
        <v>740657.35895349307</v>
      </c>
      <c r="CL53" s="15">
        <f t="shared" si="491"/>
        <v>750384.65893441567</v>
      </c>
      <c r="CM53" s="15">
        <f t="shared" si="491"/>
        <v>760147.90548582608</v>
      </c>
      <c r="CN53" s="15">
        <f t="shared" si="491"/>
        <v>761668.2012967976</v>
      </c>
    </row>
    <row r="54" spans="4:92" ht="12.75" customHeight="1" x14ac:dyDescent="0.3">
      <c r="D54" s="15" t="s">
        <v>34</v>
      </c>
      <c r="H54" s="16" t="s">
        <v>151</v>
      </c>
      <c r="J54" s="58">
        <f>SUM(L54:CN54)</f>
        <v>50154993.152756266</v>
      </c>
      <c r="L54" s="15">
        <f t="shared" ref="L54:AQ54" si="492">L47*L$12</f>
        <v>0</v>
      </c>
      <c r="M54" s="15">
        <f t="shared" si="492"/>
        <v>450000</v>
      </c>
      <c r="N54" s="15">
        <f t="shared" si="492"/>
        <v>462280</v>
      </c>
      <c r="O54" s="15">
        <f t="shared" si="492"/>
        <v>474837.76000000007</v>
      </c>
      <c r="P54" s="15">
        <f t="shared" si="492"/>
        <v>482435.16416000004</v>
      </c>
      <c r="Q54" s="15">
        <f t="shared" si="492"/>
        <v>479498.60229119996</v>
      </c>
      <c r="R54" s="15">
        <f t="shared" si="492"/>
        <v>492583.58637150208</v>
      </c>
      <c r="S54" s="15">
        <f t="shared" si="492"/>
        <v>502976.55874329637</v>
      </c>
      <c r="T54" s="15">
        <f t="shared" si="492"/>
        <v>508006.32433072937</v>
      </c>
      <c r="U54" s="15">
        <f t="shared" si="492"/>
        <v>507509.36162214493</v>
      </c>
      <c r="V54" s="15">
        <f t="shared" si="492"/>
        <v>512584.45523836644</v>
      </c>
      <c r="W54" s="15">
        <f t="shared" si="492"/>
        <v>523399.42396427487</v>
      </c>
      <c r="X54" s="15">
        <f t="shared" si="492"/>
        <v>528633.41820391768</v>
      </c>
      <c r="Y54" s="15">
        <f t="shared" si="492"/>
        <v>522312.80124713166</v>
      </c>
      <c r="Z54" s="15">
        <f t="shared" si="492"/>
        <v>533397.4395847097</v>
      </c>
      <c r="AA54" s="15">
        <f t="shared" si="492"/>
        <v>544651.53940891463</v>
      </c>
      <c r="AB54" s="15">
        <f t="shared" si="492"/>
        <v>550098.05480300367</v>
      </c>
      <c r="AC54" s="15">
        <f t="shared" si="492"/>
        <v>543520.79545209825</v>
      </c>
      <c r="AD54" s="15">
        <f t="shared" si="492"/>
        <v>555055.51455558161</v>
      </c>
      <c r="AE54" s="15">
        <f t="shared" si="492"/>
        <v>566766.57596158946</v>
      </c>
      <c r="AF54" s="15">
        <f t="shared" si="492"/>
        <v>572434.24172120541</v>
      </c>
      <c r="AG54" s="15">
        <f t="shared" si="492"/>
        <v>562789.9691704677</v>
      </c>
      <c r="AH54" s="15">
        <f t="shared" si="492"/>
        <v>571888.40700539027</v>
      </c>
      <c r="AI54" s="15">
        <f t="shared" si="492"/>
        <v>581063.75946943264</v>
      </c>
      <c r="AJ54" s="15">
        <f t="shared" si="492"/>
        <v>583969.07826677978</v>
      </c>
      <c r="AK54" s="15">
        <f t="shared" si="492"/>
        <v>580509.69622704701</v>
      </c>
      <c r="AL54" s="15">
        <f t="shared" si="492"/>
        <v>583412.24470818229</v>
      </c>
      <c r="AM54" s="15">
        <f t="shared" si="492"/>
        <v>592772.48511778598</v>
      </c>
      <c r="AN54" s="15">
        <f t="shared" si="492"/>
        <v>595736.34754337487</v>
      </c>
      <c r="AO54" s="15">
        <f t="shared" si="492"/>
        <v>585699.48516628542</v>
      </c>
      <c r="AP54" s="15">
        <f t="shared" si="492"/>
        <v>595168.29350980686</v>
      </c>
      <c r="AQ54" s="15">
        <f t="shared" si="492"/>
        <v>604717.14744963439</v>
      </c>
      <c r="AR54" s="15">
        <f t="shared" ref="AR54:BW54" si="493">AR47*AR$12</f>
        <v>607740.73318688257</v>
      </c>
      <c r="AS54" s="15">
        <f t="shared" si="493"/>
        <v>597501.62300819042</v>
      </c>
      <c r="AT54" s="15">
        <f t="shared" si="493"/>
        <v>607161.23258015618</v>
      </c>
      <c r="AU54" s="15">
        <f t="shared" si="493"/>
        <v>616902.50070726627</v>
      </c>
      <c r="AV54" s="15">
        <f t="shared" si="493"/>
        <v>619987.01321080257</v>
      </c>
      <c r="AW54" s="15">
        <f t="shared" si="493"/>
        <v>609541.57983605529</v>
      </c>
      <c r="AX54" s="15">
        <f t="shared" si="493"/>
        <v>619395.8353767381</v>
      </c>
      <c r="AY54" s="15">
        <f t="shared" si="493"/>
        <v>629333.39493333199</v>
      </c>
      <c r="AZ54" s="15">
        <f t="shared" si="493"/>
        <v>632480.06190799852</v>
      </c>
      <c r="BA54" s="15">
        <f t="shared" si="493"/>
        <v>628733.30501952174</v>
      </c>
      <c r="BB54" s="15">
        <f t="shared" si="493"/>
        <v>631876.9715446193</v>
      </c>
      <c r="BC54" s="15">
        <f t="shared" si="493"/>
        <v>642014.77790126926</v>
      </c>
      <c r="BD54" s="15">
        <f t="shared" si="493"/>
        <v>645224.85179077543</v>
      </c>
      <c r="BE54" s="15">
        <f t="shared" si="493"/>
        <v>634354.21570082195</v>
      </c>
      <c r="BF54" s="15">
        <f t="shared" si="493"/>
        <v>644609.60885465192</v>
      </c>
      <c r="BG54" s="15">
        <f t="shared" si="493"/>
        <v>654951.69708462758</v>
      </c>
      <c r="BH54" s="15">
        <f t="shared" si="493"/>
        <v>658226.45557005063</v>
      </c>
      <c r="BI54" s="15">
        <f t="shared" si="493"/>
        <v>647136.77072077245</v>
      </c>
      <c r="BJ54" s="15">
        <f t="shared" si="493"/>
        <v>657598.81518075825</v>
      </c>
      <c r="BK54" s="15">
        <f t="shared" si="493"/>
        <v>668149.30166607583</v>
      </c>
      <c r="BL54" s="15">
        <f t="shared" si="493"/>
        <v>671490.04817440617</v>
      </c>
      <c r="BM54" s="15">
        <f t="shared" si="493"/>
        <v>660176.90062364168</v>
      </c>
      <c r="BN54" s="15">
        <f t="shared" si="493"/>
        <v>670849.76051705715</v>
      </c>
      <c r="BO54" s="15">
        <f t="shared" si="493"/>
        <v>681612.84458689124</v>
      </c>
      <c r="BP54" s="15">
        <f t="shared" si="493"/>
        <v>685020.90880982555</v>
      </c>
      <c r="BQ54" s="15">
        <f t="shared" si="493"/>
        <v>680962.90451307164</v>
      </c>
      <c r="BR54" s="15">
        <f t="shared" si="493"/>
        <v>684367.71903563698</v>
      </c>
      <c r="BS54" s="15">
        <f t="shared" si="493"/>
        <v>695347.68463774712</v>
      </c>
      <c r="BT54" s="15">
        <f t="shared" si="493"/>
        <v>698824.42306093569</v>
      </c>
      <c r="BU54" s="15">
        <f t="shared" si="493"/>
        <v>687050.75071588729</v>
      </c>
      <c r="BV54" s="15">
        <f t="shared" si="493"/>
        <v>698158.07118579408</v>
      </c>
      <c r="BW54" s="15">
        <f t="shared" si="493"/>
        <v>709359.28859163204</v>
      </c>
      <c r="BX54" s="15">
        <f t="shared" ref="BX54:CN54" si="494">BX47*BX$12</f>
        <v>712906.0850345901</v>
      </c>
      <c r="BY54" s="15">
        <f t="shared" si="494"/>
        <v>700895.16729759413</v>
      </c>
      <c r="BZ54" s="15">
        <f t="shared" si="494"/>
        <v>712226.30583557184</v>
      </c>
      <c r="CA54" s="15">
        <f t="shared" si="494"/>
        <v>723653.2333797469</v>
      </c>
      <c r="CB54" s="15">
        <f t="shared" si="494"/>
        <v>727271.49954664544</v>
      </c>
      <c r="CC54" s="15">
        <f t="shared" si="494"/>
        <v>715018.55580428347</v>
      </c>
      <c r="CD54" s="15">
        <f t="shared" si="494"/>
        <v>726578.0224564526</v>
      </c>
      <c r="CE54" s="15">
        <f t="shared" si="494"/>
        <v>738235.20831124845</v>
      </c>
      <c r="CF54" s="15">
        <f t="shared" si="494"/>
        <v>741926.38435280451</v>
      </c>
      <c r="CG54" s="15">
        <f t="shared" si="494"/>
        <v>737531.27696723619</v>
      </c>
      <c r="CH54" s="15">
        <f t="shared" si="494"/>
        <v>741218.93335207237</v>
      </c>
      <c r="CI54" s="15">
        <f t="shared" si="494"/>
        <v>753111.01733772084</v>
      </c>
      <c r="CJ54" s="15">
        <f t="shared" si="494"/>
        <v>756876.57242440945</v>
      </c>
      <c r="CK54" s="15">
        <f t="shared" si="494"/>
        <v>744124.84756291111</v>
      </c>
      <c r="CL54" s="15">
        <f t="shared" si="494"/>
        <v>756154.86593184469</v>
      </c>
      <c r="CM54" s="15">
        <f t="shared" si="494"/>
        <v>768286.58136327844</v>
      </c>
      <c r="CN54" s="15">
        <f t="shared" si="494"/>
        <v>772128.01427009492</v>
      </c>
    </row>
    <row r="55" spans="4:92" ht="12.75" customHeight="1" x14ac:dyDescent="0.3">
      <c r="D55" s="50" t="s">
        <v>104</v>
      </c>
      <c r="H55" s="16" t="s">
        <v>151</v>
      </c>
      <c r="J55" s="59">
        <f>SUM(L55:CN55)</f>
        <v>574164290.57400179</v>
      </c>
      <c r="L55" s="50">
        <f>SUM(L51:L54)</f>
        <v>0</v>
      </c>
      <c r="M55" s="50">
        <f t="shared" ref="M55:R55" si="495">SUM(M51:M54)</f>
        <v>3690000</v>
      </c>
      <c r="N55" s="50">
        <f t="shared" si="495"/>
        <v>3765398</v>
      </c>
      <c r="O55" s="50">
        <f t="shared" si="495"/>
        <v>3844044.4640000002</v>
      </c>
      <c r="P55" s="50">
        <f t="shared" si="495"/>
        <v>3883995.7149760001</v>
      </c>
      <c r="Q55" s="50">
        <f t="shared" si="495"/>
        <v>3841469.1973684803</v>
      </c>
      <c r="R55" s="50">
        <f t="shared" si="495"/>
        <v>3929602.1530046416</v>
      </c>
      <c r="S55" s="50">
        <f t="shared" ref="S55" si="496">SUM(S51:S54)</f>
        <v>4000135.8319353964</v>
      </c>
      <c r="T55" s="50">
        <f t="shared" ref="T55" si="497">SUM(T51:T54)</f>
        <v>4029542.9903489854</v>
      </c>
      <c r="U55" s="50">
        <f t="shared" ref="U55" si="498">SUM(U51:U54)</f>
        <v>4016980.439857136</v>
      </c>
      <c r="V55" s="50">
        <f t="shared" ref="V55" si="499">SUM(V51:V54)</f>
        <v>4050489.262647267</v>
      </c>
      <c r="W55" s="50">
        <f t="shared" ref="W55" si="500">SUM(W51:W54)</f>
        <v>4131305.606353404</v>
      </c>
      <c r="X55" s="50">
        <f t="shared" ref="X55" si="501">SUM(X51:X54)</f>
        <v>4170178.8415664393</v>
      </c>
      <c r="Y55" s="50">
        <f t="shared" ref="Y55" si="502">SUM(Y51:Y54)</f>
        <v>4120207.3697327827</v>
      </c>
      <c r="Z55" s="50">
        <f t="shared" ref="Z55" si="503">SUM(Z51:Z54)</f>
        <v>4209964.8796106763</v>
      </c>
      <c r="AA55" s="50">
        <f t="shared" ref="AA55" si="504">SUM(AA51:AA54)</f>
        <v>4303726.8630605489</v>
      </c>
      <c r="AB55" s="50">
        <f t="shared" ref="AB55" si="505">SUM(AB51:AB54)</f>
        <v>4354439.3122228533</v>
      </c>
      <c r="AC55" s="50">
        <f t="shared" ref="AC55" si="506">SUM(AC51:AC54)</f>
        <v>4312713.9134218646</v>
      </c>
      <c r="AD55" s="50">
        <f t="shared" ref="AD55" si="507">SUM(AD51:AD54)</f>
        <v>4417716.1945868051</v>
      </c>
      <c r="AE55" s="50">
        <f t="shared" ref="AE55" si="508">SUM(AE51:AE54)</f>
        <v>4527780.3351648087</v>
      </c>
      <c r="AF55" s="50">
        <f t="shared" ref="AF55" si="509">SUM(AF51:AF54)</f>
        <v>4593327.4280867539</v>
      </c>
      <c r="AG55" s="50">
        <f t="shared" ref="AG55" si="510">SUM(AG51:AG54)</f>
        <v>4535048.1069189794</v>
      </c>
      <c r="AH55" s="50">
        <f t="shared" ref="AH55" si="511">SUM(AH51:AH54)</f>
        <v>4629479.1639501378</v>
      </c>
      <c r="AI55" s="50">
        <f t="shared" ref="AI55" si="512">SUM(AI51:AI54)</f>
        <v>4726982.3025211822</v>
      </c>
      <c r="AJ55" s="50">
        <f t="shared" ref="AJ55" si="513">SUM(AJ51:AJ54)</f>
        <v>4775797.3601126606</v>
      </c>
      <c r="AK55" s="50">
        <f t="shared" ref="AK55" si="514">SUM(AK51:AK54)</f>
        <v>4774416.0629008552</v>
      </c>
      <c r="AL55" s="50">
        <f t="shared" ref="AL55" si="515">SUM(AL51:AL54)</f>
        <v>4827277.5624602744</v>
      </c>
      <c r="AM55" s="50">
        <f t="shared" ref="AM55" si="516">SUM(AM51:AM54)</f>
        <v>4936215.8936550505</v>
      </c>
      <c r="AN55" s="50">
        <f t="shared" ref="AN55" si="517">SUM(AN51:AN54)</f>
        <v>4994651.1594536314</v>
      </c>
      <c r="AO55" s="50">
        <f t="shared" ref="AO55" si="518">SUM(AO51:AO54)</f>
        <v>4945822.0300504742</v>
      </c>
      <c r="AP55" s="50">
        <f t="shared" ref="AP55" si="519">SUM(AP51:AP54)</f>
        <v>5063905.4433957106</v>
      </c>
      <c r="AQ55" s="50">
        <f t="shared" ref="AQ55" si="520">SUM(AQ51:AQ54)</f>
        <v>5186228.7703595897</v>
      </c>
      <c r="AR55" s="50">
        <f t="shared" ref="AR55" si="521">SUM(AR51:AR54)</f>
        <v>5255868.4160470553</v>
      </c>
      <c r="AS55" s="50">
        <f t="shared" ref="AS55" si="522">SUM(AS51:AS54)</f>
        <v>5212748.4805245325</v>
      </c>
      <c r="AT55" s="50">
        <f t="shared" ref="AT55" si="523">SUM(AT51:AT54)</f>
        <v>5345761.1776783867</v>
      </c>
      <c r="AU55" s="50">
        <f t="shared" ref="AU55" si="524">SUM(AU51:AU54)</f>
        <v>5483748.923481144</v>
      </c>
      <c r="AV55" s="50">
        <f t="shared" ref="AV55" si="525">SUM(AV51:AV54)</f>
        <v>5566446.7966683842</v>
      </c>
      <c r="AW55" s="50">
        <f t="shared" ref="AW55" si="526">SUM(AW51:AW54)</f>
        <v>5529849.2088314546</v>
      </c>
      <c r="AX55" s="50">
        <f t="shared" ref="AX55" si="527">SUM(AX51:AX54)</f>
        <v>5680332.2823440023</v>
      </c>
      <c r="AY55" s="50">
        <f t="shared" ref="AY55" si="528">SUM(AY51:AY54)</f>
        <v>5836649.4850812154</v>
      </c>
      <c r="AZ55" s="50">
        <f t="shared" ref="AZ55" si="529">SUM(AZ51:AZ54)</f>
        <v>5934574.8968860488</v>
      </c>
      <c r="BA55" s="50">
        <f t="shared" ref="BA55" si="530">SUM(BA51:BA54)</f>
        <v>5971071.9179586004</v>
      </c>
      <c r="BB55" s="50">
        <f t="shared" ref="BB55" si="531">SUM(BB51:BB54)</f>
        <v>6076380.3455349598</v>
      </c>
      <c r="BC55" s="50">
        <f t="shared" ref="BC55" si="532">SUM(BC51:BC54)</f>
        <v>6254143.1640810128</v>
      </c>
      <c r="BD55" s="50">
        <f t="shared" ref="BD55" si="533">SUM(BD51:BD54)</f>
        <v>6369834.454353394</v>
      </c>
      <c r="BE55" s="50">
        <f t="shared" ref="BE55" si="534">SUM(BE51:BE54)</f>
        <v>6349316.9644377073</v>
      </c>
      <c r="BF55" s="50">
        <f t="shared" ref="BF55" si="535">SUM(BF51:BF54)</f>
        <v>6544157.3635137528</v>
      </c>
      <c r="BG55" s="50">
        <f t="shared" ref="BG55" si="536">SUM(BG51:BG54)</f>
        <v>6747009.7093946468</v>
      </c>
      <c r="BH55" s="50">
        <f t="shared" ref="BH55" si="537">SUM(BH51:BH54)</f>
        <v>6883436.9106816808</v>
      </c>
      <c r="BI55" s="50">
        <f t="shared" ref="BI55" si="538">SUM(BI51:BI54)</f>
        <v>6872839.7837717291</v>
      </c>
      <c r="BJ55" s="50">
        <f t="shared" ref="BJ55" si="539">SUM(BJ51:BJ54)</f>
        <v>7095658.8252674732</v>
      </c>
      <c r="BK55" s="50">
        <f t="shared" ref="BK55" si="540">SUM(BK51:BK54)</f>
        <v>7327862.0105224736</v>
      </c>
      <c r="BL55" s="50">
        <f t="shared" ref="BL55" si="541">SUM(BL51:BL54)</f>
        <v>7488500.1562646134</v>
      </c>
      <c r="BM55" s="50">
        <f t="shared" ref="BM55" si="542">SUM(BM51:BM54)</f>
        <v>7489370.6991878329</v>
      </c>
      <c r="BN55" s="50">
        <f t="shared" ref="BN55" si="543">SUM(BN51:BN54)</f>
        <v>7744919.7865668032</v>
      </c>
      <c r="BO55" s="50">
        <f t="shared" ref="BO55" si="544">SUM(BO51:BO54)</f>
        <v>8011457.3984782239</v>
      </c>
      <c r="BP55" s="50">
        <f t="shared" ref="BP55" si="545">SUM(BP51:BP54)</f>
        <v>8200372.2834430207</v>
      </c>
      <c r="BQ55" s="50">
        <f t="shared" ref="BQ55" si="546">SUM(BQ51:BQ54)</f>
        <v>8305797.6821005577</v>
      </c>
      <c r="BR55" s="50">
        <f t="shared" ref="BR55" si="547">SUM(BR51:BR54)</f>
        <v>8508361.2355771866</v>
      </c>
      <c r="BS55" s="50">
        <f t="shared" ref="BS55" si="548">SUM(BS51:BS54)</f>
        <v>8815061.824684035</v>
      </c>
      <c r="BT55" s="50">
        <f t="shared" ref="BT55" si="549">SUM(BT51:BT54)</f>
        <v>9037010.3327493332</v>
      </c>
      <c r="BU55" s="50">
        <f t="shared" ref="BU55" si="550">SUM(BU51:BU54)</f>
        <v>9066573.0005070921</v>
      </c>
      <c r="BV55" s="50">
        <f t="shared" ref="BV55" si="551">SUM(BV51:BV54)</f>
        <v>9405195.2924439423</v>
      </c>
      <c r="BW55" s="50">
        <f t="shared" ref="BW55" si="552">SUM(BW51:BW54)</f>
        <v>9758875.8995799161</v>
      </c>
      <c r="BX55" s="50">
        <f t="shared" ref="BX55" si="553">SUM(BX51:BX54)</f>
        <v>10019423.373248216</v>
      </c>
      <c r="BY55" s="50">
        <f t="shared" ref="BY55" si="554">SUM(BY51:BY54)</f>
        <v>10066889.025265111</v>
      </c>
      <c r="BZ55" s="50">
        <f t="shared" ref="BZ55" si="555">SUM(BZ51:BZ54)</f>
        <v>10457899.236276936</v>
      </c>
      <c r="CA55" s="50">
        <f t="shared" ref="CA55" si="556">SUM(CA51:CA54)</f>
        <v>10866533.298320813</v>
      </c>
      <c r="CB55" s="50">
        <f t="shared" ref="CB55" si="557">SUM(CB51:CB54)</f>
        <v>11172190.84464162</v>
      </c>
      <c r="CC55" s="50">
        <f t="shared" ref="CC55" si="558">SUM(CC51:CC54)</f>
        <v>11240480.56700664</v>
      </c>
      <c r="CD55" s="50">
        <f t="shared" ref="CD55" si="559">SUM(CD51:CD54)</f>
        <v>11692770.050429583</v>
      </c>
      <c r="CE55" s="50">
        <f t="shared" ref="CE55" si="560">SUM(CE51:CE54)</f>
        <v>12165683.825702203</v>
      </c>
      <c r="CF55" s="50">
        <f t="shared" ref="CF55" si="561">SUM(CF51:CF54)</f>
        <v>12524068.944964875</v>
      </c>
      <c r="CG55" s="50">
        <f t="shared" ref="CG55" si="562">SUM(CG51:CG54)</f>
        <v>12756788.81232382</v>
      </c>
      <c r="CH55" s="50">
        <f t="shared" ref="CH55" si="563">SUM(CH51:CH54)</f>
        <v>13140573.162765827</v>
      </c>
      <c r="CI55" s="50">
        <f t="shared" ref="CI55" si="564">SUM(CI51:CI54)</f>
        <v>13688675.52038076</v>
      </c>
      <c r="CJ55" s="50">
        <f t="shared" ref="CJ55" si="565">SUM(CJ51:CJ54)</f>
        <v>14108700.019143021</v>
      </c>
      <c r="CK55" s="50">
        <f t="shared" ref="CK55" si="566">SUM(CK51:CK54)</f>
        <v>14229488.085462503</v>
      </c>
      <c r="CL55" s="50">
        <f t="shared" ref="CL55" si="567">SUM(CL51:CL54)</f>
        <v>14837301.380712524</v>
      </c>
      <c r="CM55" s="50">
        <f t="shared" ref="CM55" si="568">SUM(CM51:CM54)</f>
        <v>15473352.621034272</v>
      </c>
      <c r="CN55" s="50">
        <f t="shared" ref="CN55" si="569">SUM(CN51:CN54)</f>
        <v>15965442.443957517</v>
      </c>
    </row>
    <row r="56" spans="4:92" ht="12.75" customHeight="1" x14ac:dyDescent="0.3">
      <c r="D56" s="15"/>
      <c r="H56" s="1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</row>
    <row r="57" spans="4:92" ht="12.75" customHeight="1" x14ac:dyDescent="0.3">
      <c r="D57" s="25" t="s">
        <v>153</v>
      </c>
      <c r="H57" s="1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</row>
    <row r="58" spans="4:92" ht="12.75" customHeight="1" x14ac:dyDescent="0.3">
      <c r="D58" s="15" t="s">
        <v>31</v>
      </c>
      <c r="H58" s="16" t="s">
        <v>57</v>
      </c>
      <c r="J58" s="58">
        <f>SUM(L58:CN58)</f>
        <v>263590928.98117766</v>
      </c>
      <c r="L58" s="15">
        <f>L51*INDEX(Ass!$I$49:'Ass'!$AC$49,1,MATCH(YEAR(L$7),Ass!$I$48:'Ass'!$AC$48,0))</f>
        <v>0</v>
      </c>
      <c r="M58" s="15">
        <f>M51*INDEX(Ass!$I$49:'Ass'!$AC$49,1,MATCH(YEAR(M$7),Ass!$I$48:'Ass'!$AC$48,0))</f>
        <v>225935.99999999997</v>
      </c>
      <c r="N58" s="15">
        <f>N51*INDEX(Ass!$I$49:'Ass'!$AC$49,1,MATCH(YEAR(N$7),Ass!$I$48:'Ass'!$AC$48,0))</f>
        <v>246722.11199999996</v>
      </c>
      <c r="O58" s="15">
        <f>O51*INDEX(Ass!$I$49:'Ass'!$AC$49,1,MATCH(YEAR(O$7),Ass!$I$48:'Ass'!$AC$48,0))</f>
        <v>269388.01152</v>
      </c>
      <c r="P58" s="15">
        <f>P51*INDEX(Ass!$I$49:'Ass'!$AC$49,1,MATCH(YEAR(P$7),Ass!$I$48:'Ass'!$AC$48,0))</f>
        <v>290939.05244160001</v>
      </c>
      <c r="Q58" s="15">
        <f>Q51*INDEX(Ass!$I$49:'Ass'!$AC$49,1,MATCH(YEAR(Q$7),Ass!$I$48:'Ass'!$AC$48,0))</f>
        <v>323741.95292160002</v>
      </c>
      <c r="R58" s="15">
        <f>R51*INDEX(Ass!$I$49:'Ass'!$AC$49,1,MATCH(YEAR(R$7),Ass!$I$48:'Ass'!$AC$48,0))</f>
        <v>353526.21259038727</v>
      </c>
      <c r="S58" s="15">
        <f>S51*INDEX(Ass!$I$49:'Ass'!$AC$49,1,MATCH(YEAR(S$7),Ass!$I$48:'Ass'!$AC$48,0))</f>
        <v>378855.78298697324</v>
      </c>
      <c r="T58" s="15">
        <f>T51*INDEX(Ass!$I$49:'Ass'!$AC$49,1,MATCH(YEAR(T$7),Ass!$I$48:'Ass'!$AC$48,0))</f>
        <v>401587.12996619166</v>
      </c>
      <c r="U58" s="15">
        <f>U51*INDEX(Ass!$I$49:'Ass'!$AC$49,1,MATCH(YEAR(U$7),Ass!$I$48:'Ass'!$AC$48,0))</f>
        <v>427106.85226861964</v>
      </c>
      <c r="V58" s="15">
        <f>V51*INDEX(Ass!$I$49:'Ass'!$AC$49,1,MATCH(YEAR(V$7),Ass!$I$48:'Ass'!$AC$48,0))</f>
        <v>452733.26340473676</v>
      </c>
      <c r="W58" s="15">
        <f>W51*INDEX(Ass!$I$49:'Ass'!$AC$49,1,MATCH(YEAR(W$7),Ass!$I$48:'Ass'!$AC$48,0))</f>
        <v>485170.85546406521</v>
      </c>
      <c r="X58" s="15">
        <f>X51*INDEX(Ass!$I$49:'Ass'!$AC$49,1,MATCH(YEAR(X$7),Ass!$I$48:'Ass'!$AC$48,0))</f>
        <v>514281.10679190914</v>
      </c>
      <c r="Y58" s="15">
        <f>Y51*INDEX(Ass!$I$49:'Ass'!$AC$49,1,MATCH(YEAR(Y$7),Ass!$I$48:'Ass'!$AC$48,0))</f>
        <v>539729.54276791494</v>
      </c>
      <c r="Z58" s="15">
        <f>Z51*INDEX(Ass!$I$49:'Ass'!$AC$49,1,MATCH(YEAR(Z$7),Ass!$I$48:'Ass'!$AC$48,0))</f>
        <v>578470.12994881195</v>
      </c>
      <c r="AA58" s="15">
        <f>AA51*INDEX(Ass!$I$49:'Ass'!$AC$49,1,MATCH(YEAR(AA$7),Ass!$I$48:'Ass'!$AC$48,0))</f>
        <v>619916.56123745232</v>
      </c>
      <c r="AB58" s="15">
        <f>AB51*INDEX(Ass!$I$49:'Ass'!$AC$49,1,MATCH(YEAR(AB$7),Ass!$I$48:'Ass'!$AC$48,0))</f>
        <v>657111.5549116995</v>
      </c>
      <c r="AC58" s="15">
        <f>AC51*INDEX(Ass!$I$49:'Ass'!$AC$49,1,MATCH(YEAR(AC$7),Ass!$I$48:'Ass'!$AC$48,0))</f>
        <v>682098.99666504515</v>
      </c>
      <c r="AD58" s="15">
        <f>AD51*INDEX(Ass!$I$49:'Ass'!$AC$49,1,MATCH(YEAR(AD$7),Ass!$I$48:'Ass'!$AC$48,0))</f>
        <v>731058.54687011393</v>
      </c>
      <c r="AE58" s="15">
        <f>AE51*INDEX(Ass!$I$49:'Ass'!$AC$49,1,MATCH(YEAR(AE$7),Ass!$I$48:'Ass'!$AC$48,0))</f>
        <v>783437.68671179703</v>
      </c>
      <c r="AF58" s="15">
        <f>AF51*INDEX(Ass!$I$49:'Ass'!$AC$49,1,MATCH(YEAR(AF$7),Ass!$I$48:'Ass'!$AC$48,0))</f>
        <v>830443.94791450468</v>
      </c>
      <c r="AG58" s="15">
        <f>AG51*INDEX(Ass!$I$49:'Ass'!$AC$49,1,MATCH(YEAR(AG$7),Ass!$I$48:'Ass'!$AC$48,0))</f>
        <v>868393.52324025566</v>
      </c>
      <c r="AH58" s="15">
        <f>AH51*INDEX(Ass!$I$49:'Ass'!$AC$49,1,MATCH(YEAR(AH$7),Ass!$I$48:'Ass'!$AC$48,0))</f>
        <v>913164.03377175331</v>
      </c>
      <c r="AI58" s="15">
        <f>AI51*INDEX(Ass!$I$49:'Ass'!$AC$49,1,MATCH(YEAR(AI$7),Ass!$I$48:'Ass'!$AC$48,0))</f>
        <v>960126.75550858642</v>
      </c>
      <c r="AJ58" s="15">
        <f>AJ51*INDEX(Ass!$I$49:'Ass'!$AC$49,1,MATCH(YEAR(AJ$7),Ass!$I$48:'Ass'!$AC$48,0))</f>
        <v>998531.82572892972</v>
      </c>
      <c r="AK58" s="15">
        <f>AK51*INDEX(Ass!$I$49:'Ass'!$AC$49,1,MATCH(YEAR(AK$7),Ass!$I$48:'Ass'!$AC$48,0))</f>
        <v>1032040.2769990943</v>
      </c>
      <c r="AL58" s="15">
        <f>AL51*INDEX(Ass!$I$49:'Ass'!$AC$49,1,MATCH(YEAR(AL$7),Ass!$I$48:'Ass'!$AC$48,0))</f>
        <v>1073321.8880790581</v>
      </c>
      <c r="AM58" s="15">
        <f>AM51*INDEX(Ass!$I$49:'Ass'!$AC$49,1,MATCH(YEAR(AM$7),Ass!$I$48:'Ass'!$AC$48,0))</f>
        <v>1128521.2994659811</v>
      </c>
      <c r="AN58" s="15">
        <f>AN51*INDEX(Ass!$I$49:'Ass'!$AC$49,1,MATCH(YEAR(AN$7),Ass!$I$48:'Ass'!$AC$48,0))</f>
        <v>1173662.1514446202</v>
      </c>
      <c r="AO58" s="15">
        <f>AO51*INDEX(Ass!$I$49:'Ass'!$AC$49,1,MATCH(YEAR(AO$7),Ass!$I$48:'Ass'!$AC$48,0))</f>
        <v>1216712.5548948641</v>
      </c>
      <c r="AP58" s="15">
        <f>AP51*INDEX(Ass!$I$49:'Ass'!$AC$49,1,MATCH(YEAR(AP$7),Ass!$I$48:'Ass'!$AC$48,0))</f>
        <v>1279440.8466138882</v>
      </c>
      <c r="AQ58" s="15">
        <f>AQ51*INDEX(Ass!$I$49:'Ass'!$AC$49,1,MATCH(YEAR(AQ$7),Ass!$I$48:'Ass'!$AC$48,0))</f>
        <v>1345240.6615826024</v>
      </c>
      <c r="AR58" s="15">
        <f>AR51*INDEX(Ass!$I$49:'Ass'!$AC$49,1,MATCH(YEAR(AR$7),Ass!$I$48:'Ass'!$AC$48,0))</f>
        <v>1399050.2880459065</v>
      </c>
      <c r="AS58" s="15">
        <f>AS51*INDEX(Ass!$I$49:'Ass'!$AC$49,1,MATCH(YEAR(AS$7),Ass!$I$48:'Ass'!$AC$48,0))</f>
        <v>1474757.1503033431</v>
      </c>
      <c r="AT58" s="15">
        <f>AT51*INDEX(Ass!$I$49:'Ass'!$AC$49,1,MATCH(YEAR(AT$7),Ass!$I$48:'Ass'!$AC$48,0))</f>
        <v>1550789.0744967603</v>
      </c>
      <c r="AU58" s="15">
        <f>AU51*INDEX(Ass!$I$49:'Ass'!$AC$49,1,MATCH(YEAR(AU$7),Ass!$I$48:'Ass'!$AC$48,0))</f>
        <v>1630543.941185165</v>
      </c>
      <c r="AV58" s="15">
        <f>AV51*INDEX(Ass!$I$49:'Ass'!$AC$49,1,MATCH(YEAR(AV$7),Ass!$I$48:'Ass'!$AC$48,0))</f>
        <v>1695765.6988325717</v>
      </c>
      <c r="AW58" s="15">
        <f>AW51*INDEX(Ass!$I$49:'Ass'!$AC$49,1,MATCH(YEAR(AW$7),Ass!$I$48:'Ass'!$AC$48,0))</f>
        <v>1791183.2563771636</v>
      </c>
      <c r="AX58" s="15">
        <f>AX51*INDEX(Ass!$I$49:'Ass'!$AC$49,1,MATCH(YEAR(AX$7),Ass!$I$48:'Ass'!$AC$48,0))</f>
        <v>1883528.7042614974</v>
      </c>
      <c r="AY58" s="15">
        <f>AY51*INDEX(Ass!$I$49:'Ass'!$AC$49,1,MATCH(YEAR(AY$7),Ass!$I$48:'Ass'!$AC$48,0))</f>
        <v>1980395.8947663747</v>
      </c>
      <c r="AZ58" s="15">
        <f>AZ51*INDEX(Ass!$I$49:'Ass'!$AC$49,1,MATCH(YEAR(AZ$7),Ass!$I$48:'Ass'!$AC$48,0))</f>
        <v>2059611.7305570296</v>
      </c>
      <c r="BA58" s="15">
        <f>BA51*INDEX(Ass!$I$49:'Ass'!$AC$49,1,MATCH(YEAR(BA$7),Ass!$I$48:'Ass'!$AC$48,0))</f>
        <v>2149024.2709081504</v>
      </c>
      <c r="BB58" s="15">
        <f>BB51*INDEX(Ass!$I$49:'Ass'!$AC$49,1,MATCH(YEAR(BB$7),Ass!$I$48:'Ass'!$AC$48,0))</f>
        <v>2234985.2417444764</v>
      </c>
      <c r="BC58" s="15">
        <f>BC51*INDEX(Ass!$I$49:'Ass'!$AC$49,1,MATCH(YEAR(BC$7),Ass!$I$48:'Ass'!$AC$48,0))</f>
        <v>2349927.339891335</v>
      </c>
      <c r="BD58" s="15">
        <f>BD51*INDEX(Ass!$I$49:'Ass'!$AC$49,1,MATCH(YEAR(BD$7),Ass!$I$48:'Ass'!$AC$48,0))</f>
        <v>2443924.4334869888</v>
      </c>
      <c r="BE58" s="15">
        <f>BE51*INDEX(Ass!$I$49:'Ass'!$AC$49,1,MATCH(YEAR(BE$7),Ass!$I$48:'Ass'!$AC$48,0))</f>
        <v>2519584.0841893638</v>
      </c>
      <c r="BF58" s="15">
        <f>BF51*INDEX(Ass!$I$49:'Ass'!$AC$49,1,MATCH(YEAR(BF$7),Ass!$I$48:'Ass'!$AC$48,0))</f>
        <v>2649482.6414186824</v>
      </c>
      <c r="BG58" s="15">
        <f>BG51*INDEX(Ass!$I$49:'Ass'!$AC$49,1,MATCH(YEAR(BG$7),Ass!$I$48:'Ass'!$AC$48,0))</f>
        <v>2785741.7486916431</v>
      </c>
      <c r="BH58" s="15">
        <f>BH51*INDEX(Ass!$I$49:'Ass'!$AC$49,1,MATCH(YEAR(BH$7),Ass!$I$48:'Ass'!$AC$48,0))</f>
        <v>2897171.4186393088</v>
      </c>
      <c r="BI58" s="15">
        <f>BI51*INDEX(Ass!$I$49:'Ass'!$AC$49,1,MATCH(YEAR(BI$7),Ass!$I$48:'Ass'!$AC$48,0))</f>
        <v>3016555.8756143269</v>
      </c>
      <c r="BJ58" s="15">
        <f>BJ51*INDEX(Ass!$I$49:'Ass'!$AC$49,1,MATCH(YEAR(BJ$7),Ass!$I$48:'Ass'!$AC$48,0))</f>
        <v>3172076.0896459995</v>
      </c>
      <c r="BK58" s="15">
        <f>BK51*INDEX(Ass!$I$49:'Ass'!$AC$49,1,MATCH(YEAR(BK$7),Ass!$I$48:'Ass'!$AC$48,0))</f>
        <v>3335211.431399222</v>
      </c>
      <c r="BL58" s="15">
        <f>BL51*INDEX(Ass!$I$49:'Ass'!$AC$49,1,MATCH(YEAR(BL$7),Ass!$I$48:'Ass'!$AC$48,0))</f>
        <v>3468619.8886551913</v>
      </c>
      <c r="BM58" s="15">
        <f>BM51*INDEX(Ass!$I$49:'Ass'!$AC$49,1,MATCH(YEAR(BM$7),Ass!$I$48:'Ass'!$AC$48,0))</f>
        <v>3590464.6158108609</v>
      </c>
      <c r="BN58" s="15">
        <f>BN51*INDEX(Ass!$I$49:'Ass'!$AC$49,1,MATCH(YEAR(BN$7),Ass!$I$48:'Ass'!$AC$48,0))</f>
        <v>3775573.0137815541</v>
      </c>
      <c r="BO58" s="15">
        <f>BO51*INDEX(Ass!$I$49:'Ass'!$AC$49,1,MATCH(YEAR(BO$7),Ass!$I$48:'Ass'!$AC$48,0))</f>
        <v>3969745.3402046058</v>
      </c>
      <c r="BP58" s="15">
        <f>BP51*INDEX(Ass!$I$49:'Ass'!$AC$49,1,MATCH(YEAR(BP$7),Ass!$I$48:'Ass'!$AC$48,0))</f>
        <v>4128535.1538127903</v>
      </c>
      <c r="BQ58" s="15">
        <f>BQ51*INDEX(Ass!$I$49:'Ass'!$AC$49,1,MATCH(YEAR(BQ$7),Ass!$I$48:'Ass'!$AC$48,0))</f>
        <v>4317712.1832661591</v>
      </c>
      <c r="BR58" s="15">
        <f>BR51*INDEX(Ass!$I$49:'Ass'!$AC$49,1,MATCH(YEAR(BR$7),Ass!$I$48:'Ass'!$AC$48,0))</f>
        <v>4490420.6705968054</v>
      </c>
      <c r="BS58" s="15">
        <f>BS51*INDEX(Ass!$I$49:'Ass'!$AC$49,1,MATCH(YEAR(BS$7),Ass!$I$48:'Ass'!$AC$48,0))</f>
        <v>4721356.5907989275</v>
      </c>
      <c r="BT58" s="15">
        <f>BT51*INDEX(Ass!$I$49:'Ass'!$AC$49,1,MATCH(YEAR(BT$7),Ass!$I$48:'Ass'!$AC$48,0))</f>
        <v>4910210.8544308851</v>
      </c>
      <c r="BU58" s="15">
        <f>BU51*INDEX(Ass!$I$49:'Ass'!$AC$49,1,MATCH(YEAR(BU$7),Ass!$I$48:'Ass'!$AC$48,0))</f>
        <v>5170565.4847846804</v>
      </c>
      <c r="BV58" s="15">
        <f>BV51*INDEX(Ass!$I$49:'Ass'!$AC$49,1,MATCH(YEAR(BV$7),Ass!$I$48:'Ass'!$AC$48,0))</f>
        <v>5437136.8608891368</v>
      </c>
      <c r="BW58" s="15">
        <f>BW51*INDEX(Ass!$I$49:'Ass'!$AC$49,1,MATCH(YEAR(BW$7),Ass!$I$48:'Ass'!$AC$48,0))</f>
        <v>5716761.0423062909</v>
      </c>
      <c r="BX58" s="15">
        <f>BX51*INDEX(Ass!$I$49:'Ass'!$AC$49,1,MATCH(YEAR(BX$7),Ass!$I$48:'Ass'!$AC$48,0))</f>
        <v>5945431.4839985436</v>
      </c>
      <c r="BY58" s="15">
        <f>BY51*INDEX(Ass!$I$49:'Ass'!$AC$49,1,MATCH(YEAR(BY$7),Ass!$I$48:'Ass'!$AC$48,0))</f>
        <v>6113796.3643866535</v>
      </c>
      <c r="BZ58" s="15">
        <f>BZ51*INDEX(Ass!$I$49:'Ass'!$AC$49,1,MATCH(YEAR(BZ$7),Ass!$I$48:'Ass'!$AC$48,0))</f>
        <v>6428996.5325061437</v>
      </c>
      <c r="CA58" s="15">
        <f>CA51*INDEX(Ass!$I$49:'Ass'!$AC$49,1,MATCH(YEAR(CA$7),Ass!$I$48:'Ass'!$AC$48,0))</f>
        <v>6759630.6398921749</v>
      </c>
      <c r="CB58" s="15">
        <f>CB51*INDEX(Ass!$I$49:'Ass'!$AC$49,1,MATCH(YEAR(CB$7),Ass!$I$48:'Ass'!$AC$48,0))</f>
        <v>7030015.8654878614</v>
      </c>
      <c r="CC58" s="15">
        <f>CC51*INDEX(Ass!$I$49:'Ass'!$AC$49,1,MATCH(YEAR(CC$7),Ass!$I$48:'Ass'!$AC$48,0))</f>
        <v>7265052.8596394267</v>
      </c>
      <c r="CD58" s="15">
        <f>CD51*INDEX(Ass!$I$49:'Ass'!$AC$49,1,MATCH(YEAR(CD$7),Ass!$I$48:'Ass'!$AC$48,0))</f>
        <v>7639606.6959586153</v>
      </c>
      <c r="CE58" s="15">
        <f>CE51*INDEX(Ass!$I$49:'Ass'!$AC$49,1,MATCH(YEAR(CE$7),Ass!$I$48:'Ass'!$AC$48,0))</f>
        <v>8032500.7546079159</v>
      </c>
      <c r="CF58" s="15">
        <f>CF51*INDEX(Ass!$I$49:'Ass'!$AC$49,1,MATCH(YEAR(CF$7),Ass!$I$48:'Ass'!$AC$48,0))</f>
        <v>8353800.7847922333</v>
      </c>
      <c r="CG58" s="15">
        <f>CG51*INDEX(Ass!$I$49:'Ass'!$AC$49,1,MATCH(YEAR(CG$7),Ass!$I$48:'Ass'!$AC$48,0))</f>
        <v>8593518.5464427918</v>
      </c>
      <c r="CH58" s="15">
        <f>CH51*INDEX(Ass!$I$49:'Ass'!$AC$49,1,MATCH(YEAR(CH$7),Ass!$I$48:'Ass'!$AC$48,0))</f>
        <v>8937259.2883005049</v>
      </c>
      <c r="CI58" s="15">
        <f>CI51*INDEX(Ass!$I$49:'Ass'!$AC$49,1,MATCH(YEAR(CI$7),Ass!$I$48:'Ass'!$AC$48,0))</f>
        <v>9396889.7659845334</v>
      </c>
      <c r="CJ58" s="15">
        <f>CJ51*INDEX(Ass!$I$49:'Ass'!$AC$49,1,MATCH(YEAR(CJ$7),Ass!$I$48:'Ass'!$AC$48,0))</f>
        <v>9772765.3566239141</v>
      </c>
      <c r="CK58" s="15">
        <f>CK51*INDEX(Ass!$I$49:'Ass'!$AC$49,1,MATCH(YEAR(CK$7),Ass!$I$48:'Ass'!$AC$48,0))</f>
        <v>9942726.493260853</v>
      </c>
      <c r="CL58" s="15">
        <f>CL51*INDEX(Ass!$I$49:'Ass'!$AC$49,1,MATCH(YEAR(CL$7),Ass!$I$48:'Ass'!$AC$48,0))</f>
        <v>10455329.281357856</v>
      </c>
      <c r="CM58" s="15">
        <f>CM51*INDEX(Ass!$I$49:'Ass'!$AC$49,1,MATCH(YEAR(CM$7),Ass!$I$48:'Ass'!$AC$48,0))</f>
        <v>10993031.930113403</v>
      </c>
      <c r="CN58" s="15">
        <f>CN51*INDEX(Ass!$I$49:'Ass'!$AC$49,1,MATCH(YEAR(CN$7),Ass!$I$48:'Ass'!$AC$48,0))</f>
        <v>11432753.207317939</v>
      </c>
    </row>
    <row r="59" spans="4:92" ht="12.75" customHeight="1" x14ac:dyDescent="0.3">
      <c r="D59" s="15" t="s">
        <v>32</v>
      </c>
      <c r="H59" s="16" t="s">
        <v>57</v>
      </c>
      <c r="J59" s="58">
        <f>SUM(L59:CN59)</f>
        <v>116244646.68840879</v>
      </c>
      <c r="L59" s="15">
        <f>L52*INDEX(Ass!$I$49:'Ass'!$AC$49,1,MATCH(YEAR(L$7),Ass!$I$48:'Ass'!$AC$48,0))</f>
        <v>0</v>
      </c>
      <c r="M59" s="15">
        <f>M52*INDEX(Ass!$I$49:'Ass'!$AC$49,1,MATCH(YEAR(M$7),Ass!$I$48:'Ass'!$AC$48,0))</f>
        <v>1412099.9999999998</v>
      </c>
      <c r="N59" s="15">
        <f>N52*INDEX(Ass!$I$49:'Ass'!$AC$49,1,MATCH(YEAR(N$7),Ass!$I$48:'Ass'!$AC$48,0))</f>
        <v>1424934.42</v>
      </c>
      <c r="O59" s="15">
        <f>O52*INDEX(Ass!$I$49:'Ass'!$AC$49,1,MATCH(YEAR(O$7),Ass!$I$48:'Ass'!$AC$48,0))</f>
        <v>1437711.8539199997</v>
      </c>
      <c r="P59" s="15">
        <f>P52*INDEX(Ass!$I$49:'Ass'!$AC$49,1,MATCH(YEAR(P$7),Ass!$I$48:'Ass'!$AC$48,0))</f>
        <v>1434836.4302121599</v>
      </c>
      <c r="Q59" s="15">
        <f>Q52*INDEX(Ass!$I$49:'Ass'!$AC$49,1,MATCH(YEAR(Q$7),Ass!$I$48:'Ass'!$AC$48,0))</f>
        <v>1475387.6464317958</v>
      </c>
      <c r="R59" s="15">
        <f>R52*INDEX(Ass!$I$49:'Ass'!$AC$49,1,MATCH(YEAR(R$7),Ass!$I$48:'Ass'!$AC$48,0))</f>
        <v>1488797.2808182538</v>
      </c>
      <c r="S59" s="15">
        <f>S52*INDEX(Ass!$I$49:'Ass'!$AC$49,1,MATCH(YEAR(S$7),Ass!$I$48:'Ass'!$AC$48,0))</f>
        <v>1497631.9020450872</v>
      </c>
      <c r="T59" s="15">
        <f>T52*INDEX(Ass!$I$49:'Ass'!$AC$49,1,MATCH(YEAR(T$7),Ass!$I$48:'Ass'!$AC$48,0))</f>
        <v>1490143.7425348619</v>
      </c>
      <c r="U59" s="15">
        <f>U52*INDEX(Ass!$I$49:'Ass'!$AC$49,1,MATCH(YEAR(U$7),Ass!$I$48:'Ass'!$AC$48,0))</f>
        <v>1487654.6766266965</v>
      </c>
      <c r="V59" s="15">
        <f>V52*INDEX(Ass!$I$49:'Ass'!$AC$49,1,MATCH(YEAR(V$7),Ass!$I$48:'Ass'!$AC$48,0))</f>
        <v>1480216.4032435629</v>
      </c>
      <c r="W59" s="15">
        <f>W52*INDEX(Ass!$I$49:'Ass'!$AC$49,1,MATCH(YEAR(W$7),Ass!$I$48:'Ass'!$AC$48,0))</f>
        <v>1489000.1049770962</v>
      </c>
      <c r="X59" s="15">
        <f>X52*INDEX(Ass!$I$49:'Ass'!$AC$49,1,MATCH(YEAR(X$7),Ass!$I$48:'Ass'!$AC$48,0))</f>
        <v>1481555.1044522105</v>
      </c>
      <c r="Y59" s="15">
        <f>Y52*INDEX(Ass!$I$49:'Ass'!$AC$49,1,MATCH(YEAR(Y$7),Ass!$I$48:'Ass'!$AC$48,0))</f>
        <v>1459521.9979747066</v>
      </c>
      <c r="Z59" s="15">
        <f>Z52*INDEX(Ass!$I$49:'Ass'!$AC$49,1,MATCH(YEAR(Z$7),Ass!$I$48:'Ass'!$AC$48,0))</f>
        <v>1468360.2145179976</v>
      </c>
      <c r="AA59" s="15">
        <f>AA52*INDEX(Ass!$I$49:'Ass'!$AC$49,1,MATCH(YEAR(AA$7),Ass!$I$48:'Ass'!$AC$48,0))</f>
        <v>1477073.5608459066</v>
      </c>
      <c r="AB59" s="15">
        <f>AB52*INDEX(Ass!$I$49:'Ass'!$AC$49,1,MATCH(YEAR(AB$7),Ass!$I$48:'Ass'!$AC$48,0))</f>
        <v>1469688.1930416769</v>
      </c>
      <c r="AC59" s="15">
        <f>AC52*INDEX(Ass!$I$49:'Ass'!$AC$49,1,MATCH(YEAR(AC$7),Ass!$I$48:'Ass'!$AC$48,0))</f>
        <v>1432025.420345902</v>
      </c>
      <c r="AD59" s="15">
        <f>AD52*INDEX(Ass!$I$49:'Ass'!$AC$49,1,MATCH(YEAR(AD$7),Ass!$I$48:'Ass'!$AC$48,0))</f>
        <v>1440697.129835774</v>
      </c>
      <c r="AE59" s="15">
        <f>AE52*INDEX(Ass!$I$49:'Ass'!$AC$49,1,MATCH(YEAR(AE$7),Ass!$I$48:'Ass'!$AC$48,0))</f>
        <v>1449246.3215952392</v>
      </c>
      <c r="AF59" s="15">
        <f>AF52*INDEX(Ass!$I$49:'Ass'!$AC$49,1,MATCH(YEAR(AF$7),Ass!$I$48:'Ass'!$AC$48,0))</f>
        <v>1442000.0899872631</v>
      </c>
      <c r="AG59" s="15">
        <f>AG52*INDEX(Ass!$I$49:'Ass'!$AC$49,1,MATCH(YEAR(AG$7),Ass!$I$48:'Ass'!$AC$48,0))</f>
        <v>1442650.9969717313</v>
      </c>
      <c r="AH59" s="15">
        <f>AH52*INDEX(Ass!$I$49:'Ass'!$AC$49,1,MATCH(YEAR(AH$7),Ass!$I$48:'Ass'!$AC$48,0))</f>
        <v>1451387.0502311711</v>
      </c>
      <c r="AI59" s="15">
        <f>AI52*INDEX(Ass!$I$49:'Ass'!$AC$49,1,MATCH(YEAR(AI$7),Ass!$I$48:'Ass'!$AC$48,0))</f>
        <v>1459999.6766830923</v>
      </c>
      <c r="AJ59" s="15">
        <f>AJ52*INDEX(Ass!$I$49:'Ass'!$AC$49,1,MATCH(YEAR(AJ$7),Ass!$I$48:'Ass'!$AC$48,0))</f>
        <v>1452699.6782996769</v>
      </c>
      <c r="AK59" s="15">
        <f>AK52*INDEX(Ass!$I$49:'Ass'!$AC$49,1,MATCH(YEAR(AK$7),Ass!$I$48:'Ass'!$AC$48,0))</f>
        <v>1436482.425284714</v>
      </c>
      <c r="AL59" s="15">
        <f>AL52*INDEX(Ass!$I$49:'Ass'!$AC$49,1,MATCH(YEAR(AL$7),Ass!$I$48:'Ass'!$AC$48,0))</f>
        <v>1429300.0131582904</v>
      </c>
      <c r="AM59" s="15">
        <f>AM52*INDEX(Ass!$I$49:'Ass'!$AC$49,1,MATCH(YEAR(AM$7),Ass!$I$48:'Ass'!$AC$48,0))</f>
        <v>1437781.5736759331</v>
      </c>
      <c r="AN59" s="15">
        <f>AN52*INDEX(Ass!$I$49:'Ass'!$AC$49,1,MATCH(YEAR(AN$7),Ass!$I$48:'Ass'!$AC$48,0))</f>
        <v>1430592.6658075533</v>
      </c>
      <c r="AO59" s="15">
        <f>AO52*INDEX(Ass!$I$49:'Ass'!$AC$49,1,MATCH(YEAR(AO$7),Ass!$I$48:'Ass'!$AC$48,0))</f>
        <v>1418896.1997559245</v>
      </c>
      <c r="AP59" s="15">
        <f>AP52*INDEX(Ass!$I$49:'Ass'!$AC$49,1,MATCH(YEAR(AP$7),Ass!$I$48:'Ass'!$AC$48,0))</f>
        <v>1427488.4045211133</v>
      </c>
      <c r="AQ59" s="15">
        <f>AQ52*INDEX(Ass!$I$49:'Ass'!$AC$49,1,MATCH(YEAR(AQ$7),Ass!$I$48:'Ass'!$AC$48,0))</f>
        <v>1435959.2148336563</v>
      </c>
      <c r="AR59" s="15">
        <f>AR52*INDEX(Ass!$I$49:'Ass'!$AC$49,1,MATCH(YEAR(AR$7),Ass!$I$48:'Ass'!$AC$48,0))</f>
        <v>1428779.4187594878</v>
      </c>
      <c r="AS59" s="15">
        <f>AS52*INDEX(Ass!$I$49:'Ass'!$AC$49,1,MATCH(YEAR(AS$7),Ass!$I$48:'Ass'!$AC$48,0))</f>
        <v>1440927.4418673653</v>
      </c>
      <c r="AT59" s="15">
        <f>AT52*INDEX(Ass!$I$49:'Ass'!$AC$49,1,MATCH(YEAR(AT$7),Ass!$I$48:'Ass'!$AC$48,0))</f>
        <v>1449653.0580431176</v>
      </c>
      <c r="AU59" s="15">
        <f>AU52*INDEX(Ass!$I$49:'Ass'!$AC$49,1,MATCH(YEAR(AU$7),Ass!$I$48:'Ass'!$AC$48,0))</f>
        <v>1458255.3948710659</v>
      </c>
      <c r="AV59" s="15">
        <f>AV52*INDEX(Ass!$I$49:'Ass'!$AC$49,1,MATCH(YEAR(AV$7),Ass!$I$48:'Ass'!$AC$48,0))</f>
        <v>1450964.1178967105</v>
      </c>
      <c r="AW59" s="15">
        <f>AW52*INDEX(Ass!$I$49:'Ass'!$AC$49,1,MATCH(YEAR(AW$7),Ass!$I$48:'Ass'!$AC$48,0))</f>
        <v>1466292.4168852139</v>
      </c>
      <c r="AX59" s="15">
        <f>AX52*INDEX(Ass!$I$49:'Ass'!$AC$49,1,MATCH(YEAR(AX$7),Ass!$I$48:'Ass'!$AC$48,0))</f>
        <v>1475171.6320763521</v>
      </c>
      <c r="AY59" s="15">
        <f>AY52*INDEX(Ass!$I$49:'Ass'!$AC$49,1,MATCH(YEAR(AY$7),Ass!$I$48:'Ass'!$AC$48,0))</f>
        <v>1483925.3978051567</v>
      </c>
      <c r="AZ59" s="15">
        <f>AZ52*INDEX(Ass!$I$49:'Ass'!$AC$49,1,MATCH(YEAR(AZ$7),Ass!$I$48:'Ass'!$AC$48,0))</f>
        <v>1476505.7708161308</v>
      </c>
      <c r="BA59" s="15">
        <f>BA52*INDEX(Ass!$I$49:'Ass'!$AC$49,1,MATCH(YEAR(BA$7),Ass!$I$48:'Ass'!$AC$48,0))</f>
        <v>1473943.5598704598</v>
      </c>
      <c r="BB59" s="15">
        <f>BB52*INDEX(Ass!$I$49:'Ass'!$AC$49,1,MATCH(YEAR(BB$7),Ass!$I$48:'Ass'!$AC$48,0))</f>
        <v>1466573.8420711074</v>
      </c>
      <c r="BC59" s="15">
        <f>BC52*INDEX(Ass!$I$49:'Ass'!$AC$49,1,MATCH(YEAR(BC$7),Ass!$I$48:'Ass'!$AC$48,0))</f>
        <v>1475276.5879471337</v>
      </c>
      <c r="BD59" s="15">
        <f>BD52*INDEX(Ass!$I$49:'Ass'!$AC$49,1,MATCH(YEAR(BD$7),Ass!$I$48:'Ass'!$AC$48,0))</f>
        <v>1467900.205007398</v>
      </c>
      <c r="BE59" s="15">
        <f>BE52*INDEX(Ass!$I$49:'Ass'!$AC$49,1,MATCH(YEAR(BE$7),Ass!$I$48:'Ass'!$AC$48,0))</f>
        <v>1447862.6188440183</v>
      </c>
      <c r="BF59" s="15">
        <f>BF52*INDEX(Ass!$I$49:'Ass'!$AC$49,1,MATCH(YEAR(BF$7),Ass!$I$48:'Ass'!$AC$48,0))</f>
        <v>1456630.2313692404</v>
      </c>
      <c r="BG59" s="15">
        <f>BG52*INDEX(Ass!$I$49:'Ass'!$AC$49,1,MATCH(YEAR(BG$7),Ass!$I$48:'Ass'!$AC$48,0))</f>
        <v>1465273.9712037393</v>
      </c>
      <c r="BH59" s="15">
        <f>BH52*INDEX(Ass!$I$49:'Ass'!$AC$49,1,MATCH(YEAR(BH$7),Ass!$I$48:'Ass'!$AC$48,0))</f>
        <v>1457947.6013477205</v>
      </c>
      <c r="BI59" s="15">
        <f>BI52*INDEX(Ass!$I$49:'Ass'!$AC$49,1,MATCH(YEAR(BI$7),Ass!$I$48:'Ass'!$AC$48,0))</f>
        <v>1452341.8072982295</v>
      </c>
      <c r="BJ59" s="15">
        <f>BJ52*INDEX(Ass!$I$49:'Ass'!$AC$49,1,MATCH(YEAR(BJ$7),Ass!$I$48:'Ass'!$AC$48,0))</f>
        <v>1461136.5437979798</v>
      </c>
      <c r="BK59" s="15">
        <f>BK52*INDEX(Ass!$I$49:'Ass'!$AC$49,1,MATCH(YEAR(BK$7),Ass!$I$48:'Ass'!$AC$48,0))</f>
        <v>1469807.0243875503</v>
      </c>
      <c r="BL59" s="15">
        <f>BL52*INDEX(Ass!$I$49:'Ass'!$AC$49,1,MATCH(YEAR(BL$7),Ass!$I$48:'Ass'!$AC$48,0))</f>
        <v>1462457.9892656123</v>
      </c>
      <c r="BM59" s="15">
        <f>BM52*INDEX(Ass!$I$49:'Ass'!$AC$49,1,MATCH(YEAR(BM$7),Ass!$I$48:'Ass'!$AC$48,0))</f>
        <v>1448328.5172516117</v>
      </c>
      <c r="BN59" s="15">
        <f>BN52*INDEX(Ass!$I$49:'Ass'!$AC$49,1,MATCH(YEAR(BN$7),Ass!$I$48:'Ass'!$AC$48,0))</f>
        <v>1457098.9510505244</v>
      </c>
      <c r="BO59" s="15">
        <f>BO52*INDEX(Ass!$I$49:'Ass'!$AC$49,1,MATCH(YEAR(BO$7),Ass!$I$48:'Ass'!$AC$48,0))</f>
        <v>1465745.4722985167</v>
      </c>
      <c r="BP59" s="15">
        <f>BP52*INDEX(Ass!$I$49:'Ass'!$AC$49,1,MATCH(YEAR(BP$7),Ass!$I$48:'Ass'!$AC$48,0))</f>
        <v>1458416.7449370241</v>
      </c>
      <c r="BQ59" s="15">
        <f>BQ52*INDEX(Ass!$I$49:'Ass'!$AC$49,1,MATCH(YEAR(BQ$7),Ass!$I$48:'Ass'!$AC$48,0))</f>
        <v>1459247.9292863004</v>
      </c>
      <c r="BR59" s="15">
        <f>BR52*INDEX(Ass!$I$49:'Ass'!$AC$49,1,MATCH(YEAR(BR$7),Ass!$I$48:'Ass'!$AC$48,0))</f>
        <v>1451951.6896398689</v>
      </c>
      <c r="BS59" s="15">
        <f>BS52*INDEX(Ass!$I$49:'Ass'!$AC$49,1,MATCH(YEAR(BS$7),Ass!$I$48:'Ass'!$AC$48,0))</f>
        <v>1460567.6666992705</v>
      </c>
      <c r="BT59" s="15">
        <f>BT52*INDEX(Ass!$I$49:'Ass'!$AC$49,1,MATCH(YEAR(BT$7),Ass!$I$48:'Ass'!$AC$48,0))</f>
        <v>1453264.8283657739</v>
      </c>
      <c r="BU59" s="15">
        <f>BU52*INDEX(Ass!$I$49:'Ass'!$AC$49,1,MATCH(YEAR(BU$7),Ass!$I$48:'Ass'!$AC$48,0))</f>
        <v>1464105.6116459514</v>
      </c>
      <c r="BV59" s="15">
        <f>BV52*INDEX(Ass!$I$49:'Ass'!$AC$49,1,MATCH(YEAR(BV$7),Ass!$I$48:'Ass'!$AC$48,0))</f>
        <v>1472971.5845164738</v>
      </c>
      <c r="BW59" s="15">
        <f>BW52*INDEX(Ass!$I$49:'Ass'!$AC$49,1,MATCH(YEAR(BW$7),Ass!$I$48:'Ass'!$AC$48,0))</f>
        <v>1481712.2950180003</v>
      </c>
      <c r="BX59" s="15">
        <f>BX52*INDEX(Ass!$I$49:'Ass'!$AC$49,1,MATCH(YEAR(BX$7),Ass!$I$48:'Ass'!$AC$48,0))</f>
        <v>1474303.7335429103</v>
      </c>
      <c r="BY59" s="15">
        <f>BY52*INDEX(Ass!$I$49:'Ass'!$AC$49,1,MATCH(YEAR(BY$7),Ass!$I$48:'Ass'!$AC$48,0))</f>
        <v>1450455.1271269578</v>
      </c>
      <c r="BZ59" s="15">
        <f>BZ52*INDEX(Ass!$I$49:'Ass'!$AC$49,1,MATCH(YEAR(BZ$7),Ass!$I$48:'Ass'!$AC$48,0))</f>
        <v>1459238.4387301155</v>
      </c>
      <c r="CA59" s="15">
        <f>CA52*INDEX(Ass!$I$49:'Ass'!$AC$49,1,MATCH(YEAR(CA$7),Ass!$I$48:'Ass'!$AC$48,0))</f>
        <v>1467897.6558390637</v>
      </c>
      <c r="CB59" s="15">
        <f>CB52*INDEX(Ass!$I$49:'Ass'!$AC$49,1,MATCH(YEAR(CB$7),Ass!$I$48:'Ass'!$AC$48,0))</f>
        <v>1460558.167559868</v>
      </c>
      <c r="CC59" s="15">
        <f>CC52*INDEX(Ass!$I$49:'Ass'!$AC$49,1,MATCH(YEAR(CC$7),Ass!$I$48:'Ass'!$AC$48,0))</f>
        <v>1444079.3991377468</v>
      </c>
      <c r="CD59" s="15">
        <f>CD52*INDEX(Ass!$I$49:'Ass'!$AC$49,1,MATCH(YEAR(CD$7),Ass!$I$48:'Ass'!$AC$48,0))</f>
        <v>1452824.1021658585</v>
      </c>
      <c r="CE59" s="15">
        <f>CE52*INDEX(Ass!$I$49:'Ass'!$AC$49,1,MATCH(YEAR(CE$7),Ass!$I$48:'Ass'!$AC$48,0))</f>
        <v>1461445.2561787111</v>
      </c>
      <c r="CF59" s="15">
        <f>CF52*INDEX(Ass!$I$49:'Ass'!$AC$49,1,MATCH(YEAR(CF$7),Ass!$I$48:'Ass'!$AC$48,0))</f>
        <v>1454138.0298978174</v>
      </c>
      <c r="CG59" s="15">
        <f>CG52*INDEX(Ass!$I$49:'Ass'!$AC$49,1,MATCH(YEAR(CG$7),Ass!$I$48:'Ass'!$AC$48,0))</f>
        <v>1431140.5208380201</v>
      </c>
      <c r="CH59" s="15">
        <f>CH52*INDEX(Ass!$I$49:'Ass'!$AC$49,1,MATCH(YEAR(CH$7),Ass!$I$48:'Ass'!$AC$48,0))</f>
        <v>1423984.8182338302</v>
      </c>
      <c r="CI59" s="15">
        <f>CI52*INDEX(Ass!$I$49:'Ass'!$AC$49,1,MATCH(YEAR(CI$7),Ass!$I$48:'Ass'!$AC$48,0))</f>
        <v>1432434.8380343386</v>
      </c>
      <c r="CJ59" s="15">
        <f>CJ52*INDEX(Ass!$I$49:'Ass'!$AC$49,1,MATCH(YEAR(CJ$7),Ass!$I$48:'Ass'!$AC$48,0))</f>
        <v>1425272.6638441668</v>
      </c>
      <c r="CK59" s="15">
        <f>CK52*INDEX(Ass!$I$49:'Ass'!$AC$49,1,MATCH(YEAR(CK$7),Ass!$I$48:'Ass'!$AC$48,0))</f>
        <v>1387317.0331222299</v>
      </c>
      <c r="CL59" s="15">
        <f>CL52*INDEX(Ass!$I$49:'Ass'!$AC$49,1,MATCH(YEAR(CL$7),Ass!$I$48:'Ass'!$AC$48,0))</f>
        <v>1395718.00848947</v>
      </c>
      <c r="CM59" s="15">
        <f>CM52*INDEX(Ass!$I$49:'Ass'!$AC$49,1,MATCH(YEAR(CM$7),Ass!$I$48:'Ass'!$AC$48,0))</f>
        <v>1404000.2911772097</v>
      </c>
      <c r="CN59" s="15">
        <f>CN52*INDEX(Ass!$I$49:'Ass'!$AC$49,1,MATCH(YEAR(CN$7),Ass!$I$48:'Ass'!$AC$48,0))</f>
        <v>1396980.2897213239</v>
      </c>
    </row>
    <row r="60" spans="4:92" ht="12.75" customHeight="1" x14ac:dyDescent="0.3">
      <c r="D60" s="15" t="s">
        <v>33</v>
      </c>
      <c r="H60" s="16" t="s">
        <v>57</v>
      </c>
      <c r="J60" s="58">
        <f>SUM(L60:CN60)</f>
        <v>43251742.101305425</v>
      </c>
      <c r="L60" s="15">
        <f>L53*INDEX(Ass!$I$49:'Ass'!$AC$49,1,MATCH(YEAR(L$7),Ass!$I$48:'Ass'!$AC$48,0))</f>
        <v>0</v>
      </c>
      <c r="M60" s="15">
        <f>M53*INDEX(Ass!$I$49:'Ass'!$AC$49,1,MATCH(YEAR(M$7),Ass!$I$48:'Ass'!$AC$48,0))</f>
        <v>395387.99999999994</v>
      </c>
      <c r="N60" s="15">
        <f>N53*INDEX(Ass!$I$49:'Ass'!$AC$49,1,MATCH(YEAR(N$7),Ass!$I$48:'Ass'!$AC$48,0))</f>
        <v>401380.32479999994</v>
      </c>
      <c r="O60" s="15">
        <f>O53*INDEX(Ass!$I$49:'Ass'!$AC$49,1,MATCH(YEAR(O$7),Ass!$I$48:'Ass'!$AC$48,0))</f>
        <v>407414.26199039997</v>
      </c>
      <c r="P60" s="15">
        <f>P53*INDEX(Ass!$I$49:'Ass'!$AC$49,1,MATCH(YEAR(P$7),Ass!$I$48:'Ass'!$AC$48,0))</f>
        <v>409043.91903836158</v>
      </c>
      <c r="Q60" s="15">
        <f>Q53*INDEX(Ass!$I$49:'Ass'!$AC$49,1,MATCH(YEAR(Q$7),Ass!$I$48:'Ass'!$AC$48,0))</f>
        <v>423132.96399268607</v>
      </c>
      <c r="R60" s="15">
        <f>R53*INDEX(Ass!$I$49:'Ass'!$AC$49,1,MATCH(YEAR(R$7),Ass!$I$48:'Ass'!$AC$48,0))</f>
        <v>429545.77913586405</v>
      </c>
      <c r="S60" s="15">
        <f>S53*INDEX(Ass!$I$49:'Ass'!$AC$49,1,MATCH(YEAR(S$7),Ass!$I$48:'Ass'!$AC$48,0))</f>
        <v>435134.59454791754</v>
      </c>
      <c r="T60" s="15">
        <f>T53*INDEX(Ass!$I$49:'Ass'!$AC$49,1,MATCH(YEAR(T$7),Ass!$I$48:'Ass'!$AC$48,0))</f>
        <v>436004.86373701337</v>
      </c>
      <c r="U60" s="15">
        <f>U53*INDEX(Ass!$I$49:'Ass'!$AC$49,1,MATCH(YEAR(U$7),Ass!$I$48:'Ass'!$AC$48,0))</f>
        <v>438338.82906124502</v>
      </c>
      <c r="V60" s="15">
        <f>V53*INDEX(Ass!$I$49:'Ass'!$AC$49,1,MATCH(YEAR(V$7),Ass!$I$48:'Ass'!$AC$48,0))</f>
        <v>439215.50671936746</v>
      </c>
      <c r="W60" s="15">
        <f>W53*INDEX(Ass!$I$49:'Ass'!$AC$49,1,MATCH(YEAR(W$7),Ass!$I$48:'Ass'!$AC$48,0))</f>
        <v>444930.13485074922</v>
      </c>
      <c r="X60" s="15">
        <f>X53*INDEX(Ass!$I$49:'Ass'!$AC$49,1,MATCH(YEAR(X$7),Ass!$I$48:'Ass'!$AC$48,0))</f>
        <v>445819.99512045056</v>
      </c>
      <c r="Y60" s="15">
        <f>Y53*INDEX(Ass!$I$49:'Ass'!$AC$49,1,MATCH(YEAR(Y$7),Ass!$I$48:'Ass'!$AC$48,0))</f>
        <v>442279.71343174094</v>
      </c>
      <c r="Z60" s="15">
        <f>Z53*INDEX(Ass!$I$49:'Ass'!$AC$49,1,MATCH(YEAR(Z$7),Ass!$I$48:'Ass'!$AC$48,0))</f>
        <v>448088.32033481117</v>
      </c>
      <c r="AA60" s="15">
        <f>AA53*INDEX(Ass!$I$49:'Ass'!$AC$49,1,MATCH(YEAR(AA$7),Ass!$I$48:'Ass'!$AC$48,0))</f>
        <v>453918.39254663989</v>
      </c>
      <c r="AB60" s="15">
        <f>AB53*INDEX(Ass!$I$49:'Ass'!$AC$49,1,MATCH(YEAR(AB$7),Ass!$I$48:'Ass'!$AC$48,0))</f>
        <v>454826.22933173319</v>
      </c>
      <c r="AC60" s="15">
        <f>AC53*INDEX(Ass!$I$49:'Ass'!$AC$49,1,MATCH(YEAR(AC$7),Ass!$I$48:'Ass'!$AC$48,0))</f>
        <v>446288.46802591463</v>
      </c>
      <c r="AD60" s="15">
        <f>AD53*INDEX(Ass!$I$49:'Ass'!$AC$49,1,MATCH(YEAR(AD$7),Ass!$I$48:'Ass'!$AC$48,0))</f>
        <v>452149.72323932155</v>
      </c>
      <c r="AE60" s="15">
        <f>AE53*INDEX(Ass!$I$49:'Ass'!$AC$49,1,MATCH(YEAR(AE$7),Ass!$I$48:'Ass'!$AC$48,0))</f>
        <v>458032.63831971009</v>
      </c>
      <c r="AF60" s="15">
        <f>AF53*INDEX(Ass!$I$49:'Ass'!$AC$49,1,MATCH(YEAR(AF$7),Ass!$I$48:'Ass'!$AC$48,0))</f>
        <v>458948.70359634951</v>
      </c>
      <c r="AG60" s="15">
        <f>AG53*INDEX(Ass!$I$49:'Ass'!$AC$49,1,MATCH(YEAR(AG$7),Ass!$I$48:'Ass'!$AC$48,0))</f>
        <v>462386.11156402348</v>
      </c>
      <c r="AH60" s="15">
        <f>AH53*INDEX(Ass!$I$49:'Ass'!$AC$49,1,MATCH(YEAR(AH$7),Ass!$I$48:'Ass'!$AC$48,0))</f>
        <v>468458.78249589767</v>
      </c>
      <c r="AI60" s="15">
        <f>AI53*INDEX(Ass!$I$49:'Ass'!$AC$49,1,MATCH(YEAR(AI$7),Ass!$I$48:'Ass'!$AC$48,0))</f>
        <v>474553.89456705301</v>
      </c>
      <c r="AJ60" s="15">
        <f>AJ53*INDEX(Ass!$I$49:'Ass'!$AC$49,1,MATCH(YEAR(AJ$7),Ass!$I$48:'Ass'!$AC$48,0))</f>
        <v>475503.00235618721</v>
      </c>
      <c r="AK60" s="15">
        <f>AK53*INDEX(Ass!$I$49:'Ass'!$AC$49,1,MATCH(YEAR(AK$7),Ass!$I$48:'Ass'!$AC$48,0))</f>
        <v>473502.61393786757</v>
      </c>
      <c r="AL60" s="15">
        <f>AL53*INDEX(Ass!$I$49:'Ass'!$AC$49,1,MATCH(YEAR(AL$7),Ass!$I$48:'Ass'!$AC$48,0))</f>
        <v>474449.61916574341</v>
      </c>
      <c r="AM60" s="15">
        <f>AM53*INDEX(Ass!$I$49:'Ass'!$AC$49,1,MATCH(YEAR(AM$7),Ass!$I$48:'Ass'!$AC$48,0))</f>
        <v>480622.67794697691</v>
      </c>
      <c r="AN60" s="15">
        <f>AN53*INDEX(Ass!$I$49:'Ass'!$AC$49,1,MATCH(YEAR(AN$7),Ass!$I$48:'Ass'!$AC$48,0))</f>
        <v>481583.92330287083</v>
      </c>
      <c r="AO60" s="15">
        <f>AO53*INDEX(Ass!$I$49:'Ass'!$AC$49,1,MATCH(YEAR(AO$7),Ass!$I$48:'Ass'!$AC$48,0))</f>
        <v>481006.84043242934</v>
      </c>
      <c r="AP60" s="15">
        <f>AP53*INDEX(Ass!$I$49:'Ass'!$AC$49,1,MATCH(YEAR(AP$7),Ass!$I$48:'Ass'!$AC$48,0))</f>
        <v>487324.06360344193</v>
      </c>
      <c r="AQ60" s="15">
        <f>AQ53*INDEX(Ass!$I$49:'Ass'!$AC$49,1,MATCH(YEAR(AQ$7),Ass!$I$48:'Ass'!$AC$48,0))</f>
        <v>493664.63163977687</v>
      </c>
      <c r="AR60" s="15">
        <f>AR53*INDEX(Ass!$I$49:'Ass'!$AC$49,1,MATCH(YEAR(AR$7),Ass!$I$48:'Ass'!$AC$48,0))</f>
        <v>494651.96090305632</v>
      </c>
      <c r="AS60" s="15">
        <f>AS53*INDEX(Ass!$I$49:'Ass'!$AC$49,1,MATCH(YEAR(AS$7),Ass!$I$48:'Ass'!$AC$48,0))</f>
        <v>502367.23050589382</v>
      </c>
      <c r="AT60" s="15">
        <f>AT53*INDEX(Ass!$I$49:'Ass'!$AC$49,1,MATCH(YEAR(AT$7),Ass!$I$48:'Ass'!$AC$48,0))</f>
        <v>508964.9867998712</v>
      </c>
      <c r="AU60" s="15">
        <f>AU53*INDEX(Ass!$I$49:'Ass'!$AC$49,1,MATCH(YEAR(AU$7),Ass!$I$48:'Ass'!$AC$48,0))</f>
        <v>515587.1246501024</v>
      </c>
      <c r="AV60" s="15">
        <f>AV53*INDEX(Ass!$I$49:'Ass'!$AC$49,1,MATCH(YEAR(AV$7),Ass!$I$48:'Ass'!$AC$48,0))</f>
        <v>516618.29889940267</v>
      </c>
      <c r="AW60" s="15">
        <f>AW53*INDEX(Ass!$I$49:'Ass'!$AC$49,1,MATCH(YEAR(AW$7),Ass!$I$48:'Ass'!$AC$48,0))</f>
        <v>525748.86267218471</v>
      </c>
      <c r="AX60" s="15">
        <f>AX53*INDEX(Ass!$I$49:'Ass'!$AC$49,1,MATCH(YEAR(AX$7),Ass!$I$48:'Ass'!$AC$48,0))</f>
        <v>532653.69773527945</v>
      </c>
      <c r="AY60" s="15">
        <f>AY53*INDEX(Ass!$I$49:'Ass'!$AC$49,1,MATCH(YEAR(AY$7),Ass!$I$48:'Ass'!$AC$48,0))</f>
        <v>539584.04914317583</v>
      </c>
      <c r="AZ60" s="15">
        <f>AZ53*INDEX(Ass!$I$49:'Ass'!$AC$49,1,MATCH(YEAR(AZ$7),Ass!$I$48:'Ass'!$AC$48,0))</f>
        <v>540663.2172414622</v>
      </c>
      <c r="BA60" s="15">
        <f>BA53*INDEX(Ass!$I$49:'Ass'!$AC$49,1,MATCH(YEAR(BA$7),Ass!$I$48:'Ass'!$AC$48,0))</f>
        <v>543522.05345257663</v>
      </c>
      <c r="BB60" s="15">
        <f>BB53*INDEX(Ass!$I$49:'Ass'!$AC$49,1,MATCH(YEAR(BB$7),Ass!$I$48:'Ass'!$AC$48,0))</f>
        <v>544609.09755948174</v>
      </c>
      <c r="BC60" s="15">
        <f>BC53*INDEX(Ass!$I$49:'Ass'!$AC$49,1,MATCH(YEAR(BC$7),Ass!$I$48:'Ass'!$AC$48,0))</f>
        <v>551695.00054311298</v>
      </c>
      <c r="BD60" s="15">
        <f>BD53*INDEX(Ass!$I$49:'Ass'!$AC$49,1,MATCH(YEAR(BD$7),Ass!$I$48:'Ass'!$AC$48,0))</f>
        <v>552798.39054419915</v>
      </c>
      <c r="BE60" s="15">
        <f>BE53*INDEX(Ass!$I$49:'Ass'!$AC$49,1,MATCH(YEAR(BE$7),Ass!$I$48:'Ass'!$AC$48,0))</f>
        <v>549088.35729337833</v>
      </c>
      <c r="BF60" s="15">
        <f>BF53*INDEX(Ass!$I$49:'Ass'!$AC$49,1,MATCH(YEAR(BF$7),Ass!$I$48:'Ass'!$AC$48,0))</f>
        <v>556299.71771916456</v>
      </c>
      <c r="BG60" s="15">
        <f>BG53*INDEX(Ass!$I$49:'Ass'!$AC$49,1,MATCH(YEAR(BG$7),Ass!$I$48:'Ass'!$AC$48,0))</f>
        <v>563537.72723322501</v>
      </c>
      <c r="BH60" s="15">
        <f>BH53*INDEX(Ass!$I$49:'Ass'!$AC$49,1,MATCH(YEAR(BH$7),Ass!$I$48:'Ass'!$AC$48,0))</f>
        <v>564664.80268769152</v>
      </c>
      <c r="BI60" s="15">
        <f>BI53*INDEX(Ass!$I$49:'Ass'!$AC$49,1,MATCH(YEAR(BI$7),Ass!$I$48:'Ass'!$AC$48,0))</f>
        <v>566450.91404305631</v>
      </c>
      <c r="BJ60" s="15">
        <f>BJ53*INDEX(Ass!$I$49:'Ass'!$AC$49,1,MATCH(YEAR(BJ$7),Ass!$I$48:'Ass'!$AC$48,0))</f>
        <v>573890.30271415517</v>
      </c>
      <c r="BK60" s="15">
        <f>BK53*INDEX(Ass!$I$49:'Ass'!$AC$49,1,MATCH(YEAR(BK$7),Ass!$I$48:'Ass'!$AC$48,0))</f>
        <v>581357.18313628214</v>
      </c>
      <c r="BL60" s="15">
        <f>BL53*INDEX(Ass!$I$49:'Ass'!$AC$49,1,MATCH(YEAR(BL$7),Ass!$I$48:'Ass'!$AC$48,0))</f>
        <v>582519.8975025547</v>
      </c>
      <c r="BM60" s="15">
        <f>BM53*INDEX(Ass!$I$49:'Ass'!$AC$49,1,MATCH(YEAR(BM$7),Ass!$I$48:'Ass'!$AC$48,0))</f>
        <v>580950.44377599913</v>
      </c>
      <c r="BN60" s="15">
        <f>BN53*INDEX(Ass!$I$49:'Ass'!$AC$49,1,MATCH(YEAR(BN$7),Ass!$I$48:'Ass'!$AC$48,0))</f>
        <v>588580.2596042573</v>
      </c>
      <c r="BO60" s="15">
        <f>BO53*INDEX(Ass!$I$49:'Ass'!$AC$49,1,MATCH(YEAR(BO$7),Ass!$I$48:'Ass'!$AC$48,0))</f>
        <v>596238.27089405339</v>
      </c>
      <c r="BP60" s="15">
        <f>BP53*INDEX(Ass!$I$49:'Ass'!$AC$49,1,MATCH(YEAR(BP$7),Ass!$I$48:'Ass'!$AC$48,0))</f>
        <v>597430.74743584148</v>
      </c>
      <c r="BQ60" s="15">
        <f>BQ53*INDEX(Ass!$I$49:'Ass'!$AC$49,1,MATCH(YEAR(BQ$7),Ass!$I$48:'Ass'!$AC$48,0))</f>
        <v>601976.66237723094</v>
      </c>
      <c r="BR60" s="15">
        <f>BR53*INDEX(Ass!$I$49:'Ass'!$AC$49,1,MATCH(YEAR(BR$7),Ass!$I$48:'Ass'!$AC$48,0))</f>
        <v>603180.61570198555</v>
      </c>
      <c r="BS60" s="15">
        <f>BS53*INDEX(Ass!$I$49:'Ass'!$AC$49,1,MATCH(YEAR(BS$7),Ass!$I$48:'Ass'!$AC$48,0))</f>
        <v>611028.5920645257</v>
      </c>
      <c r="BT60" s="15">
        <f>BT53*INDEX(Ass!$I$49:'Ass'!$AC$49,1,MATCH(YEAR(BT$7),Ass!$I$48:'Ass'!$AC$48,0))</f>
        <v>612250.64924865472</v>
      </c>
      <c r="BU60" s="15">
        <f>BU53*INDEX(Ass!$I$49:'Ass'!$AC$49,1,MATCH(YEAR(BU$7),Ass!$I$48:'Ass'!$AC$48,0))</f>
        <v>621157.21966357226</v>
      </c>
      <c r="BV60" s="15">
        <f>BV53*INDEX(Ass!$I$49:'Ass'!$AC$49,1,MATCH(YEAR(BV$7),Ass!$I$48:'Ass'!$AC$48,0))</f>
        <v>629315.08448182046</v>
      </c>
      <c r="BW60" s="15">
        <f>BW53*INDEX(Ass!$I$49:'Ass'!$AC$49,1,MATCH(YEAR(BW$7),Ass!$I$48:'Ass'!$AC$48,0))</f>
        <v>637503.09613046318</v>
      </c>
      <c r="BX60" s="15">
        <f>BX53*INDEX(Ass!$I$49:'Ass'!$AC$49,1,MATCH(YEAR(BX$7),Ass!$I$48:'Ass'!$AC$48,0))</f>
        <v>638778.10232272395</v>
      </c>
      <c r="BY60" s="15">
        <f>BY53*INDEX(Ass!$I$49:'Ass'!$AC$49,1,MATCH(YEAR(BY$7),Ass!$I$48:'Ass'!$AC$48,0))</f>
        <v>632866.33297955676</v>
      </c>
      <c r="BZ60" s="15">
        <f>BZ53*INDEX(Ass!$I$49:'Ass'!$AC$49,1,MATCH(YEAR(BZ$7),Ass!$I$48:'Ass'!$AC$48,0))</f>
        <v>641177.97748602158</v>
      </c>
      <c r="CA60" s="15">
        <f>CA53*INDEX(Ass!$I$49:'Ass'!$AC$49,1,MATCH(YEAR(CA$7),Ass!$I$48:'Ass'!$AC$48,0))</f>
        <v>649520.33710518049</v>
      </c>
      <c r="CB60" s="15">
        <f>CB53*INDEX(Ass!$I$49:'Ass'!$AC$49,1,MATCH(YEAR(CB$7),Ass!$I$48:'Ass'!$AC$48,0))</f>
        <v>650819.3777793909</v>
      </c>
      <c r="CC60" s="15">
        <f>CC53*INDEX(Ass!$I$49:'Ass'!$AC$49,1,MATCH(YEAR(CC$7),Ass!$I$48:'Ass'!$AC$48,0))</f>
        <v>648003.46918171889</v>
      </c>
      <c r="CD60" s="15">
        <f>CD53*INDEX(Ass!$I$49:'Ass'!$AC$49,1,MATCH(YEAR(CD$7),Ass!$I$48:'Ass'!$AC$48,0))</f>
        <v>656513.91474363883</v>
      </c>
      <c r="CE60" s="15">
        <f>CE53*INDEX(Ass!$I$49:'Ass'!$AC$49,1,MATCH(YEAR(CE$7),Ass!$I$48:'Ass'!$AC$48,0))</f>
        <v>665055.81007392972</v>
      </c>
      <c r="CF60" s="15">
        <f>CF53*INDEX(Ass!$I$49:'Ass'!$AC$49,1,MATCH(YEAR(CF$7),Ass!$I$48:'Ass'!$AC$48,0))</f>
        <v>666385.92169407755</v>
      </c>
      <c r="CG60" s="15">
        <f>CG53*INDEX(Ass!$I$49:'Ass'!$AC$49,1,MATCH(YEAR(CG$7),Ass!$I$48:'Ass'!$AC$48,0))</f>
        <v>660460.88165118883</v>
      </c>
      <c r="CH60" s="15">
        <f>CH53*INDEX(Ass!$I$49:'Ass'!$AC$49,1,MATCH(YEAR(CH$7),Ass!$I$48:'Ass'!$AC$48,0))</f>
        <v>661781.80341449124</v>
      </c>
      <c r="CI60" s="15">
        <f>CI53*INDEX(Ass!$I$49:'Ass'!$AC$49,1,MATCH(YEAR(CI$7),Ass!$I$48:'Ass'!$AC$48,0))</f>
        <v>670392.2391863896</v>
      </c>
      <c r="CJ60" s="15">
        <f>CJ53*INDEX(Ass!$I$49:'Ass'!$AC$49,1,MATCH(YEAR(CJ$7),Ass!$I$48:'Ass'!$AC$48,0))</f>
        <v>671733.02366476238</v>
      </c>
      <c r="CK60" s="15">
        <f>CK53*INDEX(Ass!$I$49:'Ass'!$AC$49,1,MATCH(YEAR(CK$7),Ass!$I$48:'Ass'!$AC$48,0))</f>
        <v>658444.39210965531</v>
      </c>
      <c r="CL60" s="15">
        <f>CL53*INDEX(Ass!$I$49:'Ass'!$AC$49,1,MATCH(YEAR(CL$7),Ass!$I$48:'Ass'!$AC$48,0))</f>
        <v>667091.96179269545</v>
      </c>
      <c r="CM60" s="15">
        <f>CM53*INDEX(Ass!$I$49:'Ass'!$AC$49,1,MATCH(YEAR(CM$7),Ass!$I$48:'Ass'!$AC$48,0))</f>
        <v>675771.48797689925</v>
      </c>
      <c r="CN60" s="15">
        <f>CN53*INDEX(Ass!$I$49:'Ass'!$AC$49,1,MATCH(YEAR(CN$7),Ass!$I$48:'Ass'!$AC$48,0))</f>
        <v>677123.03095285303</v>
      </c>
    </row>
    <row r="61" spans="4:92" ht="12.75" customHeight="1" x14ac:dyDescent="0.3">
      <c r="D61" s="15" t="s">
        <v>34</v>
      </c>
      <c r="H61" s="16" t="s">
        <v>57</v>
      </c>
      <c r="J61" s="58">
        <f>SUM(L61:CN61)</f>
        <v>39141038.607368492</v>
      </c>
      <c r="L61" s="15">
        <f>L54*INDEX(Ass!$I$49:'Ass'!$AC$49,1,MATCH(YEAR(L$7),Ass!$I$48:'Ass'!$AC$48,0))</f>
        <v>0</v>
      </c>
      <c r="M61" s="15">
        <f>M54*INDEX(Ass!$I$49:'Ass'!$AC$49,1,MATCH(YEAR(M$7),Ass!$I$48:'Ass'!$AC$48,0))</f>
        <v>282420</v>
      </c>
      <c r="N61" s="15">
        <f>N54*INDEX(Ass!$I$49:'Ass'!$AC$49,1,MATCH(YEAR(N$7),Ass!$I$48:'Ass'!$AC$48,0))</f>
        <v>290126.92799999996</v>
      </c>
      <c r="O61" s="15">
        <f>O54*INDEX(Ass!$I$49:'Ass'!$AC$49,1,MATCH(YEAR(O$7),Ass!$I$48:'Ass'!$AC$48,0))</f>
        <v>298008.17817600002</v>
      </c>
      <c r="P61" s="15">
        <f>P54*INDEX(Ass!$I$49:'Ass'!$AC$49,1,MATCH(YEAR(P$7),Ass!$I$48:'Ass'!$AC$48,0))</f>
        <v>302776.30902681599</v>
      </c>
      <c r="Q61" s="15">
        <f>Q54*INDEX(Ass!$I$49:'Ass'!$AC$49,1,MATCH(YEAR(Q$7),Ass!$I$48:'Ass'!$AC$48,0))</f>
        <v>316948.57611448312</v>
      </c>
      <c r="R61" s="15">
        <f>R54*INDEX(Ass!$I$49:'Ass'!$AC$49,1,MATCH(YEAR(R$7),Ass!$I$48:'Ass'!$AC$48,0))</f>
        <v>325597.75059156283</v>
      </c>
      <c r="S61" s="15">
        <f>S54*INDEX(Ass!$I$49:'Ass'!$AC$49,1,MATCH(YEAR(S$7),Ass!$I$48:'Ass'!$AC$48,0))</f>
        <v>332467.50532931887</v>
      </c>
      <c r="T61" s="15">
        <f>T54*INDEX(Ass!$I$49:'Ass'!$AC$49,1,MATCH(YEAR(T$7),Ass!$I$48:'Ass'!$AC$48,0))</f>
        <v>335792.1803826121</v>
      </c>
      <c r="U61" s="15">
        <f>U54*INDEX(Ass!$I$49:'Ass'!$AC$49,1,MATCH(YEAR(U$7),Ass!$I$48:'Ass'!$AC$48,0))</f>
        <v>340285.02696764813</v>
      </c>
      <c r="V61" s="15">
        <f>V54*INDEX(Ass!$I$49:'Ass'!$AC$49,1,MATCH(YEAR(V$7),Ass!$I$48:'Ass'!$AC$48,0))</f>
        <v>343687.87723732466</v>
      </c>
      <c r="W61" s="15">
        <f>W54*INDEX(Ass!$I$49:'Ass'!$AC$49,1,MATCH(YEAR(W$7),Ass!$I$48:'Ass'!$AC$48,0))</f>
        <v>350939.31376804621</v>
      </c>
      <c r="X61" s="15">
        <f>X54*INDEX(Ass!$I$49:'Ass'!$AC$49,1,MATCH(YEAR(X$7),Ass!$I$48:'Ass'!$AC$48,0))</f>
        <v>354448.70690572675</v>
      </c>
      <c r="Y61" s="15">
        <f>Y54*INDEX(Ass!$I$49:'Ass'!$AC$49,1,MATCH(YEAR(Y$7),Ass!$I$48:'Ass'!$AC$48,0))</f>
        <v>354441.46692630346</v>
      </c>
      <c r="Z61" s="15">
        <f>Z54*INDEX(Ass!$I$49:'Ass'!$AC$49,1,MATCH(YEAR(Z$7),Ass!$I$48:'Ass'!$AC$48,0))</f>
        <v>361963.50250218395</v>
      </c>
      <c r="AA61" s="15">
        <f>AA54*INDEX(Ass!$I$49:'Ass'!$AC$49,1,MATCH(YEAR(AA$7),Ass!$I$48:'Ass'!$AC$48,0))</f>
        <v>369600.5346428894</v>
      </c>
      <c r="AB61" s="15">
        <f>AB54*INDEX(Ass!$I$49:'Ass'!$AC$49,1,MATCH(YEAR(AB$7),Ass!$I$48:'Ass'!$AC$48,0))</f>
        <v>373296.53998931823</v>
      </c>
      <c r="AC61" s="15">
        <f>AC54*INDEX(Ass!$I$49:'Ass'!$AC$49,1,MATCH(YEAR(AC$7),Ass!$I$48:'Ass'!$AC$48,0))</f>
        <v>369213.67635061027</v>
      </c>
      <c r="AD61" s="15">
        <f>AD54*INDEX(Ass!$I$49:'Ass'!$AC$49,1,MATCH(YEAR(AD$7),Ass!$I$48:'Ass'!$AC$48,0))</f>
        <v>377049.21103760652</v>
      </c>
      <c r="AE61" s="15">
        <f>AE54*INDEX(Ass!$I$49:'Ass'!$AC$49,1,MATCH(YEAR(AE$7),Ass!$I$48:'Ass'!$AC$48,0))</f>
        <v>385004.53505070769</v>
      </c>
      <c r="AF61" s="15">
        <f>AF54*INDEX(Ass!$I$49:'Ass'!$AC$49,1,MATCH(YEAR(AF$7),Ass!$I$48:'Ass'!$AC$48,0))</f>
        <v>388854.58040121477</v>
      </c>
      <c r="AG61" s="15">
        <f>AG54*INDEX(Ass!$I$49:'Ass'!$AC$49,1,MATCH(YEAR(AG$7),Ass!$I$48:'Ass'!$AC$48,0))</f>
        <v>392939.9564748205</v>
      </c>
      <c r="AH61" s="15">
        <f>AH54*INDEX(Ass!$I$49:'Ass'!$AC$49,1,MATCH(YEAR(AH$7),Ass!$I$48:'Ass'!$AC$48,0))</f>
        <v>399292.48577116342</v>
      </c>
      <c r="AI61" s="15">
        <f>AI54*INDEX(Ass!$I$49:'Ass'!$AC$49,1,MATCH(YEAR(AI$7),Ass!$I$48:'Ass'!$AC$48,0))</f>
        <v>405698.71686155786</v>
      </c>
      <c r="AJ61" s="15">
        <f>AJ54*INDEX(Ass!$I$49:'Ass'!$AC$49,1,MATCH(YEAR(AJ$7),Ass!$I$48:'Ass'!$AC$48,0))</f>
        <v>407727.21044586558</v>
      </c>
      <c r="AK61" s="15">
        <f>AK54*INDEX(Ass!$I$49:'Ass'!$AC$49,1,MATCH(YEAR(AK$7),Ass!$I$48:'Ass'!$AC$48,0))</f>
        <v>407227.55190327344</v>
      </c>
      <c r="AL61" s="15">
        <f>AL54*INDEX(Ass!$I$49:'Ass'!$AC$49,1,MATCH(YEAR(AL$7),Ass!$I$48:'Ass'!$AC$48,0))</f>
        <v>409263.68966278981</v>
      </c>
      <c r="AM61" s="15">
        <f>AM54*INDEX(Ass!$I$49:'Ass'!$AC$49,1,MATCH(YEAR(AM$7),Ass!$I$48:'Ass'!$AC$48,0))</f>
        <v>415829.89831012679</v>
      </c>
      <c r="AN61" s="15">
        <f>AN54*INDEX(Ass!$I$49:'Ass'!$AC$49,1,MATCH(YEAR(AN$7),Ass!$I$48:'Ass'!$AC$48,0))</f>
        <v>417909.04780167743</v>
      </c>
      <c r="AO61" s="15">
        <f>AO54*INDEX(Ass!$I$49:'Ass'!$AC$49,1,MATCH(YEAR(AO$7),Ass!$I$48:'Ass'!$AC$48,0))</f>
        <v>418657.99199686077</v>
      </c>
      <c r="AP61" s="15">
        <f>AP54*INDEX(Ass!$I$49:'Ass'!$AC$49,1,MATCH(YEAR(AP$7),Ass!$I$48:'Ass'!$AC$48,0))</f>
        <v>425426.29620080988</v>
      </c>
      <c r="AQ61" s="15">
        <f>AQ54*INDEX(Ass!$I$49:'Ass'!$AC$49,1,MATCH(YEAR(AQ$7),Ass!$I$48:'Ass'!$AC$48,0))</f>
        <v>432251.81699699856</v>
      </c>
      <c r="AR61" s="15">
        <f>AR54*INDEX(Ass!$I$49:'Ass'!$AC$49,1,MATCH(YEAR(AR$7),Ass!$I$48:'Ass'!$AC$48,0))</f>
        <v>434413.07608198357</v>
      </c>
      <c r="AS61" s="15">
        <f>AS54*INDEX(Ass!$I$49:'Ass'!$AC$49,1,MATCH(YEAR(AS$7),Ass!$I$48:'Ass'!$AC$48,0))</f>
        <v>442509.70199986576</v>
      </c>
      <c r="AT61" s="15">
        <f>AT54*INDEX(Ass!$I$49:'Ass'!$AC$49,1,MATCH(YEAR(AT$7),Ass!$I$48:'Ass'!$AC$48,0))</f>
        <v>449663.60884886363</v>
      </c>
      <c r="AU61" s="15">
        <f>AU54*INDEX(Ass!$I$49:'Ass'!$AC$49,1,MATCH(YEAR(AU$7),Ass!$I$48:'Ass'!$AC$48,0))</f>
        <v>456877.99202380137</v>
      </c>
      <c r="AV61" s="15">
        <f>AV54*INDEX(Ass!$I$49:'Ass'!$AC$49,1,MATCH(YEAR(AV$7),Ass!$I$48:'Ass'!$AC$48,0))</f>
        <v>459162.38198392035</v>
      </c>
      <c r="AW61" s="15">
        <f>AW54*INDEX(Ass!$I$49:'Ass'!$AC$49,1,MATCH(YEAR(AW$7),Ass!$I$48:'Ass'!$AC$48,0))</f>
        <v>468676.52073594288</v>
      </c>
      <c r="AX61" s="15">
        <f>AX54*INDEX(Ass!$I$49:'Ass'!$AC$49,1,MATCH(YEAR(AX$7),Ass!$I$48:'Ass'!$AC$48,0))</f>
        <v>476253.45782117388</v>
      </c>
      <c r="AY61" s="15">
        <f>AY54*INDEX(Ass!$I$49:'Ass'!$AC$49,1,MATCH(YEAR(AY$7),Ass!$I$48:'Ass'!$AC$48,0))</f>
        <v>483894.44736423891</v>
      </c>
      <c r="AZ61" s="15">
        <f>AZ54*INDEX(Ass!$I$49:'Ass'!$AC$49,1,MATCH(YEAR(AZ$7),Ass!$I$48:'Ass'!$AC$48,0))</f>
        <v>486313.91960105998</v>
      </c>
      <c r="BA61" s="15">
        <f>BA54*INDEX(Ass!$I$49:'Ass'!$AC$49,1,MATCH(YEAR(BA$7),Ass!$I$48:'Ass'!$AC$48,0))</f>
        <v>490349.10458472493</v>
      </c>
      <c r="BB61" s="15">
        <f>BB54*INDEX(Ass!$I$49:'Ass'!$AC$49,1,MATCH(YEAR(BB$7),Ass!$I$48:'Ass'!$AC$48,0))</f>
        <v>492800.85010764853</v>
      </c>
      <c r="BC61" s="15">
        <f>BC54*INDEX(Ass!$I$49:'Ass'!$AC$49,1,MATCH(YEAR(BC$7),Ass!$I$48:'Ass'!$AC$48,0))</f>
        <v>500707.32528519985</v>
      </c>
      <c r="BD61" s="15">
        <f>BD54*INDEX(Ass!$I$49:'Ass'!$AC$49,1,MATCH(YEAR(BD$7),Ass!$I$48:'Ass'!$AC$48,0))</f>
        <v>503210.86191162572</v>
      </c>
      <c r="BE61" s="15">
        <f>BE54*INDEX(Ass!$I$49:'Ass'!$AC$49,1,MATCH(YEAR(BE$7),Ass!$I$48:'Ass'!$AC$48,0))</f>
        <v>501330.13666835951</v>
      </c>
      <c r="BF61" s="15">
        <f>BF54*INDEX(Ass!$I$49:'Ass'!$AC$49,1,MATCH(YEAR(BF$7),Ass!$I$48:'Ass'!$AC$48,0))</f>
        <v>509434.97387783136</v>
      </c>
      <c r="BG61" s="15">
        <f>BG54*INDEX(Ass!$I$49:'Ass'!$AC$49,1,MATCH(YEAR(BG$7),Ass!$I$48:'Ass'!$AC$48,0))</f>
        <v>517608.32620598108</v>
      </c>
      <c r="BH61" s="15">
        <f>BH54*INDEX(Ass!$I$49:'Ass'!$AC$49,1,MATCH(YEAR(BH$7),Ass!$I$48:'Ass'!$AC$48,0))</f>
        <v>520196.36783701094</v>
      </c>
      <c r="BI61" s="15">
        <f>BI54*INDEX(Ass!$I$49:'Ass'!$AC$49,1,MATCH(YEAR(BI$7),Ass!$I$48:'Ass'!$AC$48,0))</f>
        <v>523404.22015896067</v>
      </c>
      <c r="BJ61" s="15">
        <f>BJ54*INDEX(Ass!$I$49:'Ass'!$AC$49,1,MATCH(YEAR(BJ$7),Ass!$I$48:'Ass'!$AC$48,0))</f>
        <v>531865.92171819718</v>
      </c>
      <c r="BK61" s="15">
        <f>BK54*INDEX(Ass!$I$49:'Ass'!$AC$49,1,MATCH(YEAR(BK$7),Ass!$I$48:'Ass'!$AC$48,0))</f>
        <v>540399.15518752206</v>
      </c>
      <c r="BL61" s="15">
        <f>BL54*INDEX(Ass!$I$49:'Ass'!$AC$49,1,MATCH(YEAR(BL$7),Ass!$I$48:'Ass'!$AC$48,0))</f>
        <v>543101.15096345963</v>
      </c>
      <c r="BM61" s="15">
        <f>BM54*INDEX(Ass!$I$49:'Ass'!$AC$49,1,MATCH(YEAR(BM$7),Ass!$I$48:'Ass'!$AC$48,0))</f>
        <v>543259.57152319467</v>
      </c>
      <c r="BN61" s="15">
        <f>BN54*INDEX(Ass!$I$49:'Ass'!$AC$49,1,MATCH(YEAR(BN$7),Ass!$I$48:'Ass'!$AC$48,0))</f>
        <v>552042.26792948623</v>
      </c>
      <c r="BO61" s="15">
        <f>BO54*INDEX(Ass!$I$49:'Ass'!$AC$49,1,MATCH(YEAR(BO$7),Ass!$I$48:'Ass'!$AC$48,0))</f>
        <v>560899.20981055265</v>
      </c>
      <c r="BP61" s="15">
        <f>BP54*INDEX(Ass!$I$49:'Ass'!$AC$49,1,MATCH(YEAR(BP$7),Ass!$I$48:'Ass'!$AC$48,0))</f>
        <v>563703.70585960534</v>
      </c>
      <c r="BQ61" s="15">
        <f>BQ54*INDEX(Ass!$I$49:'Ass'!$AC$49,1,MATCH(YEAR(BQ$7),Ass!$I$48:'Ass'!$AC$48,0))</f>
        <v>569693.56591563567</v>
      </c>
      <c r="BR61" s="15">
        <f>BR54*INDEX(Ass!$I$49:'Ass'!$AC$49,1,MATCH(YEAR(BR$7),Ass!$I$48:'Ass'!$AC$48,0))</f>
        <v>572542.03374521388</v>
      </c>
      <c r="BS61" s="15">
        <f>BS54*INDEX(Ass!$I$49:'Ass'!$AC$49,1,MATCH(YEAR(BS$7),Ass!$I$48:'Ass'!$AC$48,0))</f>
        <v>581727.87296793913</v>
      </c>
      <c r="BT61" s="15">
        <f>BT54*INDEX(Ass!$I$49:'Ass'!$AC$49,1,MATCH(YEAR(BT$7),Ass!$I$48:'Ass'!$AC$48,0))</f>
        <v>584636.51233277877</v>
      </c>
      <c r="BU61" s="15">
        <f>BU54*INDEX(Ass!$I$49:'Ass'!$AC$49,1,MATCH(YEAR(BU$7),Ass!$I$48:'Ass'!$AC$48,0))</f>
        <v>594917.24504488672</v>
      </c>
      <c r="BV61" s="15">
        <f>BV54*INDEX(Ass!$I$49:'Ass'!$AC$49,1,MATCH(YEAR(BV$7),Ass!$I$48:'Ass'!$AC$48,0))</f>
        <v>604535.07383977901</v>
      </c>
      <c r="BW61" s="15">
        <f>BW54*INDEX(Ass!$I$49:'Ass'!$AC$49,1,MATCH(YEAR(BW$7),Ass!$I$48:'Ass'!$AC$48,0))</f>
        <v>614234.2079914941</v>
      </c>
      <c r="BX61" s="15">
        <f>BX54*INDEX(Ass!$I$49:'Ass'!$AC$49,1,MATCH(YEAR(BX$7),Ass!$I$48:'Ass'!$AC$48,0))</f>
        <v>617305.37903145154</v>
      </c>
      <c r="BY61" s="15">
        <f>BY54*INDEX(Ass!$I$49:'Ass'!$AC$49,1,MATCH(YEAR(BY$7),Ass!$I$48:'Ass'!$AC$48,0))</f>
        <v>613423.45041885425</v>
      </c>
      <c r="BZ61" s="15">
        <f>BZ54*INDEX(Ass!$I$49:'Ass'!$AC$49,1,MATCH(YEAR(BZ$7),Ass!$I$48:'Ass'!$AC$48,0))</f>
        <v>623340.46286729234</v>
      </c>
      <c r="CA61" s="15">
        <f>CA54*INDEX(Ass!$I$49:'Ass'!$AC$49,1,MATCH(YEAR(CA$7),Ass!$I$48:'Ass'!$AC$48,0))</f>
        <v>633341.30985395436</v>
      </c>
      <c r="CB61" s="15">
        <f>CB54*INDEX(Ass!$I$49:'Ass'!$AC$49,1,MATCH(YEAR(CB$7),Ass!$I$48:'Ass'!$AC$48,0))</f>
        <v>636508.01640322397</v>
      </c>
      <c r="CC61" s="15">
        <f>CC54*INDEX(Ass!$I$49:'Ass'!$AC$49,1,MATCH(YEAR(CC$7),Ass!$I$48:'Ass'!$AC$48,0))</f>
        <v>635651.49611000798</v>
      </c>
      <c r="CD61" s="15">
        <f>CD54*INDEX(Ass!$I$49:'Ass'!$AC$49,1,MATCH(YEAR(CD$7),Ass!$I$48:'Ass'!$AC$48,0))</f>
        <v>645927.8619637863</v>
      </c>
      <c r="CE61" s="15">
        <f>CE54*INDEX(Ass!$I$49:'Ass'!$AC$49,1,MATCH(YEAR(CE$7),Ass!$I$48:'Ass'!$AC$48,0))</f>
        <v>656291.10018869978</v>
      </c>
      <c r="CF61" s="15">
        <f>CF54*INDEX(Ass!$I$49:'Ass'!$AC$49,1,MATCH(YEAR(CF$7),Ass!$I$48:'Ass'!$AC$48,0))</f>
        <v>659572.55568964314</v>
      </c>
      <c r="CG61" s="15">
        <f>CG54*INDEX(Ass!$I$49:'Ass'!$AC$49,1,MATCH(YEAR(CG$7),Ass!$I$48:'Ass'!$AC$48,0))</f>
        <v>655665.30522387289</v>
      </c>
      <c r="CH61" s="15">
        <f>CH54*INDEX(Ass!$I$49:'Ass'!$AC$49,1,MATCH(YEAR(CH$7),Ass!$I$48:'Ass'!$AC$48,0))</f>
        <v>658943.63174999226</v>
      </c>
      <c r="CI61" s="15">
        <f>CI54*INDEX(Ass!$I$49:'Ass'!$AC$49,1,MATCH(YEAR(CI$7),Ass!$I$48:'Ass'!$AC$48,0))</f>
        <v>669515.69441323378</v>
      </c>
      <c r="CJ61" s="15">
        <f>CJ54*INDEX(Ass!$I$49:'Ass'!$AC$49,1,MATCH(YEAR(CJ$7),Ass!$I$48:'Ass'!$AC$48,0))</f>
        <v>672863.27288529987</v>
      </c>
      <c r="CK61" s="15">
        <f>CK54*INDEX(Ass!$I$49:'Ass'!$AC$49,1,MATCH(YEAR(CK$7),Ass!$I$48:'Ass'!$AC$48,0))</f>
        <v>661526.98948342795</v>
      </c>
      <c r="CL61" s="15">
        <f>CL54*INDEX(Ass!$I$49:'Ass'!$AC$49,1,MATCH(YEAR(CL$7),Ass!$I$48:'Ass'!$AC$48,0))</f>
        <v>672221.67581340985</v>
      </c>
      <c r="CM61" s="15">
        <f>CM54*INDEX(Ass!$I$49:'Ass'!$AC$49,1,MATCH(YEAR(CM$7),Ass!$I$48:'Ass'!$AC$48,0))</f>
        <v>683006.77083195443</v>
      </c>
      <c r="CN61" s="15">
        <f>CN54*INDEX(Ass!$I$49:'Ass'!$AC$49,1,MATCH(YEAR(CN$7),Ass!$I$48:'Ass'!$AC$48,0))</f>
        <v>686421.80468611431</v>
      </c>
    </row>
    <row r="62" spans="4:92" ht="12.75" customHeight="1" x14ac:dyDescent="0.3">
      <c r="D62" s="50" t="s">
        <v>104</v>
      </c>
      <c r="H62" s="16" t="s">
        <v>57</v>
      </c>
      <c r="J62" s="59">
        <f>SUM(L62:CN62)</f>
        <v>462228356.37826025</v>
      </c>
      <c r="L62" s="50">
        <f>SUM(L58:L61)</f>
        <v>0</v>
      </c>
      <c r="M62" s="50">
        <f t="shared" ref="M62" si="570">SUM(M58:M61)</f>
        <v>2315844</v>
      </c>
      <c r="N62" s="50">
        <f t="shared" ref="N62" si="571">SUM(N58:N61)</f>
        <v>2363163.7847999996</v>
      </c>
      <c r="O62" s="50">
        <f t="shared" ref="O62" si="572">SUM(O58:O61)</f>
        <v>2412522.3056063997</v>
      </c>
      <c r="P62" s="50">
        <f t="shared" ref="P62" si="573">SUM(P58:P61)</f>
        <v>2437595.7107189372</v>
      </c>
      <c r="Q62" s="50">
        <f t="shared" ref="Q62" si="574">SUM(Q58:Q61)</f>
        <v>2539211.1394605651</v>
      </c>
      <c r="R62" s="50">
        <f t="shared" ref="R62" si="575">SUM(R58:R61)</f>
        <v>2597467.0231360681</v>
      </c>
      <c r="S62" s="50">
        <f t="shared" ref="S62" si="576">SUM(S58:S61)</f>
        <v>2644089.7849092968</v>
      </c>
      <c r="T62" s="50">
        <f t="shared" ref="T62" si="577">SUM(T58:T61)</f>
        <v>2663527.9166206792</v>
      </c>
      <c r="U62" s="50">
        <f t="shared" ref="U62" si="578">SUM(U58:U61)</f>
        <v>2693385.3849242092</v>
      </c>
      <c r="V62" s="50">
        <f t="shared" ref="V62" si="579">SUM(V58:V61)</f>
        <v>2715853.0506049916</v>
      </c>
      <c r="W62" s="50">
        <f t="shared" ref="W62" si="580">SUM(W58:W61)</f>
        <v>2770040.4090599567</v>
      </c>
      <c r="X62" s="50">
        <f t="shared" ref="X62" si="581">SUM(X58:X61)</f>
        <v>2796104.913270297</v>
      </c>
      <c r="Y62" s="50">
        <f t="shared" ref="Y62" si="582">SUM(Y58:Y61)</f>
        <v>2795972.7211006656</v>
      </c>
      <c r="Z62" s="50">
        <f t="shared" ref="Z62" si="583">SUM(Z58:Z61)</f>
        <v>2856882.1673038048</v>
      </c>
      <c r="AA62" s="50">
        <f t="shared" ref="AA62" si="584">SUM(AA58:AA61)</f>
        <v>2920509.0492728883</v>
      </c>
      <c r="AB62" s="50">
        <f t="shared" ref="AB62" si="585">SUM(AB58:AB61)</f>
        <v>2954922.5172744277</v>
      </c>
      <c r="AC62" s="50">
        <f t="shared" ref="AC62" si="586">SUM(AC58:AC61)</f>
        <v>2929626.5613874719</v>
      </c>
      <c r="AD62" s="50">
        <f t="shared" ref="AD62" si="587">SUM(AD58:AD61)</f>
        <v>3000954.6109828162</v>
      </c>
      <c r="AE62" s="50">
        <f t="shared" ref="AE62" si="588">SUM(AE58:AE61)</f>
        <v>3075721.1816774542</v>
      </c>
      <c r="AF62" s="50">
        <f t="shared" ref="AF62" si="589">SUM(AF58:AF61)</f>
        <v>3120247.3218993316</v>
      </c>
      <c r="AG62" s="50">
        <f t="shared" ref="AG62" si="590">SUM(AG58:AG61)</f>
        <v>3166370.5882508312</v>
      </c>
      <c r="AH62" s="50">
        <f t="shared" ref="AH62" si="591">SUM(AH58:AH61)</f>
        <v>3232302.3522699852</v>
      </c>
      <c r="AI62" s="50">
        <f t="shared" ref="AI62" si="592">SUM(AI58:AI61)</f>
        <v>3300379.0436202893</v>
      </c>
      <c r="AJ62" s="50">
        <f t="shared" ref="AJ62" si="593">SUM(AJ58:AJ61)</f>
        <v>3334461.7168306592</v>
      </c>
      <c r="AK62" s="50">
        <f t="shared" ref="AK62" si="594">SUM(AK58:AK61)</f>
        <v>3349252.8681249493</v>
      </c>
      <c r="AL62" s="50">
        <f t="shared" ref="AL62" si="595">SUM(AL58:AL61)</f>
        <v>3386335.2100658817</v>
      </c>
      <c r="AM62" s="50">
        <f t="shared" ref="AM62" si="596">SUM(AM58:AM61)</f>
        <v>3462755.4493990177</v>
      </c>
      <c r="AN62" s="50">
        <f t="shared" ref="AN62" si="597">SUM(AN58:AN61)</f>
        <v>3503747.7883567219</v>
      </c>
      <c r="AO62" s="50">
        <f t="shared" ref="AO62" si="598">SUM(AO58:AO61)</f>
        <v>3535273.5870800782</v>
      </c>
      <c r="AP62" s="50">
        <f t="shared" ref="AP62" si="599">SUM(AP58:AP61)</f>
        <v>3619679.6109392531</v>
      </c>
      <c r="AQ62" s="50">
        <f t="shared" ref="AQ62" si="600">SUM(AQ58:AQ61)</f>
        <v>3707116.3250530339</v>
      </c>
      <c r="AR62" s="50">
        <f t="shared" ref="AR62" si="601">SUM(AR58:AR61)</f>
        <v>3756894.7437904342</v>
      </c>
      <c r="AS62" s="50">
        <f t="shared" ref="AS62" si="602">SUM(AS58:AS61)</f>
        <v>3860561.5246764682</v>
      </c>
      <c r="AT62" s="50">
        <f t="shared" ref="AT62" si="603">SUM(AT58:AT61)</f>
        <v>3959070.7281886125</v>
      </c>
      <c r="AU62" s="50">
        <f t="shared" ref="AU62" si="604">SUM(AU58:AU61)</f>
        <v>4061264.4527301346</v>
      </c>
      <c r="AV62" s="50">
        <f t="shared" ref="AV62" si="605">SUM(AV58:AV61)</f>
        <v>4122510.4976126053</v>
      </c>
      <c r="AW62" s="50">
        <f t="shared" ref="AW62" si="606">SUM(AW58:AW61)</f>
        <v>4251901.0566705046</v>
      </c>
      <c r="AX62" s="50">
        <f t="shared" ref="AX62" si="607">SUM(AX58:AX61)</f>
        <v>4367607.4918943029</v>
      </c>
      <c r="AY62" s="50">
        <f t="shared" ref="AY62" si="608">SUM(AY58:AY61)</f>
        <v>4487799.7890789462</v>
      </c>
      <c r="AZ62" s="50">
        <f t="shared" ref="AZ62" si="609">SUM(AZ58:AZ61)</f>
        <v>4563094.6382156834</v>
      </c>
      <c r="BA62" s="50">
        <f t="shared" ref="BA62" si="610">SUM(BA58:BA61)</f>
        <v>4656838.9888159111</v>
      </c>
      <c r="BB62" s="50">
        <f t="shared" ref="BB62" si="611">SUM(BB58:BB61)</f>
        <v>4738969.0314827142</v>
      </c>
      <c r="BC62" s="50">
        <f t="shared" ref="BC62" si="612">SUM(BC58:BC61)</f>
        <v>4877606.2536667818</v>
      </c>
      <c r="BD62" s="50">
        <f t="shared" ref="BD62" si="613">SUM(BD58:BD61)</f>
        <v>4967833.8909502113</v>
      </c>
      <c r="BE62" s="50">
        <f t="shared" ref="BE62" si="614">SUM(BE58:BE61)</f>
        <v>5017865.1969951205</v>
      </c>
      <c r="BF62" s="50">
        <f t="shared" ref="BF62" si="615">SUM(BF58:BF61)</f>
        <v>5171847.5643849187</v>
      </c>
      <c r="BG62" s="50">
        <f t="shared" ref="BG62" si="616">SUM(BG58:BG61)</f>
        <v>5332161.7733345879</v>
      </c>
      <c r="BH62" s="50">
        <f t="shared" ref="BH62" si="617">SUM(BH58:BH61)</f>
        <v>5439980.1905117314</v>
      </c>
      <c r="BI62" s="50">
        <f t="shared" ref="BI62" si="618">SUM(BI58:BI61)</f>
        <v>5558752.817114573</v>
      </c>
      <c r="BJ62" s="50">
        <f t="shared" ref="BJ62" si="619">SUM(BJ58:BJ61)</f>
        <v>5738968.8578763315</v>
      </c>
      <c r="BK62" s="50">
        <f t="shared" ref="BK62" si="620">SUM(BK58:BK61)</f>
        <v>5926774.7941105766</v>
      </c>
      <c r="BL62" s="50">
        <f t="shared" ref="BL62" si="621">SUM(BL58:BL61)</f>
        <v>6056698.9263868183</v>
      </c>
      <c r="BM62" s="50">
        <f t="shared" ref="BM62" si="622">SUM(BM58:BM61)</f>
        <v>6163003.1483616661</v>
      </c>
      <c r="BN62" s="50">
        <f t="shared" ref="BN62" si="623">SUM(BN58:BN61)</f>
        <v>6373294.4923658222</v>
      </c>
      <c r="BO62" s="50">
        <f t="shared" ref="BO62" si="624">SUM(BO58:BO61)</f>
        <v>6592628.2932077292</v>
      </c>
      <c r="BP62" s="50">
        <f t="shared" ref="BP62" si="625">SUM(BP58:BP61)</f>
        <v>6748086.3520452613</v>
      </c>
      <c r="BQ62" s="50">
        <f t="shared" ref="BQ62" si="626">SUM(BQ58:BQ61)</f>
        <v>6948630.340845326</v>
      </c>
      <c r="BR62" s="50">
        <f t="shared" ref="BR62" si="627">SUM(BR58:BR61)</f>
        <v>7118095.0096838735</v>
      </c>
      <c r="BS62" s="50">
        <f t="shared" ref="BS62" si="628">SUM(BS58:BS61)</f>
        <v>7374680.722530663</v>
      </c>
      <c r="BT62" s="50">
        <f t="shared" ref="BT62" si="629">SUM(BT58:BT61)</f>
        <v>7560362.8443780923</v>
      </c>
      <c r="BU62" s="50">
        <f t="shared" ref="BU62" si="630">SUM(BU58:BU61)</f>
        <v>7850745.5611390909</v>
      </c>
      <c r="BV62" s="50">
        <f t="shared" ref="BV62" si="631">SUM(BV58:BV61)</f>
        <v>8143958.6037272103</v>
      </c>
      <c r="BW62" s="50">
        <f t="shared" ref="BW62" si="632">SUM(BW58:BW61)</f>
        <v>8450210.6414462496</v>
      </c>
      <c r="BX62" s="50">
        <f t="shared" ref="BX62" si="633">SUM(BX58:BX61)</f>
        <v>8675818.6988956295</v>
      </c>
      <c r="BY62" s="50">
        <f t="shared" ref="BY62" si="634">SUM(BY58:BY61)</f>
        <v>8810541.2749120239</v>
      </c>
      <c r="BZ62" s="50">
        <f t="shared" ref="BZ62" si="635">SUM(BZ58:BZ61)</f>
        <v>9152753.4115895722</v>
      </c>
      <c r="CA62" s="50">
        <f t="shared" ref="CA62" si="636">SUM(CA58:CA61)</f>
        <v>9510389.9426903743</v>
      </c>
      <c r="CB62" s="50">
        <f t="shared" ref="CB62" si="637">SUM(CB58:CB61)</f>
        <v>9777901.4272303451</v>
      </c>
      <c r="CC62" s="50">
        <f t="shared" ref="CC62" si="638">SUM(CC58:CC61)</f>
        <v>9992787.2240688987</v>
      </c>
      <c r="CD62" s="50">
        <f t="shared" ref="CD62" si="639">SUM(CD58:CD61)</f>
        <v>10394872.574831899</v>
      </c>
      <c r="CE62" s="50">
        <f t="shared" ref="CE62" si="640">SUM(CE58:CE61)</f>
        <v>10815292.921049256</v>
      </c>
      <c r="CF62" s="50">
        <f t="shared" ref="CF62" si="641">SUM(CF58:CF61)</f>
        <v>11133897.292073771</v>
      </c>
      <c r="CG62" s="50">
        <f t="shared" ref="CG62" si="642">SUM(CG58:CG61)</f>
        <v>11340785.254155874</v>
      </c>
      <c r="CH62" s="50">
        <f t="shared" ref="CH62" si="643">SUM(CH58:CH61)</f>
        <v>11681969.541698821</v>
      </c>
      <c r="CI62" s="50">
        <f t="shared" ref="CI62" si="644">SUM(CI58:CI61)</f>
        <v>12169232.537618496</v>
      </c>
      <c r="CJ62" s="50">
        <f t="shared" ref="CJ62" si="645">SUM(CJ58:CJ61)</f>
        <v>12542634.317018144</v>
      </c>
      <c r="CK62" s="50">
        <f t="shared" ref="CK62" si="646">SUM(CK58:CK61)</f>
        <v>12650014.907976165</v>
      </c>
      <c r="CL62" s="50">
        <f t="shared" ref="CL62" si="647">SUM(CL58:CL61)</f>
        <v>13190360.927453432</v>
      </c>
      <c r="CM62" s="50">
        <f t="shared" ref="CM62" si="648">SUM(CM58:CM61)</f>
        <v>13755810.480099466</v>
      </c>
      <c r="CN62" s="50">
        <f t="shared" ref="CN62" si="649">SUM(CN58:CN61)</f>
        <v>14193278.332678229</v>
      </c>
    </row>
    <row r="63" spans="4:92" ht="12.75" customHeight="1" x14ac:dyDescent="0.3">
      <c r="D63" s="15"/>
      <c r="H63" s="1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</row>
    <row r="64" spans="4:92" ht="12.75" customHeight="1" x14ac:dyDescent="0.3">
      <c r="D64" s="25" t="s">
        <v>154</v>
      </c>
      <c r="H64" s="1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</row>
    <row r="65" spans="3:92" ht="12.75" customHeight="1" x14ac:dyDescent="0.3">
      <c r="D65" s="15" t="s">
        <v>31</v>
      </c>
      <c r="H65" s="16" t="s">
        <v>57</v>
      </c>
      <c r="J65" s="58">
        <f>SUM(L65:CN65)</f>
        <v>51485035.433267742</v>
      </c>
      <c r="L65" s="15">
        <f t="shared" ref="L65:AQ65" si="650">L51-L58</f>
        <v>0</v>
      </c>
      <c r="M65" s="15">
        <f t="shared" si="650"/>
        <v>134064.00000000003</v>
      </c>
      <c r="N65" s="15">
        <f t="shared" si="650"/>
        <v>146397.88800000004</v>
      </c>
      <c r="O65" s="15">
        <f t="shared" si="650"/>
        <v>159847.18848000001</v>
      </c>
      <c r="P65" s="15">
        <f t="shared" si="650"/>
        <v>172634.96355840005</v>
      </c>
      <c r="Q65" s="15">
        <f t="shared" si="650"/>
        <v>166034.07267840009</v>
      </c>
      <c r="R65" s="15">
        <f t="shared" si="650"/>
        <v>181309.2073648129</v>
      </c>
      <c r="S65" s="15">
        <f t="shared" si="650"/>
        <v>194299.71321117092</v>
      </c>
      <c r="T65" s="15">
        <f t="shared" si="650"/>
        <v>205957.69600384118</v>
      </c>
      <c r="U65" s="15">
        <f t="shared" si="650"/>
        <v>209890.69026474311</v>
      </c>
      <c r="V65" s="15">
        <f t="shared" si="650"/>
        <v>222484.1316806277</v>
      </c>
      <c r="W65" s="15">
        <f t="shared" si="650"/>
        <v>238424.7529834595</v>
      </c>
      <c r="X65" s="15">
        <f t="shared" si="650"/>
        <v>252730.23816246708</v>
      </c>
      <c r="Y65" s="15">
        <f t="shared" si="650"/>
        <v>255627.87363042729</v>
      </c>
      <c r="Z65" s="15">
        <f t="shared" si="650"/>
        <v>273976.27433767798</v>
      </c>
      <c r="AA65" s="15">
        <f t="shared" si="650"/>
        <v>293606.22278472921</v>
      </c>
      <c r="AB65" s="15">
        <f t="shared" si="650"/>
        <v>311222.59615181305</v>
      </c>
      <c r="AC65" s="15">
        <f t="shared" si="650"/>
        <v>322021.41650298843</v>
      </c>
      <c r="AD65" s="15">
        <f t="shared" si="650"/>
        <v>345135.39817642525</v>
      </c>
      <c r="AE65" s="15">
        <f t="shared" si="650"/>
        <v>369863.7805512636</v>
      </c>
      <c r="AF65" s="15">
        <f t="shared" si="650"/>
        <v>392055.60738433944</v>
      </c>
      <c r="AG65" s="15">
        <f t="shared" si="650"/>
        <v>375366.89388987282</v>
      </c>
      <c r="AH65" s="15">
        <f t="shared" si="650"/>
        <v>394719.14264152851</v>
      </c>
      <c r="AI65" s="15">
        <f t="shared" si="650"/>
        <v>415018.98426309286</v>
      </c>
      <c r="AJ65" s="15">
        <f t="shared" si="650"/>
        <v>431619.7436336166</v>
      </c>
      <c r="AK65" s="15">
        <f t="shared" si="650"/>
        <v>439150.42435385566</v>
      </c>
      <c r="AL65" s="15">
        <f t="shared" si="650"/>
        <v>456716.44132801006</v>
      </c>
      <c r="AM65" s="15">
        <f t="shared" si="650"/>
        <v>480204.71545345034</v>
      </c>
      <c r="AN65" s="15">
        <f t="shared" si="650"/>
        <v>499412.90407158853</v>
      </c>
      <c r="AO65" s="15">
        <f t="shared" si="650"/>
        <v>485459.45810858347</v>
      </c>
      <c r="AP65" s="15">
        <f t="shared" si="650"/>
        <v>510487.59017107054</v>
      </c>
      <c r="AQ65" s="15">
        <f t="shared" si="650"/>
        <v>536741.23766558245</v>
      </c>
      <c r="AR65" s="15">
        <f t="shared" ref="AR65:BW65" si="651">AR51-AR58</f>
        <v>558210.88717220584</v>
      </c>
      <c r="AS65" s="15">
        <f t="shared" si="651"/>
        <v>516543.34970117128</v>
      </c>
      <c r="AT65" s="15">
        <f t="shared" si="651"/>
        <v>543174.02906354284</v>
      </c>
      <c r="AU65" s="15">
        <f t="shared" si="651"/>
        <v>571108.69341538218</v>
      </c>
      <c r="AV65" s="15">
        <f t="shared" si="651"/>
        <v>593953.0411519974</v>
      </c>
      <c r="AW65" s="15">
        <f t="shared" si="651"/>
        <v>538356.67908539833</v>
      </c>
      <c r="AX65" s="15">
        <f t="shared" si="651"/>
        <v>566111.95676268986</v>
      </c>
      <c r="AY65" s="15">
        <f t="shared" si="651"/>
        <v>595226.28596762824</v>
      </c>
      <c r="AZ65" s="15">
        <f t="shared" si="651"/>
        <v>619035.33740633354</v>
      </c>
      <c r="BA65" s="15">
        <f t="shared" si="651"/>
        <v>606488.32161416113</v>
      </c>
      <c r="BB65" s="15">
        <f t="shared" si="651"/>
        <v>630747.85447872756</v>
      </c>
      <c r="BC65" s="15">
        <f t="shared" si="651"/>
        <v>663186.31556620495</v>
      </c>
      <c r="BD65" s="15">
        <f t="shared" si="651"/>
        <v>689713.76818885282</v>
      </c>
      <c r="BE65" s="15">
        <f t="shared" si="651"/>
        <v>668552.17316779681</v>
      </c>
      <c r="BF65" s="15">
        <f t="shared" si="651"/>
        <v>703019.75187333673</v>
      </c>
      <c r="BG65" s="15">
        <f t="shared" si="651"/>
        <v>739175.05339825107</v>
      </c>
      <c r="BH65" s="15">
        <f t="shared" si="651"/>
        <v>768742.05553418119</v>
      </c>
      <c r="BI65" s="15">
        <f t="shared" si="651"/>
        <v>713112.61550131068</v>
      </c>
      <c r="BJ65" s="15">
        <f t="shared" si="651"/>
        <v>749877.53256715601</v>
      </c>
      <c r="BK65" s="15">
        <f t="shared" si="651"/>
        <v>788442.66281346651</v>
      </c>
      <c r="BL65" s="15">
        <f t="shared" si="651"/>
        <v>819980.36932600569</v>
      </c>
      <c r="BM65" s="15">
        <f t="shared" si="651"/>
        <v>772719.99448305275</v>
      </c>
      <c r="BN65" s="15">
        <f t="shared" si="651"/>
        <v>812558.00308751222</v>
      </c>
      <c r="BO65" s="15">
        <f t="shared" si="651"/>
        <v>854346.70038915612</v>
      </c>
      <c r="BP65" s="15">
        <f t="shared" si="651"/>
        <v>888520.56840472203</v>
      </c>
      <c r="BQ65" s="15">
        <f t="shared" si="651"/>
        <v>843311.22489324771</v>
      </c>
      <c r="BR65" s="15">
        <f t="shared" si="651"/>
        <v>877043.67388897762</v>
      </c>
      <c r="BS65" s="15">
        <f t="shared" si="651"/>
        <v>922148.77711755317</v>
      </c>
      <c r="BT65" s="15">
        <f t="shared" si="651"/>
        <v>959034.72820225544</v>
      </c>
      <c r="BU65" s="15">
        <f t="shared" si="651"/>
        <v>800753.93406816758</v>
      </c>
      <c r="BV65" s="15">
        <f t="shared" si="651"/>
        <v>842037.24800234847</v>
      </c>
      <c r="BW65" s="15">
        <f t="shared" si="651"/>
        <v>885342.02075675502</v>
      </c>
      <c r="BX65" s="15">
        <f t="shared" ref="BX65:CN65" si="652">BX51-BX58</f>
        <v>920755.70158702508</v>
      </c>
      <c r="BY65" s="15">
        <f t="shared" si="652"/>
        <v>871802.77225257736</v>
      </c>
      <c r="BZ65" s="15">
        <f t="shared" si="652"/>
        <v>916749.04851093236</v>
      </c>
      <c r="CA65" s="15">
        <f t="shared" si="652"/>
        <v>963896.14243435115</v>
      </c>
      <c r="CB65" s="15">
        <f t="shared" si="652"/>
        <v>1002451.9881317252</v>
      </c>
      <c r="CC65" s="15">
        <f t="shared" si="652"/>
        <v>907110.08708658814</v>
      </c>
      <c r="CD65" s="15">
        <f t="shared" si="652"/>
        <v>953876.65157638583</v>
      </c>
      <c r="CE65" s="15">
        <f t="shared" si="652"/>
        <v>1002933.1650860291</v>
      </c>
      <c r="CF65" s="15">
        <f t="shared" si="652"/>
        <v>1043050.4916894697</v>
      </c>
      <c r="CG65" s="15">
        <f t="shared" si="652"/>
        <v>1072981.5057988204</v>
      </c>
      <c r="CH65" s="15">
        <f t="shared" si="652"/>
        <v>1115900.7660307735</v>
      </c>
      <c r="CI65" s="15">
        <f t="shared" si="652"/>
        <v>1173289.9482837841</v>
      </c>
      <c r="CJ65" s="15">
        <f t="shared" si="652"/>
        <v>1220221.5462151356</v>
      </c>
      <c r="CK65" s="15">
        <f t="shared" si="652"/>
        <v>1241442.7904971372</v>
      </c>
      <c r="CL65" s="15">
        <f t="shared" si="652"/>
        <v>1305446.0632516574</v>
      </c>
      <c r="CM65" s="15">
        <f t="shared" si="652"/>
        <v>1372583.2893617433</v>
      </c>
      <c r="CN65" s="15">
        <f t="shared" si="652"/>
        <v>1427486.6209362131</v>
      </c>
    </row>
    <row r="66" spans="3:92" ht="12.75" customHeight="1" x14ac:dyDescent="0.3">
      <c r="D66" s="15" t="s">
        <v>32</v>
      </c>
      <c r="H66" s="16" t="s">
        <v>57</v>
      </c>
      <c r="J66" s="58">
        <f>SUM(L66:CN66)</f>
        <v>36758686.534469426</v>
      </c>
      <c r="L66" s="15">
        <f t="shared" ref="L66:AQ66" si="653">L52-L59</f>
        <v>0</v>
      </c>
      <c r="M66" s="15">
        <f t="shared" si="653"/>
        <v>837900.00000000023</v>
      </c>
      <c r="N66" s="15">
        <f t="shared" si="653"/>
        <v>845515.58000000007</v>
      </c>
      <c r="O66" s="15">
        <f t="shared" si="653"/>
        <v>853097.34608000005</v>
      </c>
      <c r="P66" s="15">
        <f t="shared" si="653"/>
        <v>851391.15138784028</v>
      </c>
      <c r="Q66" s="15">
        <f t="shared" si="653"/>
        <v>756666.28160420433</v>
      </c>
      <c r="R66" s="15">
        <f t="shared" si="653"/>
        <v>763543.53736367356</v>
      </c>
      <c r="S66" s="15">
        <f t="shared" si="653"/>
        <v>768074.45505791926</v>
      </c>
      <c r="T66" s="15">
        <f t="shared" si="653"/>
        <v>764234.08278262988</v>
      </c>
      <c r="U66" s="15">
        <f t="shared" si="653"/>
        <v>731069.67330126301</v>
      </c>
      <c r="V66" s="15">
        <f t="shared" si="653"/>
        <v>727414.32493475662</v>
      </c>
      <c r="W66" s="15">
        <f t="shared" si="653"/>
        <v>731730.84950030339</v>
      </c>
      <c r="X66" s="15">
        <f t="shared" si="653"/>
        <v>728072.19525280176</v>
      </c>
      <c r="Y66" s="15">
        <f t="shared" si="653"/>
        <v>691261.96603164007</v>
      </c>
      <c r="Z66" s="15">
        <f t="shared" si="653"/>
        <v>695447.94127038727</v>
      </c>
      <c r="AA66" s="15">
        <f t="shared" si="653"/>
        <v>699574.77520759613</v>
      </c>
      <c r="AB66" s="15">
        <f t="shared" si="653"/>
        <v>696076.90133155813</v>
      </c>
      <c r="AC66" s="15">
        <f t="shared" si="653"/>
        <v>676064.40792717645</v>
      </c>
      <c r="AD66" s="15">
        <f t="shared" si="653"/>
        <v>680158.35350851319</v>
      </c>
      <c r="AE66" s="15">
        <f t="shared" si="653"/>
        <v>684194.45802383847</v>
      </c>
      <c r="AF66" s="15">
        <f t="shared" si="653"/>
        <v>680773.48573371908</v>
      </c>
      <c r="AG66" s="15">
        <f t="shared" si="653"/>
        <v>623592.19548276812</v>
      </c>
      <c r="AH66" s="15">
        <f t="shared" si="653"/>
        <v>627368.39266652474</v>
      </c>
      <c r="AI66" s="15">
        <f t="shared" si="653"/>
        <v>631091.23807355692</v>
      </c>
      <c r="AJ66" s="15">
        <f t="shared" si="653"/>
        <v>627935.78188318899</v>
      </c>
      <c r="AK66" s="15">
        <f t="shared" si="653"/>
        <v>611247.33278330346</v>
      </c>
      <c r="AL66" s="15">
        <f t="shared" si="653"/>
        <v>608191.09611938684</v>
      </c>
      <c r="AM66" s="15">
        <f t="shared" si="653"/>
        <v>611800.14218427101</v>
      </c>
      <c r="AN66" s="15">
        <f t="shared" si="653"/>
        <v>608741.14147334988</v>
      </c>
      <c r="AO66" s="15">
        <f t="shared" si="653"/>
        <v>566129.26157021546</v>
      </c>
      <c r="AP66" s="15">
        <f t="shared" si="653"/>
        <v>569557.48876527953</v>
      </c>
      <c r="AQ66" s="15">
        <f t="shared" si="653"/>
        <v>572937.28045685356</v>
      </c>
      <c r="AR66" s="15">
        <f t="shared" ref="AR66:BW66" si="654">AR52-AR59</f>
        <v>570072.59405456949</v>
      </c>
      <c r="AS66" s="15">
        <f t="shared" si="654"/>
        <v>504694.27277936088</v>
      </c>
      <c r="AT66" s="15">
        <f t="shared" si="654"/>
        <v>507750.476986747</v>
      </c>
      <c r="AU66" s="15">
        <f t="shared" si="654"/>
        <v>510763.50179523998</v>
      </c>
      <c r="AV66" s="15">
        <f t="shared" si="654"/>
        <v>508209.68428626354</v>
      </c>
      <c r="AW66" s="15">
        <f t="shared" si="654"/>
        <v>440707.73513093125</v>
      </c>
      <c r="AX66" s="15">
        <f t="shared" si="654"/>
        <v>443376.46530477959</v>
      </c>
      <c r="AY66" s="15">
        <f t="shared" si="654"/>
        <v>446007.49048351147</v>
      </c>
      <c r="AZ66" s="15">
        <f t="shared" si="654"/>
        <v>443777.45303109381</v>
      </c>
      <c r="BA66" s="15">
        <f t="shared" si="654"/>
        <v>415969.96733874641</v>
      </c>
      <c r="BB66" s="15">
        <f t="shared" si="654"/>
        <v>413890.1175020528</v>
      </c>
      <c r="BC66" s="15">
        <f t="shared" si="654"/>
        <v>416346.16874876805</v>
      </c>
      <c r="BD66" s="15">
        <f t="shared" si="654"/>
        <v>414264.43790502427</v>
      </c>
      <c r="BE66" s="15">
        <f t="shared" si="654"/>
        <v>384179.16129519278</v>
      </c>
      <c r="BF66" s="15">
        <f t="shared" si="654"/>
        <v>386505.57954970258</v>
      </c>
      <c r="BG66" s="15">
        <f t="shared" si="654"/>
        <v>388799.1291426348</v>
      </c>
      <c r="BH66" s="15">
        <f t="shared" si="654"/>
        <v>386855.13349692174</v>
      </c>
      <c r="BI66" s="15">
        <f t="shared" si="654"/>
        <v>343333.0286293542</v>
      </c>
      <c r="BJ66" s="15">
        <f t="shared" si="654"/>
        <v>345412.10085827648</v>
      </c>
      <c r="BK66" s="15">
        <f t="shared" si="654"/>
        <v>347461.79903919366</v>
      </c>
      <c r="BL66" s="15">
        <f t="shared" si="654"/>
        <v>345724.49004399776</v>
      </c>
      <c r="BM66" s="15">
        <f t="shared" si="654"/>
        <v>311701.27646768838</v>
      </c>
      <c r="BN66" s="15">
        <f t="shared" si="654"/>
        <v>313588.80086407601</v>
      </c>
      <c r="BO66" s="15">
        <f t="shared" si="654"/>
        <v>315449.65748458798</v>
      </c>
      <c r="BP66" s="15">
        <f t="shared" si="654"/>
        <v>313872.40919716517</v>
      </c>
      <c r="BQ66" s="15">
        <f t="shared" si="654"/>
        <v>285012.08659500559</v>
      </c>
      <c r="BR66" s="15">
        <f t="shared" si="654"/>
        <v>283587.02616203041</v>
      </c>
      <c r="BS66" s="15">
        <f t="shared" si="654"/>
        <v>285269.85027332162</v>
      </c>
      <c r="BT66" s="15">
        <f t="shared" si="654"/>
        <v>283843.50102195516</v>
      </c>
      <c r="BU66" s="15">
        <f t="shared" si="654"/>
        <v>226742.76766569144</v>
      </c>
      <c r="BV66" s="15">
        <f t="shared" si="654"/>
        <v>228115.82109211152</v>
      </c>
      <c r="BW66" s="15">
        <f t="shared" si="654"/>
        <v>229469.47541507566</v>
      </c>
      <c r="BX66" s="15">
        <f t="shared" ref="BX66:CN66" si="655">BX52-BX59</f>
        <v>228322.12803800032</v>
      </c>
      <c r="BY66" s="15">
        <f t="shared" si="655"/>
        <v>206829.06748793949</v>
      </c>
      <c r="BZ66" s="15">
        <f t="shared" si="655"/>
        <v>208081.53239661641</v>
      </c>
      <c r="CA66" s="15">
        <f t="shared" si="655"/>
        <v>209316.30192951928</v>
      </c>
      <c r="CB66" s="15">
        <f t="shared" si="655"/>
        <v>208269.72041987185</v>
      </c>
      <c r="CC66" s="15">
        <f t="shared" si="655"/>
        <v>180306.87660775031</v>
      </c>
      <c r="CD66" s="15">
        <f t="shared" si="655"/>
        <v>181398.73491609725</v>
      </c>
      <c r="CE66" s="15">
        <f t="shared" si="655"/>
        <v>182475.16696944553</v>
      </c>
      <c r="CF66" s="15">
        <f t="shared" si="655"/>
        <v>181562.7911345982</v>
      </c>
      <c r="CG66" s="15">
        <f t="shared" si="655"/>
        <v>178691.33612263273</v>
      </c>
      <c r="CH66" s="15">
        <f t="shared" si="655"/>
        <v>177797.87944201939</v>
      </c>
      <c r="CI66" s="15">
        <f t="shared" si="655"/>
        <v>178852.94378156541</v>
      </c>
      <c r="CJ66" s="15">
        <f t="shared" si="655"/>
        <v>177958.67906265776</v>
      </c>
      <c r="CK66" s="15">
        <f t="shared" si="655"/>
        <v>173219.56206588028</v>
      </c>
      <c r="CL66" s="15">
        <f t="shared" si="655"/>
        <v>174268.50274727936</v>
      </c>
      <c r="CM66" s="15">
        <f t="shared" si="655"/>
        <v>175302.62353281258</v>
      </c>
      <c r="CN66" s="15">
        <f t="shared" si="655"/>
        <v>174426.11041514855</v>
      </c>
    </row>
    <row r="67" spans="3:92" ht="12.75" customHeight="1" x14ac:dyDescent="0.3">
      <c r="D67" s="15" t="s">
        <v>33</v>
      </c>
      <c r="H67" s="16" t="s">
        <v>57</v>
      </c>
      <c r="J67" s="58">
        <f>SUM(L67:CN67)</f>
        <v>12678257.682616599</v>
      </c>
      <c r="L67" s="15">
        <f t="shared" ref="L67:AQ67" si="656">L53-L60</f>
        <v>0</v>
      </c>
      <c r="M67" s="15">
        <f t="shared" si="656"/>
        <v>234612.00000000006</v>
      </c>
      <c r="N67" s="15">
        <f t="shared" si="656"/>
        <v>238167.67520000006</v>
      </c>
      <c r="O67" s="15">
        <f t="shared" si="656"/>
        <v>241748.04200960003</v>
      </c>
      <c r="P67" s="15">
        <f t="shared" si="656"/>
        <v>242715.03417763842</v>
      </c>
      <c r="Q67" s="15">
        <f t="shared" si="656"/>
        <v>217007.67744859395</v>
      </c>
      <c r="R67" s="15">
        <f t="shared" si="656"/>
        <v>220296.5493601482</v>
      </c>
      <c r="S67" s="15">
        <f t="shared" si="656"/>
        <v>223162.82534303196</v>
      </c>
      <c r="T67" s="15">
        <f t="shared" si="656"/>
        <v>223609.15099371801</v>
      </c>
      <c r="U67" s="15">
        <f t="shared" si="656"/>
        <v>215410.35671242402</v>
      </c>
      <c r="V67" s="15">
        <f t="shared" si="656"/>
        <v>215841.1774258489</v>
      </c>
      <c r="W67" s="15">
        <f t="shared" si="656"/>
        <v>218649.48461345554</v>
      </c>
      <c r="X67" s="15">
        <f t="shared" si="656"/>
        <v>219086.78358268243</v>
      </c>
      <c r="Y67" s="15">
        <f t="shared" si="656"/>
        <v>209473.47464922135</v>
      </c>
      <c r="Z67" s="15">
        <f t="shared" si="656"/>
        <v>212224.55961628113</v>
      </c>
      <c r="AA67" s="15">
        <f t="shared" si="656"/>
        <v>214985.81102931057</v>
      </c>
      <c r="AB67" s="15">
        <f t="shared" si="656"/>
        <v>215415.78265136923</v>
      </c>
      <c r="AC67" s="15">
        <f t="shared" si="656"/>
        <v>210694.40850273939</v>
      </c>
      <c r="AD67" s="15">
        <f t="shared" si="656"/>
        <v>213461.52840107534</v>
      </c>
      <c r="AE67" s="15">
        <f t="shared" si="656"/>
        <v>216238.87400137068</v>
      </c>
      <c r="AF67" s="15">
        <f t="shared" si="656"/>
        <v>216671.35174937343</v>
      </c>
      <c r="AG67" s="15">
        <f t="shared" si="656"/>
        <v>199868.41659986012</v>
      </c>
      <c r="AH67" s="15">
        <f t="shared" si="656"/>
        <v>202493.35513787164</v>
      </c>
      <c r="AI67" s="15">
        <f t="shared" si="656"/>
        <v>205127.99395636871</v>
      </c>
      <c r="AJ67" s="15">
        <f t="shared" si="656"/>
        <v>205538.24994428153</v>
      </c>
      <c r="AK67" s="15">
        <f t="shared" si="656"/>
        <v>201483.29331497301</v>
      </c>
      <c r="AL67" s="15">
        <f t="shared" si="656"/>
        <v>201886.25990160293</v>
      </c>
      <c r="AM67" s="15">
        <f t="shared" si="656"/>
        <v>204512.9998106524</v>
      </c>
      <c r="AN67" s="15">
        <f t="shared" si="656"/>
        <v>204922.02581027371</v>
      </c>
      <c r="AO67" s="15">
        <f t="shared" si="656"/>
        <v>191918.23012217251</v>
      </c>
      <c r="AP67" s="15">
        <f t="shared" si="656"/>
        <v>194438.75621111039</v>
      </c>
      <c r="AQ67" s="15">
        <f t="shared" si="656"/>
        <v>196968.59673148359</v>
      </c>
      <c r="AR67" s="15">
        <f t="shared" ref="AR67:BW67" si="657">AR53-AR60</f>
        <v>197362.53392494645</v>
      </c>
      <c r="AS67" s="15">
        <f t="shared" si="657"/>
        <v>175957.41235920729</v>
      </c>
      <c r="AT67" s="15">
        <f t="shared" si="657"/>
        <v>178268.31970819156</v>
      </c>
      <c r="AU67" s="15">
        <f t="shared" si="657"/>
        <v>180587.76685692224</v>
      </c>
      <c r="AV67" s="15">
        <f t="shared" si="657"/>
        <v>180948.94239063613</v>
      </c>
      <c r="AW67" s="15">
        <f t="shared" si="657"/>
        <v>158018.67884450767</v>
      </c>
      <c r="AX67" s="15">
        <f t="shared" si="657"/>
        <v>160093.99082666554</v>
      </c>
      <c r="AY67" s="15">
        <f t="shared" si="657"/>
        <v>162176.9719820366</v>
      </c>
      <c r="AZ67" s="15">
        <f t="shared" si="657"/>
        <v>162501.32592600072</v>
      </c>
      <c r="BA67" s="15">
        <f t="shared" si="657"/>
        <v>153390.43975498423</v>
      </c>
      <c r="BB67" s="15">
        <f t="shared" si="657"/>
        <v>153697.22063449421</v>
      </c>
      <c r="BC67" s="15">
        <f t="shared" si="657"/>
        <v>155696.97348318913</v>
      </c>
      <c r="BD67" s="15">
        <f t="shared" si="657"/>
        <v>156008.36743015551</v>
      </c>
      <c r="BE67" s="15">
        <f t="shared" si="657"/>
        <v>145696.35394713597</v>
      </c>
      <c r="BF67" s="15">
        <f t="shared" si="657"/>
        <v>147609.83272897499</v>
      </c>
      <c r="BG67" s="15">
        <f t="shared" si="657"/>
        <v>149530.38264052558</v>
      </c>
      <c r="BH67" s="15">
        <f t="shared" si="657"/>
        <v>149829.44340580667</v>
      </c>
      <c r="BI67" s="15">
        <f t="shared" si="657"/>
        <v>133908.77196467912</v>
      </c>
      <c r="BJ67" s="15">
        <f t="shared" si="657"/>
        <v>135667.44050314859</v>
      </c>
      <c r="BK67" s="15">
        <f t="shared" si="657"/>
        <v>137432.60808068409</v>
      </c>
      <c r="BL67" s="15">
        <f t="shared" si="657"/>
        <v>137707.47329684545</v>
      </c>
      <c r="BM67" s="15">
        <f t="shared" si="657"/>
        <v>125028.95077497815</v>
      </c>
      <c r="BN67" s="15">
        <f t="shared" si="657"/>
        <v>126670.99766182294</v>
      </c>
      <c r="BO67" s="15">
        <f t="shared" si="657"/>
        <v>128319.11262041191</v>
      </c>
      <c r="BP67" s="15">
        <f t="shared" si="657"/>
        <v>128575.75084565277</v>
      </c>
      <c r="BQ67" s="15">
        <f t="shared" si="657"/>
        <v>117574.69116954296</v>
      </c>
      <c r="BR67" s="15">
        <f t="shared" si="657"/>
        <v>117809.84055188205</v>
      </c>
      <c r="BS67" s="15">
        <f t="shared" si="657"/>
        <v>119342.66309268889</v>
      </c>
      <c r="BT67" s="15">
        <f t="shared" si="657"/>
        <v>119581.34841887432</v>
      </c>
      <c r="BU67" s="15">
        <f t="shared" si="657"/>
        <v>96197.23196314252</v>
      </c>
      <c r="BV67" s="15">
        <f t="shared" si="657"/>
        <v>97460.622276258422</v>
      </c>
      <c r="BW67" s="15">
        <f t="shared" si="657"/>
        <v>98728.681361699011</v>
      </c>
      <c r="BX67" s="15">
        <f t="shared" ref="BX67:CN67" si="658">BX53-BX60</f>
        <v>98926.138724422432</v>
      </c>
      <c r="BY67" s="15">
        <f t="shared" si="658"/>
        <v>90244.19373383082</v>
      </c>
      <c r="BZ67" s="15">
        <f t="shared" si="658"/>
        <v>91429.40081153519</v>
      </c>
      <c r="CA67" s="15">
        <f t="shared" si="658"/>
        <v>92618.987740775337</v>
      </c>
      <c r="CB67" s="15">
        <f t="shared" si="658"/>
        <v>92804.225716256886</v>
      </c>
      <c r="CC67" s="15">
        <f t="shared" si="658"/>
        <v>80909.31954912364</v>
      </c>
      <c r="CD67" s="15">
        <f t="shared" si="658"/>
        <v>81971.928612535354</v>
      </c>
      <c r="CE67" s="15">
        <f t="shared" si="658"/>
        <v>83038.464474922628</v>
      </c>
      <c r="CF67" s="15">
        <f t="shared" si="658"/>
        <v>83204.541403872543</v>
      </c>
      <c r="CG67" s="15">
        <f t="shared" si="658"/>
        <v>82464.74450312939</v>
      </c>
      <c r="CH67" s="15">
        <f t="shared" si="658"/>
        <v>82629.673992135678</v>
      </c>
      <c r="CI67" s="15">
        <f t="shared" si="658"/>
        <v>83704.767772428924</v>
      </c>
      <c r="CJ67" s="15">
        <f t="shared" si="658"/>
        <v>83872.177307973849</v>
      </c>
      <c r="CK67" s="15">
        <f t="shared" si="658"/>
        <v>82212.966843837756</v>
      </c>
      <c r="CL67" s="15">
        <f t="shared" si="658"/>
        <v>83292.697141720215</v>
      </c>
      <c r="CM67" s="15">
        <f t="shared" si="658"/>
        <v>84376.417508926825</v>
      </c>
      <c r="CN67" s="15">
        <f t="shared" si="658"/>
        <v>84545.17034394457</v>
      </c>
    </row>
    <row r="68" spans="3:92" ht="12.75" customHeight="1" x14ac:dyDescent="0.3">
      <c r="D68" s="15" t="s">
        <v>34</v>
      </c>
      <c r="H68" s="16" t="s">
        <v>57</v>
      </c>
      <c r="J68" s="58">
        <f>SUM(L68:CN68)</f>
        <v>11013954.545387775</v>
      </c>
      <c r="L68" s="15">
        <f t="shared" ref="L68:AQ68" si="659">L54-L61</f>
        <v>0</v>
      </c>
      <c r="M68" s="15">
        <f t="shared" si="659"/>
        <v>167580</v>
      </c>
      <c r="N68" s="15">
        <f t="shared" si="659"/>
        <v>172153.07200000004</v>
      </c>
      <c r="O68" s="15">
        <f t="shared" si="659"/>
        <v>176829.58182400005</v>
      </c>
      <c r="P68" s="15">
        <f t="shared" si="659"/>
        <v>179658.85513318406</v>
      </c>
      <c r="Q68" s="15">
        <f t="shared" si="659"/>
        <v>162550.02617671684</v>
      </c>
      <c r="R68" s="15">
        <f t="shared" si="659"/>
        <v>166985.83577993925</v>
      </c>
      <c r="S68" s="15">
        <f t="shared" si="659"/>
        <v>170509.0534139775</v>
      </c>
      <c r="T68" s="15">
        <f t="shared" si="659"/>
        <v>172214.14394811727</v>
      </c>
      <c r="U68" s="15">
        <f t="shared" si="659"/>
        <v>167224.33465449681</v>
      </c>
      <c r="V68" s="15">
        <f t="shared" si="659"/>
        <v>168896.57800104178</v>
      </c>
      <c r="W68" s="15">
        <f t="shared" si="659"/>
        <v>172460.11019622866</v>
      </c>
      <c r="X68" s="15">
        <f t="shared" si="659"/>
        <v>174184.71129819093</v>
      </c>
      <c r="Y68" s="15">
        <f t="shared" si="659"/>
        <v>167871.3343208282</v>
      </c>
      <c r="Z68" s="15">
        <f t="shared" si="659"/>
        <v>171433.93708252575</v>
      </c>
      <c r="AA68" s="15">
        <f t="shared" si="659"/>
        <v>175051.00476602523</v>
      </c>
      <c r="AB68" s="15">
        <f t="shared" si="659"/>
        <v>176801.51481368544</v>
      </c>
      <c r="AC68" s="15">
        <f t="shared" si="659"/>
        <v>174307.11910148797</v>
      </c>
      <c r="AD68" s="15">
        <f t="shared" si="659"/>
        <v>178006.30351797509</v>
      </c>
      <c r="AE68" s="15">
        <f t="shared" si="659"/>
        <v>181762.04091088177</v>
      </c>
      <c r="AF68" s="15">
        <f t="shared" si="659"/>
        <v>183579.66131999064</v>
      </c>
      <c r="AG68" s="15">
        <f t="shared" si="659"/>
        <v>169850.01269564719</v>
      </c>
      <c r="AH68" s="15">
        <f t="shared" si="659"/>
        <v>172595.92123422684</v>
      </c>
      <c r="AI68" s="15">
        <f t="shared" si="659"/>
        <v>175365.04260787478</v>
      </c>
      <c r="AJ68" s="15">
        <f t="shared" si="659"/>
        <v>176241.86782091419</v>
      </c>
      <c r="AK68" s="15">
        <f t="shared" si="659"/>
        <v>173282.14432377357</v>
      </c>
      <c r="AL68" s="15">
        <f t="shared" si="659"/>
        <v>174148.55504539248</v>
      </c>
      <c r="AM68" s="15">
        <f t="shared" si="659"/>
        <v>176942.58680765919</v>
      </c>
      <c r="AN68" s="15">
        <f t="shared" si="659"/>
        <v>177827.29974169744</v>
      </c>
      <c r="AO68" s="15">
        <f t="shared" si="659"/>
        <v>167041.49316942465</v>
      </c>
      <c r="AP68" s="15">
        <f t="shared" si="659"/>
        <v>169741.99730899697</v>
      </c>
      <c r="AQ68" s="15">
        <f t="shared" si="659"/>
        <v>172465.33045263583</v>
      </c>
      <c r="AR68" s="15">
        <f t="shared" ref="AR68:BW68" si="660">AR54-AR61</f>
        <v>173327.657104899</v>
      </c>
      <c r="AS68" s="15">
        <f t="shared" si="660"/>
        <v>154991.92100832466</v>
      </c>
      <c r="AT68" s="15">
        <f t="shared" si="660"/>
        <v>157497.62373129255</v>
      </c>
      <c r="AU68" s="15">
        <f t="shared" si="660"/>
        <v>160024.5086834649</v>
      </c>
      <c r="AV68" s="15">
        <f t="shared" si="660"/>
        <v>160824.63122688222</v>
      </c>
      <c r="AW68" s="15">
        <f t="shared" si="660"/>
        <v>140865.05910011241</v>
      </c>
      <c r="AX68" s="15">
        <f t="shared" si="660"/>
        <v>143142.37755556422</v>
      </c>
      <c r="AY68" s="15">
        <f t="shared" si="660"/>
        <v>145438.94756909308</v>
      </c>
      <c r="AZ68" s="15">
        <f t="shared" si="660"/>
        <v>146166.14230693853</v>
      </c>
      <c r="BA68" s="15">
        <f t="shared" si="660"/>
        <v>138384.2004347968</v>
      </c>
      <c r="BB68" s="15">
        <f t="shared" si="660"/>
        <v>139076.12143697077</v>
      </c>
      <c r="BC68" s="15">
        <f t="shared" si="660"/>
        <v>141307.45261606941</v>
      </c>
      <c r="BD68" s="15">
        <f t="shared" si="660"/>
        <v>142013.98987914971</v>
      </c>
      <c r="BE68" s="15">
        <f t="shared" si="660"/>
        <v>133024.07903246244</v>
      </c>
      <c r="BF68" s="15">
        <f t="shared" si="660"/>
        <v>135174.63497682055</v>
      </c>
      <c r="BG68" s="15">
        <f t="shared" si="660"/>
        <v>137343.3708786465</v>
      </c>
      <c r="BH68" s="15">
        <f t="shared" si="660"/>
        <v>138030.08773303969</v>
      </c>
      <c r="BI68" s="15">
        <f t="shared" si="660"/>
        <v>123732.55056181177</v>
      </c>
      <c r="BJ68" s="15">
        <f t="shared" si="660"/>
        <v>125732.89346256107</v>
      </c>
      <c r="BK68" s="15">
        <f t="shared" si="660"/>
        <v>127750.14647855377</v>
      </c>
      <c r="BL68" s="15">
        <f t="shared" si="660"/>
        <v>128388.89721094654</v>
      </c>
      <c r="BM68" s="15">
        <f t="shared" si="660"/>
        <v>116917.32910044701</v>
      </c>
      <c r="BN68" s="15">
        <f t="shared" si="660"/>
        <v>118807.49258757092</v>
      </c>
      <c r="BO68" s="15">
        <f t="shared" si="660"/>
        <v>120713.63477633859</v>
      </c>
      <c r="BP68" s="15">
        <f t="shared" si="660"/>
        <v>121317.20295022021</v>
      </c>
      <c r="BQ68" s="15">
        <f t="shared" si="660"/>
        <v>111269.33859743597</v>
      </c>
      <c r="BR68" s="15">
        <f t="shared" si="660"/>
        <v>111825.68529042311</v>
      </c>
      <c r="BS68" s="15">
        <f t="shared" si="660"/>
        <v>113619.811669808</v>
      </c>
      <c r="BT68" s="15">
        <f t="shared" si="660"/>
        <v>114187.91072815692</v>
      </c>
      <c r="BU68" s="15">
        <f t="shared" si="660"/>
        <v>92133.505671000574</v>
      </c>
      <c r="BV68" s="15">
        <f t="shared" si="660"/>
        <v>93622.997346015065</v>
      </c>
      <c r="BW68" s="15">
        <f t="shared" si="660"/>
        <v>95125.080600137939</v>
      </c>
      <c r="BX68" s="15">
        <f t="shared" ref="BX68:CN68" si="661">BX54-BX61</f>
        <v>95600.706003138563</v>
      </c>
      <c r="BY68" s="15">
        <f t="shared" si="661"/>
        <v>87471.716878739884</v>
      </c>
      <c r="BZ68" s="15">
        <f t="shared" si="661"/>
        <v>88885.842968279496</v>
      </c>
      <c r="CA68" s="15">
        <f t="shared" si="661"/>
        <v>90311.923525792547</v>
      </c>
      <c r="CB68" s="15">
        <f t="shared" si="661"/>
        <v>90763.483143421472</v>
      </c>
      <c r="CC68" s="15">
        <f t="shared" si="661"/>
        <v>79367.059694275493</v>
      </c>
      <c r="CD68" s="15">
        <f t="shared" si="661"/>
        <v>80650.160492666299</v>
      </c>
      <c r="CE68" s="15">
        <f t="shared" si="661"/>
        <v>81944.108122548671</v>
      </c>
      <c r="CF68" s="15">
        <f t="shared" si="661"/>
        <v>82353.828663161374</v>
      </c>
      <c r="CG68" s="15">
        <f t="shared" si="661"/>
        <v>81865.971743363305</v>
      </c>
      <c r="CH68" s="15">
        <f t="shared" si="661"/>
        <v>82275.301602080115</v>
      </c>
      <c r="CI68" s="15">
        <f t="shared" si="661"/>
        <v>83595.32292448706</v>
      </c>
      <c r="CJ68" s="15">
        <f t="shared" si="661"/>
        <v>84013.299539109576</v>
      </c>
      <c r="CK68" s="15">
        <f t="shared" si="661"/>
        <v>82597.858079483151</v>
      </c>
      <c r="CL68" s="15">
        <f t="shared" si="661"/>
        <v>83933.190118434839</v>
      </c>
      <c r="CM68" s="15">
        <f t="shared" si="661"/>
        <v>85279.810531324008</v>
      </c>
      <c r="CN68" s="15">
        <f t="shared" si="661"/>
        <v>85706.209583980613</v>
      </c>
    </row>
    <row r="69" spans="3:92" ht="12.75" customHeight="1" x14ac:dyDescent="0.3">
      <c r="D69" s="50" t="s">
        <v>104</v>
      </c>
      <c r="H69" s="16" t="s">
        <v>57</v>
      </c>
      <c r="J69" s="59">
        <f>SUM(L69:CN69)</f>
        <v>111935934.19574159</v>
      </c>
      <c r="L69" s="50">
        <f>SUM(L65:L68)</f>
        <v>0</v>
      </c>
      <c r="M69" s="50">
        <f t="shared" ref="M69" si="662">SUM(M65:M68)</f>
        <v>1374156.0000000002</v>
      </c>
      <c r="N69" s="50">
        <f t="shared" ref="N69" si="663">SUM(N65:N68)</f>
        <v>1402234.2152000004</v>
      </c>
      <c r="O69" s="50">
        <f t="shared" ref="O69" si="664">SUM(O65:O68)</f>
        <v>1431522.1583936</v>
      </c>
      <c r="P69" s="50">
        <f t="shared" ref="P69" si="665">SUM(P65:P68)</f>
        <v>1446400.0042570627</v>
      </c>
      <c r="Q69" s="50">
        <f t="shared" ref="Q69" si="666">SUM(Q65:Q68)</f>
        <v>1302258.0579079152</v>
      </c>
      <c r="R69" s="50">
        <f t="shared" ref="R69" si="667">SUM(R65:R68)</f>
        <v>1332135.129868574</v>
      </c>
      <c r="S69" s="50">
        <f t="shared" ref="S69" si="668">SUM(S65:S68)</f>
        <v>1356046.0470260996</v>
      </c>
      <c r="T69" s="50">
        <f t="shared" ref="T69" si="669">SUM(T65:T68)</f>
        <v>1366015.0737283065</v>
      </c>
      <c r="U69" s="50">
        <f t="shared" ref="U69" si="670">SUM(U65:U68)</f>
        <v>1323595.0549329268</v>
      </c>
      <c r="V69" s="50">
        <f t="shared" ref="V69" si="671">SUM(V65:V68)</f>
        <v>1334636.2120422749</v>
      </c>
      <c r="W69" s="50">
        <f t="shared" ref="W69" si="672">SUM(W65:W68)</f>
        <v>1361265.1972934471</v>
      </c>
      <c r="X69" s="50">
        <f t="shared" ref="X69" si="673">SUM(X65:X68)</f>
        <v>1374073.9282961423</v>
      </c>
      <c r="Y69" s="50">
        <f t="shared" ref="Y69" si="674">SUM(Y65:Y68)</f>
        <v>1324234.6486321171</v>
      </c>
      <c r="Z69" s="50">
        <f t="shared" ref="Z69" si="675">SUM(Z65:Z68)</f>
        <v>1353082.7123068722</v>
      </c>
      <c r="AA69" s="50">
        <f t="shared" ref="AA69" si="676">SUM(AA65:AA68)</f>
        <v>1383217.813787661</v>
      </c>
      <c r="AB69" s="50">
        <f t="shared" ref="AB69" si="677">SUM(AB65:AB68)</f>
        <v>1399516.7949484256</v>
      </c>
      <c r="AC69" s="50">
        <f t="shared" ref="AC69" si="678">SUM(AC65:AC68)</f>
        <v>1383087.3520343923</v>
      </c>
      <c r="AD69" s="50">
        <f t="shared" ref="AD69" si="679">SUM(AD65:AD68)</f>
        <v>1416761.5836039889</v>
      </c>
      <c r="AE69" s="50">
        <f t="shared" ref="AE69" si="680">SUM(AE65:AE68)</f>
        <v>1452059.1534873545</v>
      </c>
      <c r="AF69" s="50">
        <f t="shared" ref="AF69" si="681">SUM(AF65:AF68)</f>
        <v>1473080.1061874225</v>
      </c>
      <c r="AG69" s="50">
        <f t="shared" ref="AG69" si="682">SUM(AG65:AG68)</f>
        <v>1368677.5186681482</v>
      </c>
      <c r="AH69" s="50">
        <f t="shared" ref="AH69" si="683">SUM(AH65:AH68)</f>
        <v>1397176.8116801516</v>
      </c>
      <c r="AI69" s="50">
        <f t="shared" ref="AI69" si="684">SUM(AI65:AI68)</f>
        <v>1426603.2589008934</v>
      </c>
      <c r="AJ69" s="50">
        <f t="shared" ref="AJ69" si="685">SUM(AJ65:AJ68)</f>
        <v>1441335.6432820014</v>
      </c>
      <c r="AK69" s="50">
        <f t="shared" ref="AK69" si="686">SUM(AK65:AK68)</f>
        <v>1425163.1947759059</v>
      </c>
      <c r="AL69" s="50">
        <f t="shared" ref="AL69" si="687">SUM(AL65:AL68)</f>
        <v>1440942.3523943922</v>
      </c>
      <c r="AM69" s="50">
        <f t="shared" ref="AM69" si="688">SUM(AM65:AM68)</f>
        <v>1473460.4442560328</v>
      </c>
      <c r="AN69" s="50">
        <f t="shared" ref="AN69" si="689">SUM(AN65:AN68)</f>
        <v>1490903.3710969095</v>
      </c>
      <c r="AO69" s="50">
        <f t="shared" ref="AO69" si="690">SUM(AO65:AO68)</f>
        <v>1410548.442970396</v>
      </c>
      <c r="AP69" s="50">
        <f t="shared" ref="AP69" si="691">SUM(AP65:AP68)</f>
        <v>1444225.8324564574</v>
      </c>
      <c r="AQ69" s="50">
        <f t="shared" ref="AQ69" si="692">SUM(AQ65:AQ68)</f>
        <v>1479112.4453065554</v>
      </c>
      <c r="AR69" s="50">
        <f t="shared" ref="AR69" si="693">SUM(AR65:AR68)</f>
        <v>1498973.6722566208</v>
      </c>
      <c r="AS69" s="50">
        <f t="shared" ref="AS69" si="694">SUM(AS65:AS68)</f>
        <v>1352186.9558480643</v>
      </c>
      <c r="AT69" s="50">
        <f t="shared" ref="AT69" si="695">SUM(AT65:AT68)</f>
        <v>1386690.4494897739</v>
      </c>
      <c r="AU69" s="50">
        <f t="shared" ref="AU69" si="696">SUM(AU65:AU68)</f>
        <v>1422484.4707510094</v>
      </c>
      <c r="AV69" s="50">
        <f t="shared" ref="AV69" si="697">SUM(AV65:AV68)</f>
        <v>1443936.2990557794</v>
      </c>
      <c r="AW69" s="50">
        <f t="shared" ref="AW69" si="698">SUM(AW65:AW68)</f>
        <v>1277948.1521609495</v>
      </c>
      <c r="AX69" s="50">
        <f t="shared" ref="AX69" si="699">SUM(AX65:AX68)</f>
        <v>1312724.7904496992</v>
      </c>
      <c r="AY69" s="50">
        <f t="shared" ref="AY69" si="700">SUM(AY65:AY68)</f>
        <v>1348849.6960022696</v>
      </c>
      <c r="AZ69" s="50">
        <f t="shared" ref="AZ69" si="701">SUM(AZ65:AZ68)</f>
        <v>1371480.2586703666</v>
      </c>
      <c r="BA69" s="50">
        <f t="shared" ref="BA69" si="702">SUM(BA65:BA68)</f>
        <v>1314232.9291426886</v>
      </c>
      <c r="BB69" s="50">
        <f t="shared" ref="BB69" si="703">SUM(BB65:BB68)</f>
        <v>1337411.3140522453</v>
      </c>
      <c r="BC69" s="50">
        <f t="shared" ref="BC69" si="704">SUM(BC65:BC68)</f>
        <v>1376536.9104142315</v>
      </c>
      <c r="BD69" s="50">
        <f t="shared" ref="BD69" si="705">SUM(BD65:BD68)</f>
        <v>1402000.5634031824</v>
      </c>
      <c r="BE69" s="50">
        <f t="shared" ref="BE69" si="706">SUM(BE65:BE68)</f>
        <v>1331451.7674425882</v>
      </c>
      <c r="BF69" s="50">
        <f t="shared" ref="BF69" si="707">SUM(BF65:BF68)</f>
        <v>1372309.7991288349</v>
      </c>
      <c r="BG69" s="50">
        <f t="shared" ref="BG69" si="708">SUM(BG65:BG68)</f>
        <v>1414847.936060058</v>
      </c>
      <c r="BH69" s="50">
        <f t="shared" ref="BH69" si="709">SUM(BH65:BH68)</f>
        <v>1443456.7201699493</v>
      </c>
      <c r="BI69" s="50">
        <f t="shared" ref="BI69" si="710">SUM(BI65:BI68)</f>
        <v>1314086.9666571557</v>
      </c>
      <c r="BJ69" s="50">
        <f t="shared" ref="BJ69" si="711">SUM(BJ65:BJ68)</f>
        <v>1356689.9673911422</v>
      </c>
      <c r="BK69" s="50">
        <f t="shared" ref="BK69" si="712">SUM(BK65:BK68)</f>
        <v>1401087.2164118979</v>
      </c>
      <c r="BL69" s="50">
        <f t="shared" ref="BL69" si="713">SUM(BL65:BL68)</f>
        <v>1431801.2298777953</v>
      </c>
      <c r="BM69" s="50">
        <f t="shared" ref="BM69" si="714">SUM(BM65:BM68)</f>
        <v>1326367.5508261663</v>
      </c>
      <c r="BN69" s="50">
        <f t="shared" ref="BN69" si="715">SUM(BN65:BN68)</f>
        <v>1371625.294200982</v>
      </c>
      <c r="BO69" s="50">
        <f t="shared" ref="BO69" si="716">SUM(BO65:BO68)</f>
        <v>1418829.1052704947</v>
      </c>
      <c r="BP69" s="50">
        <f t="shared" ref="BP69" si="717">SUM(BP65:BP68)</f>
        <v>1452285.9313977603</v>
      </c>
      <c r="BQ69" s="50">
        <f t="shared" ref="BQ69" si="718">SUM(BQ65:BQ68)</f>
        <v>1357167.3412552322</v>
      </c>
      <c r="BR69" s="50">
        <f t="shared" ref="BR69" si="719">SUM(BR65:BR68)</f>
        <v>1390266.2258933131</v>
      </c>
      <c r="BS69" s="50">
        <f t="shared" ref="BS69" si="720">SUM(BS65:BS68)</f>
        <v>1440381.1021533716</v>
      </c>
      <c r="BT69" s="50">
        <f t="shared" ref="BT69" si="721">SUM(BT65:BT68)</f>
        <v>1476647.4883712418</v>
      </c>
      <c r="BU69" s="50">
        <f t="shared" ref="BU69" si="722">SUM(BU65:BU68)</f>
        <v>1215827.4393680021</v>
      </c>
      <c r="BV69" s="50">
        <f t="shared" ref="BV69" si="723">SUM(BV65:BV68)</f>
        <v>1261236.6887167334</v>
      </c>
      <c r="BW69" s="50">
        <f t="shared" ref="BW69" si="724">SUM(BW65:BW68)</f>
        <v>1308665.2581336675</v>
      </c>
      <c r="BX69" s="50">
        <f t="shared" ref="BX69" si="725">SUM(BX65:BX68)</f>
        <v>1343604.6743525865</v>
      </c>
      <c r="BY69" s="50">
        <f t="shared" ref="BY69" si="726">SUM(BY65:BY68)</f>
        <v>1256347.7503530874</v>
      </c>
      <c r="BZ69" s="50">
        <f t="shared" ref="BZ69" si="727">SUM(BZ65:BZ68)</f>
        <v>1305145.8246873636</v>
      </c>
      <c r="CA69" s="50">
        <f t="shared" ref="CA69" si="728">SUM(CA65:CA68)</f>
        <v>1356143.3556304383</v>
      </c>
      <c r="CB69" s="50">
        <f t="shared" ref="CB69" si="729">SUM(CB65:CB68)</f>
        <v>1394289.4174112752</v>
      </c>
      <c r="CC69" s="50">
        <f t="shared" ref="CC69" si="730">SUM(CC65:CC68)</f>
        <v>1247693.3429377375</v>
      </c>
      <c r="CD69" s="50">
        <f t="shared" ref="CD69" si="731">SUM(CD65:CD68)</f>
        <v>1297897.4755976847</v>
      </c>
      <c r="CE69" s="50">
        <f t="shared" ref="CE69" si="732">SUM(CE65:CE68)</f>
        <v>1350390.9046529457</v>
      </c>
      <c r="CF69" s="50">
        <f t="shared" ref="CF69" si="733">SUM(CF65:CF68)</f>
        <v>1390171.6528911018</v>
      </c>
      <c r="CG69" s="50">
        <f t="shared" ref="CG69" si="734">SUM(CG65:CG68)</f>
        <v>1416003.5581679461</v>
      </c>
      <c r="CH69" s="50">
        <f t="shared" ref="CH69" si="735">SUM(CH65:CH68)</f>
        <v>1458603.6210670085</v>
      </c>
      <c r="CI69" s="50">
        <f t="shared" ref="CI69" si="736">SUM(CI65:CI68)</f>
        <v>1519442.9827622655</v>
      </c>
      <c r="CJ69" s="50">
        <f t="shared" ref="CJ69" si="737">SUM(CJ65:CJ68)</f>
        <v>1566065.7021248769</v>
      </c>
      <c r="CK69" s="50">
        <f t="shared" ref="CK69" si="738">SUM(CK65:CK68)</f>
        <v>1579473.1774863387</v>
      </c>
      <c r="CL69" s="50">
        <f t="shared" ref="CL69" si="739">SUM(CL65:CL68)</f>
        <v>1646940.4532590918</v>
      </c>
      <c r="CM69" s="50">
        <f t="shared" ref="CM69" si="740">SUM(CM65:CM68)</f>
        <v>1717542.1409348065</v>
      </c>
      <c r="CN69" s="50">
        <f t="shared" ref="CN69" si="741">SUM(CN65:CN68)</f>
        <v>1772164.1112792869</v>
      </c>
    </row>
    <row r="70" spans="3:92" ht="12.75" customHeight="1" x14ac:dyDescent="0.3">
      <c r="D70" s="15"/>
      <c r="H70" s="1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</row>
    <row r="71" spans="3:92" ht="12.75" customHeight="1" x14ac:dyDescent="0.3">
      <c r="C71" s="17" t="s">
        <v>155</v>
      </c>
      <c r="D71" s="15"/>
      <c r="H71" s="1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</row>
    <row r="72" spans="3:92" ht="12.75" customHeight="1" x14ac:dyDescent="0.3">
      <c r="D72" s="25" t="s">
        <v>156</v>
      </c>
      <c r="H72" s="1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</row>
    <row r="73" spans="3:92" ht="12.75" customHeight="1" x14ac:dyDescent="0.3">
      <c r="D73" s="15" t="s">
        <v>31</v>
      </c>
      <c r="H73" s="16" t="s">
        <v>1</v>
      </c>
      <c r="L73" s="56">
        <f>Ass!$I27*L$18</f>
        <v>1.7613000000000001</v>
      </c>
      <c r="M73" s="56">
        <f>Ass!$I27*M$18</f>
        <v>1.7613000000000001</v>
      </c>
      <c r="N73" s="56">
        <f>Ass!$I27*N$18</f>
        <v>1.7613000000000001</v>
      </c>
      <c r="O73" s="56">
        <f>Ass!$I27*O$18</f>
        <v>1.8053325</v>
      </c>
      <c r="P73" s="56">
        <f>Ass!$I27*P$18</f>
        <v>1.8053325</v>
      </c>
      <c r="Q73" s="56">
        <f>Ass!$I27*Q$18</f>
        <v>1.8053325</v>
      </c>
      <c r="R73" s="56">
        <f>Ass!$I27*R$18</f>
        <v>1.8053325</v>
      </c>
      <c r="S73" s="56">
        <f>Ass!$I27*S$18</f>
        <v>1.8504658125</v>
      </c>
      <c r="T73" s="56">
        <f>Ass!$I27*T$18</f>
        <v>1.8504658125</v>
      </c>
      <c r="U73" s="56">
        <f>Ass!$I27*U$18</f>
        <v>1.8504658125</v>
      </c>
      <c r="V73" s="56">
        <f>Ass!$I27*V$18</f>
        <v>1.8504658125</v>
      </c>
      <c r="W73" s="56">
        <f>Ass!$I27*W$18</f>
        <v>1.8967274578125</v>
      </c>
      <c r="X73" s="56">
        <f>Ass!$I27*X$18</f>
        <v>1.8967274578125</v>
      </c>
      <c r="Y73" s="56">
        <f>Ass!$I27*Y$18</f>
        <v>1.8967274578125</v>
      </c>
      <c r="Z73" s="56">
        <f>Ass!$I27*Z$18</f>
        <v>1.8967274578125</v>
      </c>
      <c r="AA73" s="56">
        <f>Ass!$I27*AA$18</f>
        <v>1.9441456442578122</v>
      </c>
      <c r="AB73" s="56">
        <f>Ass!$I27*AB$18</f>
        <v>1.9441456442578122</v>
      </c>
      <c r="AC73" s="56">
        <f>Ass!$I27*AC$18</f>
        <v>1.9441456442578122</v>
      </c>
      <c r="AD73" s="56">
        <f>Ass!$I27*AD$18</f>
        <v>1.9441456442578122</v>
      </c>
      <c r="AE73" s="56">
        <f>Ass!$I27*AE$18</f>
        <v>1.9927492853642572</v>
      </c>
      <c r="AF73" s="56">
        <f>Ass!$I27*AF$18</f>
        <v>1.9927492853642572</v>
      </c>
      <c r="AG73" s="56">
        <f>Ass!$I27*AG$18</f>
        <v>1.9927492853642572</v>
      </c>
      <c r="AH73" s="56">
        <f>Ass!$I27*AH$18</f>
        <v>1.9927492853642572</v>
      </c>
      <c r="AI73" s="56">
        <f>Ass!$I27*AI$18</f>
        <v>2.0425680174983634</v>
      </c>
      <c r="AJ73" s="56">
        <f>Ass!$I27*AJ$18</f>
        <v>2.0425680174983634</v>
      </c>
      <c r="AK73" s="56">
        <f>Ass!$I27*AK$18</f>
        <v>2.0425680174983634</v>
      </c>
      <c r="AL73" s="56">
        <f>Ass!$I27*AL$18</f>
        <v>2.0425680174983634</v>
      </c>
      <c r="AM73" s="56">
        <f>Ass!$I27*AM$18</f>
        <v>2.0936322179358222</v>
      </c>
      <c r="AN73" s="56">
        <f>Ass!$I27*AN$18</f>
        <v>2.0936322179358222</v>
      </c>
      <c r="AO73" s="56">
        <f>Ass!$I27*AO$18</f>
        <v>2.0936322179358222</v>
      </c>
      <c r="AP73" s="56">
        <f>Ass!$I27*AP$18</f>
        <v>2.0936322179358222</v>
      </c>
      <c r="AQ73" s="56">
        <f>Ass!$I27*AQ$18</f>
        <v>2.1459730233842178</v>
      </c>
      <c r="AR73" s="56">
        <f>Ass!$I27*AR$18</f>
        <v>2.1459730233842178</v>
      </c>
      <c r="AS73" s="56">
        <f>Ass!$I27*AS$18</f>
        <v>2.1459730233842178</v>
      </c>
      <c r="AT73" s="56">
        <f>Ass!$I27*AT$18</f>
        <v>2.1459730233842178</v>
      </c>
      <c r="AU73" s="56">
        <f>Ass!$I27*AU$18</f>
        <v>2.1996223489688229</v>
      </c>
      <c r="AV73" s="56">
        <f>Ass!$I27*AV$18</f>
        <v>2.1996223489688229</v>
      </c>
      <c r="AW73" s="56">
        <f>Ass!$I27*AW$18</f>
        <v>2.1996223489688229</v>
      </c>
      <c r="AX73" s="56">
        <f>Ass!$I27*AX$18</f>
        <v>2.1996223489688229</v>
      </c>
      <c r="AY73" s="56">
        <f>Ass!$I27*AY$18</f>
        <v>2.2546129076930432</v>
      </c>
      <c r="AZ73" s="56">
        <f>Ass!$I27*AZ$18</f>
        <v>2.2546129076930432</v>
      </c>
      <c r="BA73" s="56">
        <f>Ass!$I27*BA$18</f>
        <v>2.2546129076930432</v>
      </c>
      <c r="BB73" s="56">
        <f>Ass!$I27*BB$18</f>
        <v>2.2546129076930432</v>
      </c>
      <c r="BC73" s="56">
        <f>Ass!$I27*BC$18</f>
        <v>2.310978230385369</v>
      </c>
      <c r="BD73" s="56">
        <f>Ass!$I27*BD$18</f>
        <v>2.310978230385369</v>
      </c>
      <c r="BE73" s="56">
        <f>Ass!$I27*BE$18</f>
        <v>2.310978230385369</v>
      </c>
      <c r="BF73" s="56">
        <f>Ass!$I27*BF$18</f>
        <v>2.310978230385369</v>
      </c>
      <c r="BG73" s="56">
        <f>Ass!$I27*BG$18</f>
        <v>2.3687526861450032</v>
      </c>
      <c r="BH73" s="56">
        <f>Ass!$I27*BH$18</f>
        <v>2.3687526861450032</v>
      </c>
      <c r="BI73" s="56">
        <f>Ass!$I27*BI$18</f>
        <v>2.3687526861450032</v>
      </c>
      <c r="BJ73" s="56">
        <f>Ass!$I27*BJ$18</f>
        <v>2.3687526861450032</v>
      </c>
      <c r="BK73" s="56">
        <f>Ass!$I27*BK$18</f>
        <v>2.427971503298628</v>
      </c>
      <c r="BL73" s="56">
        <f>Ass!$I27*BL$18</f>
        <v>2.427971503298628</v>
      </c>
      <c r="BM73" s="56">
        <f>Ass!$I27*BM$18</f>
        <v>2.427971503298628</v>
      </c>
      <c r="BN73" s="56">
        <f>Ass!$I27*BN$18</f>
        <v>2.427971503298628</v>
      </c>
      <c r="BO73" s="56">
        <f>Ass!$I27*BO$18</f>
        <v>2.4886707908810934</v>
      </c>
      <c r="BP73" s="56">
        <f>Ass!$I27*BP$18</f>
        <v>2.4886707908810934</v>
      </c>
      <c r="BQ73" s="56">
        <f>Ass!$I27*BQ$18</f>
        <v>2.4886707908810934</v>
      </c>
      <c r="BR73" s="56">
        <f>Ass!$I27*BR$18</f>
        <v>2.4886707908810934</v>
      </c>
      <c r="BS73" s="56">
        <f>Ass!$I27*BS$18</f>
        <v>2.5508875606531207</v>
      </c>
      <c r="BT73" s="56">
        <f>Ass!$I27*BT$18</f>
        <v>2.5508875606531207</v>
      </c>
      <c r="BU73" s="56">
        <f>Ass!$I27*BU$18</f>
        <v>2.5508875606531207</v>
      </c>
      <c r="BV73" s="56">
        <f>Ass!$I27*BV$18</f>
        <v>2.5508875606531207</v>
      </c>
      <c r="BW73" s="56">
        <f>Ass!$I27*BW$18</f>
        <v>2.6146597496694484</v>
      </c>
      <c r="BX73" s="56">
        <f>Ass!$I27*BX$18</f>
        <v>2.6146597496694484</v>
      </c>
      <c r="BY73" s="56">
        <f>Ass!$I27*BY$18</f>
        <v>2.6146597496694484</v>
      </c>
      <c r="BZ73" s="56">
        <f>Ass!$I27*BZ$18</f>
        <v>2.6146597496694484</v>
      </c>
      <c r="CA73" s="56">
        <f>Ass!$I27*CA$18</f>
        <v>2.6800262434111843</v>
      </c>
      <c r="CB73" s="56">
        <f>Ass!$I27*CB$18</f>
        <v>2.6800262434111843</v>
      </c>
      <c r="CC73" s="56">
        <f>Ass!$I27*CC$18</f>
        <v>2.6800262434111843</v>
      </c>
      <c r="CD73" s="56">
        <f>Ass!$I27*CD$18</f>
        <v>2.6800262434111843</v>
      </c>
      <c r="CE73" s="56">
        <f>Ass!$I27*CE$18</f>
        <v>2.7470268994964635</v>
      </c>
      <c r="CF73" s="56">
        <f>Ass!$I27*CF$18</f>
        <v>2.7470268994964635</v>
      </c>
      <c r="CG73" s="56">
        <f>Ass!$I27*CG$18</f>
        <v>2.7470268994964635</v>
      </c>
      <c r="CH73" s="56">
        <f>Ass!$I27*CH$18</f>
        <v>2.7470268994964635</v>
      </c>
      <c r="CI73" s="56">
        <f>Ass!$I27*CI$18</f>
        <v>2.8157025719838749</v>
      </c>
      <c r="CJ73" s="56">
        <f>Ass!$I27*CJ$18</f>
        <v>2.8157025719838749</v>
      </c>
      <c r="CK73" s="56">
        <f>Ass!$I27*CK$18</f>
        <v>2.8157025719838749</v>
      </c>
      <c r="CL73" s="56">
        <f>Ass!$I27*CL$18</f>
        <v>2.8157025719838749</v>
      </c>
      <c r="CM73" s="56">
        <f>Ass!$I27*CM$18</f>
        <v>2.8860951362834717</v>
      </c>
      <c r="CN73" s="56">
        <f>Ass!$I27*CN$18</f>
        <v>2.8860951362834717</v>
      </c>
    </row>
    <row r="74" spans="3:92" ht="12.75" customHeight="1" x14ac:dyDescent="0.3">
      <c r="D74" s="15" t="s">
        <v>32</v>
      </c>
      <c r="H74" s="16" t="s">
        <v>1</v>
      </c>
      <c r="L74" s="56">
        <f>Ass!$I28*L$18</f>
        <v>3.1671</v>
      </c>
      <c r="M74" s="56">
        <f>Ass!$I28*M$18</f>
        <v>3.1671</v>
      </c>
      <c r="N74" s="56">
        <f>Ass!$I28*N$18</f>
        <v>3.1671</v>
      </c>
      <c r="O74" s="56">
        <f>Ass!$I28*O$18</f>
        <v>3.2462774999999997</v>
      </c>
      <c r="P74" s="56">
        <f>Ass!$I28*P$18</f>
        <v>3.2462774999999997</v>
      </c>
      <c r="Q74" s="56">
        <f>Ass!$I28*Q$18</f>
        <v>3.2462774999999997</v>
      </c>
      <c r="R74" s="56">
        <f>Ass!$I28*R$18</f>
        <v>3.2462774999999997</v>
      </c>
      <c r="S74" s="56">
        <f>Ass!$I28*S$18</f>
        <v>3.3274344374999996</v>
      </c>
      <c r="T74" s="56">
        <f>Ass!$I28*T$18</f>
        <v>3.3274344374999996</v>
      </c>
      <c r="U74" s="56">
        <f>Ass!$I28*U$18</f>
        <v>3.3274344374999996</v>
      </c>
      <c r="V74" s="56">
        <f>Ass!$I28*V$18</f>
        <v>3.3274344374999996</v>
      </c>
      <c r="W74" s="56">
        <f>Ass!$I28*W$18</f>
        <v>3.4106202984374998</v>
      </c>
      <c r="X74" s="56">
        <f>Ass!$I28*X$18</f>
        <v>3.4106202984374998</v>
      </c>
      <c r="Y74" s="56">
        <f>Ass!$I28*Y$18</f>
        <v>3.4106202984374998</v>
      </c>
      <c r="Z74" s="56">
        <f>Ass!$I28*Z$18</f>
        <v>3.4106202984374998</v>
      </c>
      <c r="AA74" s="56">
        <f>Ass!$I28*AA$18</f>
        <v>3.4958858058984368</v>
      </c>
      <c r="AB74" s="56">
        <f>Ass!$I28*AB$18</f>
        <v>3.4958858058984368</v>
      </c>
      <c r="AC74" s="56">
        <f>Ass!$I28*AC$18</f>
        <v>3.4958858058984368</v>
      </c>
      <c r="AD74" s="56">
        <f>Ass!$I28*AD$18</f>
        <v>3.4958858058984368</v>
      </c>
      <c r="AE74" s="56">
        <f>Ass!$I28*AE$18</f>
        <v>3.5832829510458972</v>
      </c>
      <c r="AF74" s="56">
        <f>Ass!$I28*AF$18</f>
        <v>3.5832829510458972</v>
      </c>
      <c r="AG74" s="56">
        <f>Ass!$I28*AG$18</f>
        <v>3.5832829510458972</v>
      </c>
      <c r="AH74" s="56">
        <f>Ass!$I28*AH$18</f>
        <v>3.5832829510458972</v>
      </c>
      <c r="AI74" s="56">
        <f>Ass!$I28*AI$18</f>
        <v>3.6728650248220447</v>
      </c>
      <c r="AJ74" s="56">
        <f>Ass!$I28*AJ$18</f>
        <v>3.6728650248220447</v>
      </c>
      <c r="AK74" s="56">
        <f>Ass!$I28*AK$18</f>
        <v>3.6728650248220447</v>
      </c>
      <c r="AL74" s="56">
        <f>Ass!$I28*AL$18</f>
        <v>3.6728650248220447</v>
      </c>
      <c r="AM74" s="56">
        <f>Ass!$I28*AM$18</f>
        <v>3.7646866504425951</v>
      </c>
      <c r="AN74" s="56">
        <f>Ass!$I28*AN$18</f>
        <v>3.7646866504425951</v>
      </c>
      <c r="AO74" s="56">
        <f>Ass!$I28*AO$18</f>
        <v>3.7646866504425951</v>
      </c>
      <c r="AP74" s="56">
        <f>Ass!$I28*AP$18</f>
        <v>3.7646866504425951</v>
      </c>
      <c r="AQ74" s="56">
        <f>Ass!$I28*AQ$18</f>
        <v>3.8588038167036598</v>
      </c>
      <c r="AR74" s="56">
        <f>Ass!$I28*AR$18</f>
        <v>3.8588038167036598</v>
      </c>
      <c r="AS74" s="56">
        <f>Ass!$I28*AS$18</f>
        <v>3.8588038167036598</v>
      </c>
      <c r="AT74" s="56">
        <f>Ass!$I28*AT$18</f>
        <v>3.8588038167036598</v>
      </c>
      <c r="AU74" s="56">
        <f>Ass!$I28*AU$18</f>
        <v>3.9552739121212506</v>
      </c>
      <c r="AV74" s="56">
        <f>Ass!$I28*AV$18</f>
        <v>3.9552739121212506</v>
      </c>
      <c r="AW74" s="56">
        <f>Ass!$I28*AW$18</f>
        <v>3.9552739121212506</v>
      </c>
      <c r="AX74" s="56">
        <f>Ass!$I28*AX$18</f>
        <v>3.9552739121212506</v>
      </c>
      <c r="AY74" s="56">
        <f>Ass!$I28*AY$18</f>
        <v>4.0541557599242815</v>
      </c>
      <c r="AZ74" s="56">
        <f>Ass!$I28*AZ$18</f>
        <v>4.0541557599242815</v>
      </c>
      <c r="BA74" s="56">
        <f>Ass!$I28*BA$18</f>
        <v>4.0541557599242815</v>
      </c>
      <c r="BB74" s="56">
        <f>Ass!$I28*BB$18</f>
        <v>4.0541557599242815</v>
      </c>
      <c r="BC74" s="56">
        <f>Ass!$I28*BC$18</f>
        <v>4.1555096539223886</v>
      </c>
      <c r="BD74" s="56">
        <f>Ass!$I28*BD$18</f>
        <v>4.1555096539223886</v>
      </c>
      <c r="BE74" s="56">
        <f>Ass!$I28*BE$18</f>
        <v>4.1555096539223886</v>
      </c>
      <c r="BF74" s="56">
        <f>Ass!$I28*BF$18</f>
        <v>4.1555096539223886</v>
      </c>
      <c r="BG74" s="56">
        <f>Ass!$I28*BG$18</f>
        <v>4.2593973952704474</v>
      </c>
      <c r="BH74" s="56">
        <f>Ass!$I28*BH$18</f>
        <v>4.2593973952704474</v>
      </c>
      <c r="BI74" s="56">
        <f>Ass!$I28*BI$18</f>
        <v>4.2593973952704474</v>
      </c>
      <c r="BJ74" s="56">
        <f>Ass!$I28*BJ$18</f>
        <v>4.2593973952704474</v>
      </c>
      <c r="BK74" s="56">
        <f>Ass!$I28*BK$18</f>
        <v>4.3658823301522087</v>
      </c>
      <c r="BL74" s="56">
        <f>Ass!$I28*BL$18</f>
        <v>4.3658823301522087</v>
      </c>
      <c r="BM74" s="56">
        <f>Ass!$I28*BM$18</f>
        <v>4.3658823301522087</v>
      </c>
      <c r="BN74" s="56">
        <f>Ass!$I28*BN$18</f>
        <v>4.3658823301522087</v>
      </c>
      <c r="BO74" s="56">
        <f>Ass!$I28*BO$18</f>
        <v>4.4750293884060133</v>
      </c>
      <c r="BP74" s="56">
        <f>Ass!$I28*BP$18</f>
        <v>4.4750293884060133</v>
      </c>
      <c r="BQ74" s="56">
        <f>Ass!$I28*BQ$18</f>
        <v>4.4750293884060133</v>
      </c>
      <c r="BR74" s="56">
        <f>Ass!$I28*BR$18</f>
        <v>4.4750293884060133</v>
      </c>
      <c r="BS74" s="56">
        <f>Ass!$I28*BS$18</f>
        <v>4.5869051231161633</v>
      </c>
      <c r="BT74" s="56">
        <f>Ass!$I28*BT$18</f>
        <v>4.5869051231161633</v>
      </c>
      <c r="BU74" s="56">
        <f>Ass!$I28*BU$18</f>
        <v>4.5869051231161633</v>
      </c>
      <c r="BV74" s="56">
        <f>Ass!$I28*BV$18</f>
        <v>4.5869051231161633</v>
      </c>
      <c r="BW74" s="56">
        <f>Ass!$I28*BW$18</f>
        <v>4.7015777511940664</v>
      </c>
      <c r="BX74" s="56">
        <f>Ass!$I28*BX$18</f>
        <v>4.7015777511940664</v>
      </c>
      <c r="BY74" s="56">
        <f>Ass!$I28*BY$18</f>
        <v>4.7015777511940664</v>
      </c>
      <c r="BZ74" s="56">
        <f>Ass!$I28*BZ$18</f>
        <v>4.7015777511940664</v>
      </c>
      <c r="CA74" s="56">
        <f>Ass!$I28*CA$18</f>
        <v>4.8191171949739173</v>
      </c>
      <c r="CB74" s="56">
        <f>Ass!$I28*CB$18</f>
        <v>4.8191171949739173</v>
      </c>
      <c r="CC74" s="56">
        <f>Ass!$I28*CC$18</f>
        <v>4.8191171949739173</v>
      </c>
      <c r="CD74" s="56">
        <f>Ass!$I28*CD$18</f>
        <v>4.8191171949739173</v>
      </c>
      <c r="CE74" s="56">
        <f>Ass!$I28*CE$18</f>
        <v>4.9395951248482657</v>
      </c>
      <c r="CF74" s="56">
        <f>Ass!$I28*CF$18</f>
        <v>4.9395951248482657</v>
      </c>
      <c r="CG74" s="56">
        <f>Ass!$I28*CG$18</f>
        <v>4.9395951248482657</v>
      </c>
      <c r="CH74" s="56">
        <f>Ass!$I28*CH$18</f>
        <v>4.9395951248482657</v>
      </c>
      <c r="CI74" s="56">
        <f>Ass!$I28*CI$18</f>
        <v>5.0630850029694718</v>
      </c>
      <c r="CJ74" s="56">
        <f>Ass!$I28*CJ$18</f>
        <v>5.0630850029694718</v>
      </c>
      <c r="CK74" s="56">
        <f>Ass!$I28*CK$18</f>
        <v>5.0630850029694718</v>
      </c>
      <c r="CL74" s="56">
        <f>Ass!$I28*CL$18</f>
        <v>5.0630850029694718</v>
      </c>
      <c r="CM74" s="56">
        <f>Ass!$I28*CM$18</f>
        <v>5.1896621280437074</v>
      </c>
      <c r="CN74" s="56">
        <f>Ass!$I28*CN$18</f>
        <v>5.1896621280437074</v>
      </c>
    </row>
    <row r="75" spans="3:92" ht="12.75" customHeight="1" x14ac:dyDescent="0.3">
      <c r="D75" s="15" t="s">
        <v>33</v>
      </c>
      <c r="H75" s="16" t="s">
        <v>1</v>
      </c>
      <c r="L75" s="56">
        <f>Ass!$I29*L$18</f>
        <v>4.8433000000000002</v>
      </c>
      <c r="M75" s="56">
        <f>Ass!$I29*M$18</f>
        <v>4.8433000000000002</v>
      </c>
      <c r="N75" s="56">
        <f>Ass!$I29*N$18</f>
        <v>4.8433000000000002</v>
      </c>
      <c r="O75" s="56">
        <f>Ass!$I29*O$18</f>
        <v>4.9643825000000001</v>
      </c>
      <c r="P75" s="56">
        <f>Ass!$I29*P$18</f>
        <v>4.9643825000000001</v>
      </c>
      <c r="Q75" s="56">
        <f>Ass!$I29*Q$18</f>
        <v>4.9643825000000001</v>
      </c>
      <c r="R75" s="56">
        <f>Ass!$I29*R$18</f>
        <v>4.9643825000000001</v>
      </c>
      <c r="S75" s="56">
        <f>Ass!$I29*S$18</f>
        <v>5.0884920624999994</v>
      </c>
      <c r="T75" s="56">
        <f>Ass!$I29*T$18</f>
        <v>5.0884920624999994</v>
      </c>
      <c r="U75" s="56">
        <f>Ass!$I29*U$18</f>
        <v>5.0884920624999994</v>
      </c>
      <c r="V75" s="56">
        <f>Ass!$I29*V$18</f>
        <v>5.0884920624999994</v>
      </c>
      <c r="W75" s="56">
        <f>Ass!$I29*W$18</f>
        <v>5.2157043640624998</v>
      </c>
      <c r="X75" s="56">
        <f>Ass!$I29*X$18</f>
        <v>5.2157043640624998</v>
      </c>
      <c r="Y75" s="56">
        <f>Ass!$I29*Y$18</f>
        <v>5.2157043640624998</v>
      </c>
      <c r="Z75" s="56">
        <f>Ass!$I29*Z$18</f>
        <v>5.2157043640624998</v>
      </c>
      <c r="AA75" s="56">
        <f>Ass!$I29*AA$18</f>
        <v>5.3460969731640615</v>
      </c>
      <c r="AB75" s="56">
        <f>Ass!$I29*AB$18</f>
        <v>5.3460969731640615</v>
      </c>
      <c r="AC75" s="56">
        <f>Ass!$I29*AC$18</f>
        <v>5.3460969731640615</v>
      </c>
      <c r="AD75" s="56">
        <f>Ass!$I29*AD$18</f>
        <v>5.3460969731640615</v>
      </c>
      <c r="AE75" s="56">
        <f>Ass!$I29*AE$18</f>
        <v>5.4797493974931628</v>
      </c>
      <c r="AF75" s="56">
        <f>Ass!$I29*AF$18</f>
        <v>5.4797493974931628</v>
      </c>
      <c r="AG75" s="56">
        <f>Ass!$I29*AG$18</f>
        <v>5.4797493974931628</v>
      </c>
      <c r="AH75" s="56">
        <f>Ass!$I29*AH$18</f>
        <v>5.4797493974931628</v>
      </c>
      <c r="AI75" s="56">
        <f>Ass!$I29*AI$18</f>
        <v>5.6167431324304911</v>
      </c>
      <c r="AJ75" s="56">
        <f>Ass!$I29*AJ$18</f>
        <v>5.6167431324304911</v>
      </c>
      <c r="AK75" s="56">
        <f>Ass!$I29*AK$18</f>
        <v>5.6167431324304911</v>
      </c>
      <c r="AL75" s="56">
        <f>Ass!$I29*AL$18</f>
        <v>5.6167431324304911</v>
      </c>
      <c r="AM75" s="56">
        <f>Ass!$I29*AM$18</f>
        <v>5.7571617107412525</v>
      </c>
      <c r="AN75" s="56">
        <f>Ass!$I29*AN$18</f>
        <v>5.7571617107412525</v>
      </c>
      <c r="AO75" s="56">
        <f>Ass!$I29*AO$18</f>
        <v>5.7571617107412525</v>
      </c>
      <c r="AP75" s="56">
        <f>Ass!$I29*AP$18</f>
        <v>5.7571617107412525</v>
      </c>
      <c r="AQ75" s="56">
        <f>Ass!$I29*AQ$18</f>
        <v>5.9010907535097834</v>
      </c>
      <c r="AR75" s="56">
        <f>Ass!$I29*AR$18</f>
        <v>5.9010907535097834</v>
      </c>
      <c r="AS75" s="56">
        <f>Ass!$I29*AS$18</f>
        <v>5.9010907535097834</v>
      </c>
      <c r="AT75" s="56">
        <f>Ass!$I29*AT$18</f>
        <v>5.9010907535097834</v>
      </c>
      <c r="AU75" s="56">
        <f>Ass!$I29*AU$18</f>
        <v>6.0486180223475268</v>
      </c>
      <c r="AV75" s="56">
        <f>Ass!$I29*AV$18</f>
        <v>6.0486180223475268</v>
      </c>
      <c r="AW75" s="56">
        <f>Ass!$I29*AW$18</f>
        <v>6.0486180223475268</v>
      </c>
      <c r="AX75" s="56">
        <f>Ass!$I29*AX$18</f>
        <v>6.0486180223475268</v>
      </c>
      <c r="AY75" s="56">
        <f>Ass!$I29*AY$18</f>
        <v>6.1998334729062146</v>
      </c>
      <c r="AZ75" s="56">
        <f>Ass!$I29*AZ$18</f>
        <v>6.1998334729062146</v>
      </c>
      <c r="BA75" s="56">
        <f>Ass!$I29*BA$18</f>
        <v>6.1998334729062146</v>
      </c>
      <c r="BB75" s="56">
        <f>Ass!$I29*BB$18</f>
        <v>6.1998334729062146</v>
      </c>
      <c r="BC75" s="56">
        <f>Ass!$I29*BC$18</f>
        <v>6.3548293097288697</v>
      </c>
      <c r="BD75" s="56">
        <f>Ass!$I29*BD$18</f>
        <v>6.3548293097288697</v>
      </c>
      <c r="BE75" s="56">
        <f>Ass!$I29*BE$18</f>
        <v>6.3548293097288697</v>
      </c>
      <c r="BF75" s="56">
        <f>Ass!$I29*BF$18</f>
        <v>6.3548293097288697</v>
      </c>
      <c r="BG75" s="56">
        <f>Ass!$I29*BG$18</f>
        <v>6.5137000424720908</v>
      </c>
      <c r="BH75" s="56">
        <f>Ass!$I29*BH$18</f>
        <v>6.5137000424720908</v>
      </c>
      <c r="BI75" s="56">
        <f>Ass!$I29*BI$18</f>
        <v>6.5137000424720908</v>
      </c>
      <c r="BJ75" s="56">
        <f>Ass!$I29*BJ$18</f>
        <v>6.5137000424720908</v>
      </c>
      <c r="BK75" s="56">
        <f>Ass!$I29*BK$18</f>
        <v>6.676542543533893</v>
      </c>
      <c r="BL75" s="56">
        <f>Ass!$I29*BL$18</f>
        <v>6.676542543533893</v>
      </c>
      <c r="BM75" s="56">
        <f>Ass!$I29*BM$18</f>
        <v>6.676542543533893</v>
      </c>
      <c r="BN75" s="56">
        <f>Ass!$I29*BN$18</f>
        <v>6.676542543533893</v>
      </c>
      <c r="BO75" s="56">
        <f>Ass!$I29*BO$18</f>
        <v>6.8434561071222397</v>
      </c>
      <c r="BP75" s="56">
        <f>Ass!$I29*BP$18</f>
        <v>6.8434561071222397</v>
      </c>
      <c r="BQ75" s="56">
        <f>Ass!$I29*BQ$18</f>
        <v>6.8434561071222397</v>
      </c>
      <c r="BR75" s="56">
        <f>Ass!$I29*BR$18</f>
        <v>6.8434561071222397</v>
      </c>
      <c r="BS75" s="56">
        <f>Ass!$I29*BS$18</f>
        <v>7.0145425098002949</v>
      </c>
      <c r="BT75" s="56">
        <f>Ass!$I29*BT$18</f>
        <v>7.0145425098002949</v>
      </c>
      <c r="BU75" s="56">
        <f>Ass!$I29*BU$18</f>
        <v>7.0145425098002949</v>
      </c>
      <c r="BV75" s="56">
        <f>Ass!$I29*BV$18</f>
        <v>7.0145425098002949</v>
      </c>
      <c r="BW75" s="56">
        <f>Ass!$I29*BW$18</f>
        <v>7.189906072545301</v>
      </c>
      <c r="BX75" s="56">
        <f>Ass!$I29*BX$18</f>
        <v>7.189906072545301</v>
      </c>
      <c r="BY75" s="56">
        <f>Ass!$I29*BY$18</f>
        <v>7.189906072545301</v>
      </c>
      <c r="BZ75" s="56">
        <f>Ass!$I29*BZ$18</f>
        <v>7.189906072545301</v>
      </c>
      <c r="CA75" s="56">
        <f>Ass!$I29*CA$18</f>
        <v>7.3696537243589333</v>
      </c>
      <c r="CB75" s="56">
        <f>Ass!$I29*CB$18</f>
        <v>7.3696537243589333</v>
      </c>
      <c r="CC75" s="56">
        <f>Ass!$I29*CC$18</f>
        <v>7.3696537243589333</v>
      </c>
      <c r="CD75" s="56">
        <f>Ass!$I29*CD$18</f>
        <v>7.3696537243589333</v>
      </c>
      <c r="CE75" s="56">
        <f>Ass!$I29*CE$18</f>
        <v>7.5538950674679057</v>
      </c>
      <c r="CF75" s="56">
        <f>Ass!$I29*CF$18</f>
        <v>7.5538950674679057</v>
      </c>
      <c r="CG75" s="56">
        <f>Ass!$I29*CG$18</f>
        <v>7.5538950674679057</v>
      </c>
      <c r="CH75" s="56">
        <f>Ass!$I29*CH$18</f>
        <v>7.5538950674679057</v>
      </c>
      <c r="CI75" s="56">
        <f>Ass!$I29*CI$18</f>
        <v>7.7427424441546027</v>
      </c>
      <c r="CJ75" s="56">
        <f>Ass!$I29*CJ$18</f>
        <v>7.7427424441546027</v>
      </c>
      <c r="CK75" s="56">
        <f>Ass!$I29*CK$18</f>
        <v>7.7427424441546027</v>
      </c>
      <c r="CL75" s="56">
        <f>Ass!$I29*CL$18</f>
        <v>7.7427424441546027</v>
      </c>
      <c r="CM75" s="56">
        <f>Ass!$I29*CM$18</f>
        <v>7.9363110052584664</v>
      </c>
      <c r="CN75" s="56">
        <f>Ass!$I29*CN$18</f>
        <v>7.9363110052584664</v>
      </c>
    </row>
    <row r="76" spans="3:92" ht="12.75" customHeight="1" x14ac:dyDescent="0.3">
      <c r="D76" s="15" t="s">
        <v>34</v>
      </c>
      <c r="H76" s="16" t="s">
        <v>1</v>
      </c>
      <c r="L76" s="56">
        <f>Ass!$I30*L$18</f>
        <v>7.234</v>
      </c>
      <c r="M76" s="56">
        <f>Ass!$I30*M$18</f>
        <v>7.234</v>
      </c>
      <c r="N76" s="56">
        <f>Ass!$I30*N$18</f>
        <v>7.234</v>
      </c>
      <c r="O76" s="56">
        <f>Ass!$I30*O$18</f>
        <v>7.4148499999999995</v>
      </c>
      <c r="P76" s="56">
        <f>Ass!$I30*P$18</f>
        <v>7.4148499999999995</v>
      </c>
      <c r="Q76" s="56">
        <f>Ass!$I30*Q$18</f>
        <v>7.4148499999999995</v>
      </c>
      <c r="R76" s="56">
        <f>Ass!$I30*R$18</f>
        <v>7.4148499999999995</v>
      </c>
      <c r="S76" s="56">
        <f>Ass!$I30*S$18</f>
        <v>7.6002212499999997</v>
      </c>
      <c r="T76" s="56">
        <f>Ass!$I30*T$18</f>
        <v>7.6002212499999997</v>
      </c>
      <c r="U76" s="56">
        <f>Ass!$I30*U$18</f>
        <v>7.6002212499999997</v>
      </c>
      <c r="V76" s="56">
        <f>Ass!$I30*V$18</f>
        <v>7.6002212499999997</v>
      </c>
      <c r="W76" s="56">
        <f>Ass!$I30*W$18</f>
        <v>7.7902267812499995</v>
      </c>
      <c r="X76" s="56">
        <f>Ass!$I30*X$18</f>
        <v>7.7902267812499995</v>
      </c>
      <c r="Y76" s="56">
        <f>Ass!$I30*Y$18</f>
        <v>7.7902267812499995</v>
      </c>
      <c r="Z76" s="56">
        <f>Ass!$I30*Z$18</f>
        <v>7.7902267812499995</v>
      </c>
      <c r="AA76" s="56">
        <f>Ass!$I30*AA$18</f>
        <v>7.9849824507812484</v>
      </c>
      <c r="AB76" s="56">
        <f>Ass!$I30*AB$18</f>
        <v>7.9849824507812484</v>
      </c>
      <c r="AC76" s="56">
        <f>Ass!$I30*AC$18</f>
        <v>7.9849824507812484</v>
      </c>
      <c r="AD76" s="56">
        <f>Ass!$I30*AD$18</f>
        <v>7.9849824507812484</v>
      </c>
      <c r="AE76" s="56">
        <f>Ass!$I30*AE$18</f>
        <v>8.1846070120507779</v>
      </c>
      <c r="AF76" s="56">
        <f>Ass!$I30*AF$18</f>
        <v>8.1846070120507779</v>
      </c>
      <c r="AG76" s="56">
        <f>Ass!$I30*AG$18</f>
        <v>8.1846070120507779</v>
      </c>
      <c r="AH76" s="56">
        <f>Ass!$I30*AH$18</f>
        <v>8.1846070120507779</v>
      </c>
      <c r="AI76" s="56">
        <f>Ass!$I30*AI$18</f>
        <v>8.3892221873520469</v>
      </c>
      <c r="AJ76" s="56">
        <f>Ass!$I30*AJ$18</f>
        <v>8.3892221873520469</v>
      </c>
      <c r="AK76" s="56">
        <f>Ass!$I30*AK$18</f>
        <v>8.3892221873520469</v>
      </c>
      <c r="AL76" s="56">
        <f>Ass!$I30*AL$18</f>
        <v>8.3892221873520469</v>
      </c>
      <c r="AM76" s="56">
        <f>Ass!$I30*AM$18</f>
        <v>8.5989527420358467</v>
      </c>
      <c r="AN76" s="56">
        <f>Ass!$I30*AN$18</f>
        <v>8.5989527420358467</v>
      </c>
      <c r="AO76" s="56">
        <f>Ass!$I30*AO$18</f>
        <v>8.5989527420358467</v>
      </c>
      <c r="AP76" s="56">
        <f>Ass!$I30*AP$18</f>
        <v>8.5989527420358467</v>
      </c>
      <c r="AQ76" s="56">
        <f>Ass!$I30*AQ$18</f>
        <v>8.8139265605867436</v>
      </c>
      <c r="AR76" s="56">
        <f>Ass!$I30*AR$18</f>
        <v>8.8139265605867436</v>
      </c>
      <c r="AS76" s="56">
        <f>Ass!$I30*AS$18</f>
        <v>8.8139265605867436</v>
      </c>
      <c r="AT76" s="56">
        <f>Ass!$I30*AT$18</f>
        <v>8.8139265605867436</v>
      </c>
      <c r="AU76" s="56">
        <f>Ass!$I30*AU$18</f>
        <v>9.0342747246014099</v>
      </c>
      <c r="AV76" s="56">
        <f>Ass!$I30*AV$18</f>
        <v>9.0342747246014099</v>
      </c>
      <c r="AW76" s="56">
        <f>Ass!$I30*AW$18</f>
        <v>9.0342747246014099</v>
      </c>
      <c r="AX76" s="56">
        <f>Ass!$I30*AX$18</f>
        <v>9.0342747246014099</v>
      </c>
      <c r="AY76" s="56">
        <f>Ass!$I30*AY$18</f>
        <v>9.2601315927164443</v>
      </c>
      <c r="AZ76" s="56">
        <f>Ass!$I30*AZ$18</f>
        <v>9.2601315927164443</v>
      </c>
      <c r="BA76" s="56">
        <f>Ass!$I30*BA$18</f>
        <v>9.2601315927164443</v>
      </c>
      <c r="BB76" s="56">
        <f>Ass!$I30*BB$18</f>
        <v>9.2601315927164443</v>
      </c>
      <c r="BC76" s="56">
        <f>Ass!$I30*BC$18</f>
        <v>9.4916348825343544</v>
      </c>
      <c r="BD76" s="56">
        <f>Ass!$I30*BD$18</f>
        <v>9.4916348825343544</v>
      </c>
      <c r="BE76" s="56">
        <f>Ass!$I30*BE$18</f>
        <v>9.4916348825343544</v>
      </c>
      <c r="BF76" s="56">
        <f>Ass!$I30*BF$18</f>
        <v>9.4916348825343544</v>
      </c>
      <c r="BG76" s="56">
        <f>Ass!$I30*BG$18</f>
        <v>9.7289257545977126</v>
      </c>
      <c r="BH76" s="56">
        <f>Ass!$I30*BH$18</f>
        <v>9.7289257545977126</v>
      </c>
      <c r="BI76" s="56">
        <f>Ass!$I30*BI$18</f>
        <v>9.7289257545977126</v>
      </c>
      <c r="BJ76" s="56">
        <f>Ass!$I30*BJ$18</f>
        <v>9.7289257545977126</v>
      </c>
      <c r="BK76" s="56">
        <f>Ass!$I30*BK$18</f>
        <v>9.9721488984626561</v>
      </c>
      <c r="BL76" s="56">
        <f>Ass!$I30*BL$18</f>
        <v>9.9721488984626561</v>
      </c>
      <c r="BM76" s="56">
        <f>Ass!$I30*BM$18</f>
        <v>9.9721488984626561</v>
      </c>
      <c r="BN76" s="56">
        <f>Ass!$I30*BN$18</f>
        <v>9.9721488984626561</v>
      </c>
      <c r="BO76" s="56">
        <f>Ass!$I30*BO$18</f>
        <v>10.221452620924222</v>
      </c>
      <c r="BP76" s="56">
        <f>Ass!$I30*BP$18</f>
        <v>10.221452620924222</v>
      </c>
      <c r="BQ76" s="56">
        <f>Ass!$I30*BQ$18</f>
        <v>10.221452620924222</v>
      </c>
      <c r="BR76" s="56">
        <f>Ass!$I30*BR$18</f>
        <v>10.221452620924222</v>
      </c>
      <c r="BS76" s="56">
        <f>Ass!$I30*BS$18</f>
        <v>10.476988936447325</v>
      </c>
      <c r="BT76" s="56">
        <f>Ass!$I30*BT$18</f>
        <v>10.476988936447325</v>
      </c>
      <c r="BU76" s="56">
        <f>Ass!$I30*BU$18</f>
        <v>10.476988936447325</v>
      </c>
      <c r="BV76" s="56">
        <f>Ass!$I30*BV$18</f>
        <v>10.476988936447325</v>
      </c>
      <c r="BW76" s="56">
        <f>Ass!$I30*BW$18</f>
        <v>10.738913659858508</v>
      </c>
      <c r="BX76" s="56">
        <f>Ass!$I30*BX$18</f>
        <v>10.738913659858508</v>
      </c>
      <c r="BY76" s="56">
        <f>Ass!$I30*BY$18</f>
        <v>10.738913659858508</v>
      </c>
      <c r="BZ76" s="56">
        <f>Ass!$I30*BZ$18</f>
        <v>10.738913659858508</v>
      </c>
      <c r="CA76" s="56">
        <f>Ass!$I30*CA$18</f>
        <v>11.007386501354969</v>
      </c>
      <c r="CB76" s="56">
        <f>Ass!$I30*CB$18</f>
        <v>11.007386501354969</v>
      </c>
      <c r="CC76" s="56">
        <f>Ass!$I30*CC$18</f>
        <v>11.007386501354969</v>
      </c>
      <c r="CD76" s="56">
        <f>Ass!$I30*CD$18</f>
        <v>11.007386501354969</v>
      </c>
      <c r="CE76" s="56">
        <f>Ass!$I30*CE$18</f>
        <v>11.282571163888841</v>
      </c>
      <c r="CF76" s="56">
        <f>Ass!$I30*CF$18</f>
        <v>11.282571163888841</v>
      </c>
      <c r="CG76" s="56">
        <f>Ass!$I30*CG$18</f>
        <v>11.282571163888841</v>
      </c>
      <c r="CH76" s="56">
        <f>Ass!$I30*CH$18</f>
        <v>11.282571163888841</v>
      </c>
      <c r="CI76" s="56">
        <f>Ass!$I30*CI$18</f>
        <v>11.564635442986061</v>
      </c>
      <c r="CJ76" s="56">
        <f>Ass!$I30*CJ$18</f>
        <v>11.564635442986061</v>
      </c>
      <c r="CK76" s="56">
        <f>Ass!$I30*CK$18</f>
        <v>11.564635442986061</v>
      </c>
      <c r="CL76" s="56">
        <f>Ass!$I30*CL$18</f>
        <v>11.564635442986061</v>
      </c>
      <c r="CM76" s="56">
        <f>Ass!$I30*CM$18</f>
        <v>11.853751329060712</v>
      </c>
      <c r="CN76" s="56">
        <f>Ass!$I30*CN$18</f>
        <v>11.853751329060712</v>
      </c>
    </row>
    <row r="77" spans="3:92" ht="12.75" customHeight="1" x14ac:dyDescent="0.3">
      <c r="D77" s="15"/>
      <c r="H77" s="1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</row>
    <row r="78" spans="3:92" ht="12.75" customHeight="1" x14ac:dyDescent="0.3">
      <c r="D78" s="25" t="s">
        <v>157</v>
      </c>
      <c r="H78" s="1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</row>
    <row r="79" spans="3:92" ht="12.75" customHeight="1" x14ac:dyDescent="0.3">
      <c r="D79" s="15" t="s">
        <v>31</v>
      </c>
      <c r="H79" s="16" t="s">
        <v>1</v>
      </c>
      <c r="L79" s="56">
        <f>ROUNDDOWN(L73,2)</f>
        <v>1.76</v>
      </c>
      <c r="M79" s="56">
        <f t="shared" ref="M79:R79" si="742">ROUNDDOWN(M73,2)</f>
        <v>1.76</v>
      </c>
      <c r="N79" s="56">
        <f t="shared" si="742"/>
        <v>1.76</v>
      </c>
      <c r="O79" s="56">
        <f t="shared" si="742"/>
        <v>1.8</v>
      </c>
      <c r="P79" s="56">
        <f t="shared" si="742"/>
        <v>1.8</v>
      </c>
      <c r="Q79" s="56">
        <f t="shared" si="742"/>
        <v>1.8</v>
      </c>
      <c r="R79" s="56">
        <f t="shared" si="742"/>
        <v>1.8</v>
      </c>
      <c r="S79" s="56">
        <f t="shared" ref="S79:CD79" si="743">ROUNDDOWN(S73,2)</f>
        <v>1.85</v>
      </c>
      <c r="T79" s="56">
        <f t="shared" si="743"/>
        <v>1.85</v>
      </c>
      <c r="U79" s="56">
        <f t="shared" si="743"/>
        <v>1.85</v>
      </c>
      <c r="V79" s="56">
        <f t="shared" si="743"/>
        <v>1.85</v>
      </c>
      <c r="W79" s="56">
        <f t="shared" si="743"/>
        <v>1.89</v>
      </c>
      <c r="X79" s="56">
        <f t="shared" si="743"/>
        <v>1.89</v>
      </c>
      <c r="Y79" s="56">
        <f t="shared" si="743"/>
        <v>1.89</v>
      </c>
      <c r="Z79" s="56">
        <f t="shared" si="743"/>
        <v>1.89</v>
      </c>
      <c r="AA79" s="56">
        <f t="shared" si="743"/>
        <v>1.94</v>
      </c>
      <c r="AB79" s="56">
        <f t="shared" si="743"/>
        <v>1.94</v>
      </c>
      <c r="AC79" s="56">
        <f t="shared" si="743"/>
        <v>1.94</v>
      </c>
      <c r="AD79" s="56">
        <f t="shared" si="743"/>
        <v>1.94</v>
      </c>
      <c r="AE79" s="56">
        <f t="shared" si="743"/>
        <v>1.99</v>
      </c>
      <c r="AF79" s="56">
        <f t="shared" si="743"/>
        <v>1.99</v>
      </c>
      <c r="AG79" s="56">
        <f t="shared" si="743"/>
        <v>1.99</v>
      </c>
      <c r="AH79" s="56">
        <f t="shared" si="743"/>
        <v>1.99</v>
      </c>
      <c r="AI79" s="56">
        <f t="shared" si="743"/>
        <v>2.04</v>
      </c>
      <c r="AJ79" s="56">
        <f t="shared" si="743"/>
        <v>2.04</v>
      </c>
      <c r="AK79" s="56">
        <f t="shared" si="743"/>
        <v>2.04</v>
      </c>
      <c r="AL79" s="56">
        <f t="shared" si="743"/>
        <v>2.04</v>
      </c>
      <c r="AM79" s="56">
        <f t="shared" si="743"/>
        <v>2.09</v>
      </c>
      <c r="AN79" s="56">
        <f t="shared" si="743"/>
        <v>2.09</v>
      </c>
      <c r="AO79" s="56">
        <f t="shared" si="743"/>
        <v>2.09</v>
      </c>
      <c r="AP79" s="56">
        <f t="shared" si="743"/>
        <v>2.09</v>
      </c>
      <c r="AQ79" s="56">
        <f t="shared" si="743"/>
        <v>2.14</v>
      </c>
      <c r="AR79" s="56">
        <f t="shared" si="743"/>
        <v>2.14</v>
      </c>
      <c r="AS79" s="56">
        <f t="shared" si="743"/>
        <v>2.14</v>
      </c>
      <c r="AT79" s="56">
        <f t="shared" si="743"/>
        <v>2.14</v>
      </c>
      <c r="AU79" s="56">
        <f t="shared" si="743"/>
        <v>2.19</v>
      </c>
      <c r="AV79" s="56">
        <f t="shared" si="743"/>
        <v>2.19</v>
      </c>
      <c r="AW79" s="56">
        <f t="shared" si="743"/>
        <v>2.19</v>
      </c>
      <c r="AX79" s="56">
        <f t="shared" si="743"/>
        <v>2.19</v>
      </c>
      <c r="AY79" s="56">
        <f t="shared" si="743"/>
        <v>2.25</v>
      </c>
      <c r="AZ79" s="56">
        <f t="shared" si="743"/>
        <v>2.25</v>
      </c>
      <c r="BA79" s="56">
        <f t="shared" si="743"/>
        <v>2.25</v>
      </c>
      <c r="BB79" s="56">
        <f t="shared" si="743"/>
        <v>2.25</v>
      </c>
      <c r="BC79" s="56">
        <f t="shared" si="743"/>
        <v>2.31</v>
      </c>
      <c r="BD79" s="56">
        <f t="shared" si="743"/>
        <v>2.31</v>
      </c>
      <c r="BE79" s="56">
        <f t="shared" si="743"/>
        <v>2.31</v>
      </c>
      <c r="BF79" s="56">
        <f t="shared" si="743"/>
        <v>2.31</v>
      </c>
      <c r="BG79" s="56">
        <f t="shared" si="743"/>
        <v>2.36</v>
      </c>
      <c r="BH79" s="56">
        <f t="shared" si="743"/>
        <v>2.36</v>
      </c>
      <c r="BI79" s="56">
        <f t="shared" si="743"/>
        <v>2.36</v>
      </c>
      <c r="BJ79" s="56">
        <f t="shared" si="743"/>
        <v>2.36</v>
      </c>
      <c r="BK79" s="56">
        <f t="shared" si="743"/>
        <v>2.42</v>
      </c>
      <c r="BL79" s="56">
        <f t="shared" si="743"/>
        <v>2.42</v>
      </c>
      <c r="BM79" s="56">
        <f t="shared" si="743"/>
        <v>2.42</v>
      </c>
      <c r="BN79" s="56">
        <f t="shared" si="743"/>
        <v>2.42</v>
      </c>
      <c r="BO79" s="56">
        <f t="shared" si="743"/>
        <v>2.48</v>
      </c>
      <c r="BP79" s="56">
        <f t="shared" si="743"/>
        <v>2.48</v>
      </c>
      <c r="BQ79" s="56">
        <f t="shared" si="743"/>
        <v>2.48</v>
      </c>
      <c r="BR79" s="56">
        <f t="shared" si="743"/>
        <v>2.48</v>
      </c>
      <c r="BS79" s="56">
        <f t="shared" si="743"/>
        <v>2.5499999999999998</v>
      </c>
      <c r="BT79" s="56">
        <f t="shared" si="743"/>
        <v>2.5499999999999998</v>
      </c>
      <c r="BU79" s="56">
        <f t="shared" si="743"/>
        <v>2.5499999999999998</v>
      </c>
      <c r="BV79" s="56">
        <f t="shared" si="743"/>
        <v>2.5499999999999998</v>
      </c>
      <c r="BW79" s="56">
        <f t="shared" si="743"/>
        <v>2.61</v>
      </c>
      <c r="BX79" s="56">
        <f t="shared" si="743"/>
        <v>2.61</v>
      </c>
      <c r="BY79" s="56">
        <f t="shared" si="743"/>
        <v>2.61</v>
      </c>
      <c r="BZ79" s="56">
        <f t="shared" si="743"/>
        <v>2.61</v>
      </c>
      <c r="CA79" s="56">
        <f t="shared" si="743"/>
        <v>2.68</v>
      </c>
      <c r="CB79" s="56">
        <f t="shared" si="743"/>
        <v>2.68</v>
      </c>
      <c r="CC79" s="56">
        <f t="shared" si="743"/>
        <v>2.68</v>
      </c>
      <c r="CD79" s="56">
        <f t="shared" si="743"/>
        <v>2.68</v>
      </c>
      <c r="CE79" s="56">
        <f t="shared" ref="CE79:CN79" si="744">ROUNDDOWN(CE73,2)</f>
        <v>2.74</v>
      </c>
      <c r="CF79" s="56">
        <f t="shared" si="744"/>
        <v>2.74</v>
      </c>
      <c r="CG79" s="56">
        <f t="shared" si="744"/>
        <v>2.74</v>
      </c>
      <c r="CH79" s="56">
        <f t="shared" si="744"/>
        <v>2.74</v>
      </c>
      <c r="CI79" s="56">
        <f t="shared" si="744"/>
        <v>2.81</v>
      </c>
      <c r="CJ79" s="56">
        <f t="shared" si="744"/>
        <v>2.81</v>
      </c>
      <c r="CK79" s="56">
        <f t="shared" si="744"/>
        <v>2.81</v>
      </c>
      <c r="CL79" s="56">
        <f t="shared" si="744"/>
        <v>2.81</v>
      </c>
      <c r="CM79" s="56">
        <f t="shared" si="744"/>
        <v>2.88</v>
      </c>
      <c r="CN79" s="56">
        <f t="shared" si="744"/>
        <v>2.88</v>
      </c>
    </row>
    <row r="80" spans="3:92" ht="12.75" customHeight="1" x14ac:dyDescent="0.3">
      <c r="D80" s="15" t="s">
        <v>32</v>
      </c>
      <c r="H80" s="16" t="s">
        <v>1</v>
      </c>
      <c r="L80" s="56">
        <f t="shared" ref="L80:R82" si="745">ROUNDDOWN(L74,2)</f>
        <v>3.16</v>
      </c>
      <c r="M80" s="56">
        <f t="shared" si="745"/>
        <v>3.16</v>
      </c>
      <c r="N80" s="56">
        <f t="shared" si="745"/>
        <v>3.16</v>
      </c>
      <c r="O80" s="56">
        <f t="shared" si="745"/>
        <v>3.24</v>
      </c>
      <c r="P80" s="56">
        <f t="shared" si="745"/>
        <v>3.24</v>
      </c>
      <c r="Q80" s="56">
        <f t="shared" si="745"/>
        <v>3.24</v>
      </c>
      <c r="R80" s="56">
        <f t="shared" si="745"/>
        <v>3.24</v>
      </c>
      <c r="S80" s="56">
        <f t="shared" ref="S80:CD80" si="746">ROUNDDOWN(S74,2)</f>
        <v>3.32</v>
      </c>
      <c r="T80" s="56">
        <f t="shared" si="746"/>
        <v>3.32</v>
      </c>
      <c r="U80" s="56">
        <f t="shared" si="746"/>
        <v>3.32</v>
      </c>
      <c r="V80" s="56">
        <f t="shared" si="746"/>
        <v>3.32</v>
      </c>
      <c r="W80" s="56">
        <f t="shared" si="746"/>
        <v>3.41</v>
      </c>
      <c r="X80" s="56">
        <f t="shared" si="746"/>
        <v>3.41</v>
      </c>
      <c r="Y80" s="56">
        <f t="shared" si="746"/>
        <v>3.41</v>
      </c>
      <c r="Z80" s="56">
        <f t="shared" si="746"/>
        <v>3.41</v>
      </c>
      <c r="AA80" s="56">
        <f t="shared" si="746"/>
        <v>3.49</v>
      </c>
      <c r="AB80" s="56">
        <f t="shared" si="746"/>
        <v>3.49</v>
      </c>
      <c r="AC80" s="56">
        <f t="shared" si="746"/>
        <v>3.49</v>
      </c>
      <c r="AD80" s="56">
        <f t="shared" si="746"/>
        <v>3.49</v>
      </c>
      <c r="AE80" s="56">
        <f t="shared" si="746"/>
        <v>3.58</v>
      </c>
      <c r="AF80" s="56">
        <f t="shared" si="746"/>
        <v>3.58</v>
      </c>
      <c r="AG80" s="56">
        <f t="shared" si="746"/>
        <v>3.58</v>
      </c>
      <c r="AH80" s="56">
        <f t="shared" si="746"/>
        <v>3.58</v>
      </c>
      <c r="AI80" s="56">
        <f t="shared" si="746"/>
        <v>3.67</v>
      </c>
      <c r="AJ80" s="56">
        <f t="shared" si="746"/>
        <v>3.67</v>
      </c>
      <c r="AK80" s="56">
        <f t="shared" si="746"/>
        <v>3.67</v>
      </c>
      <c r="AL80" s="56">
        <f t="shared" si="746"/>
        <v>3.67</v>
      </c>
      <c r="AM80" s="56">
        <f t="shared" si="746"/>
        <v>3.76</v>
      </c>
      <c r="AN80" s="56">
        <f t="shared" si="746"/>
        <v>3.76</v>
      </c>
      <c r="AO80" s="56">
        <f t="shared" si="746"/>
        <v>3.76</v>
      </c>
      <c r="AP80" s="56">
        <f t="shared" si="746"/>
        <v>3.76</v>
      </c>
      <c r="AQ80" s="56">
        <f t="shared" si="746"/>
        <v>3.85</v>
      </c>
      <c r="AR80" s="56">
        <f t="shared" si="746"/>
        <v>3.85</v>
      </c>
      <c r="AS80" s="56">
        <f t="shared" si="746"/>
        <v>3.85</v>
      </c>
      <c r="AT80" s="56">
        <f t="shared" si="746"/>
        <v>3.85</v>
      </c>
      <c r="AU80" s="56">
        <f t="shared" si="746"/>
        <v>3.95</v>
      </c>
      <c r="AV80" s="56">
        <f t="shared" si="746"/>
        <v>3.95</v>
      </c>
      <c r="AW80" s="56">
        <f t="shared" si="746"/>
        <v>3.95</v>
      </c>
      <c r="AX80" s="56">
        <f t="shared" si="746"/>
        <v>3.95</v>
      </c>
      <c r="AY80" s="56">
        <f t="shared" si="746"/>
        <v>4.05</v>
      </c>
      <c r="AZ80" s="56">
        <f t="shared" si="746"/>
        <v>4.05</v>
      </c>
      <c r="BA80" s="56">
        <f t="shared" si="746"/>
        <v>4.05</v>
      </c>
      <c r="BB80" s="56">
        <f t="shared" si="746"/>
        <v>4.05</v>
      </c>
      <c r="BC80" s="56">
        <f t="shared" si="746"/>
        <v>4.1500000000000004</v>
      </c>
      <c r="BD80" s="56">
        <f t="shared" si="746"/>
        <v>4.1500000000000004</v>
      </c>
      <c r="BE80" s="56">
        <f t="shared" si="746"/>
        <v>4.1500000000000004</v>
      </c>
      <c r="BF80" s="56">
        <f t="shared" si="746"/>
        <v>4.1500000000000004</v>
      </c>
      <c r="BG80" s="56">
        <f t="shared" si="746"/>
        <v>4.25</v>
      </c>
      <c r="BH80" s="56">
        <f t="shared" si="746"/>
        <v>4.25</v>
      </c>
      <c r="BI80" s="56">
        <f t="shared" si="746"/>
        <v>4.25</v>
      </c>
      <c r="BJ80" s="56">
        <f t="shared" si="746"/>
        <v>4.25</v>
      </c>
      <c r="BK80" s="56">
        <f t="shared" si="746"/>
        <v>4.3600000000000003</v>
      </c>
      <c r="BL80" s="56">
        <f t="shared" si="746"/>
        <v>4.3600000000000003</v>
      </c>
      <c r="BM80" s="56">
        <f t="shared" si="746"/>
        <v>4.3600000000000003</v>
      </c>
      <c r="BN80" s="56">
        <f t="shared" si="746"/>
        <v>4.3600000000000003</v>
      </c>
      <c r="BO80" s="56">
        <f t="shared" si="746"/>
        <v>4.47</v>
      </c>
      <c r="BP80" s="56">
        <f t="shared" si="746"/>
        <v>4.47</v>
      </c>
      <c r="BQ80" s="56">
        <f t="shared" si="746"/>
        <v>4.47</v>
      </c>
      <c r="BR80" s="56">
        <f t="shared" si="746"/>
        <v>4.47</v>
      </c>
      <c r="BS80" s="56">
        <f t="shared" si="746"/>
        <v>4.58</v>
      </c>
      <c r="BT80" s="56">
        <f t="shared" si="746"/>
        <v>4.58</v>
      </c>
      <c r="BU80" s="56">
        <f t="shared" si="746"/>
        <v>4.58</v>
      </c>
      <c r="BV80" s="56">
        <f t="shared" si="746"/>
        <v>4.58</v>
      </c>
      <c r="BW80" s="56">
        <f t="shared" si="746"/>
        <v>4.7</v>
      </c>
      <c r="BX80" s="56">
        <f t="shared" si="746"/>
        <v>4.7</v>
      </c>
      <c r="BY80" s="56">
        <f t="shared" si="746"/>
        <v>4.7</v>
      </c>
      <c r="BZ80" s="56">
        <f t="shared" si="746"/>
        <v>4.7</v>
      </c>
      <c r="CA80" s="56">
        <f t="shared" si="746"/>
        <v>4.8099999999999996</v>
      </c>
      <c r="CB80" s="56">
        <f t="shared" si="746"/>
        <v>4.8099999999999996</v>
      </c>
      <c r="CC80" s="56">
        <f t="shared" si="746"/>
        <v>4.8099999999999996</v>
      </c>
      <c r="CD80" s="56">
        <f t="shared" si="746"/>
        <v>4.8099999999999996</v>
      </c>
      <c r="CE80" s="56">
        <f t="shared" ref="CE80:CN80" si="747">ROUNDDOWN(CE74,2)</f>
        <v>4.93</v>
      </c>
      <c r="CF80" s="56">
        <f t="shared" si="747"/>
        <v>4.93</v>
      </c>
      <c r="CG80" s="56">
        <f t="shared" si="747"/>
        <v>4.93</v>
      </c>
      <c r="CH80" s="56">
        <f t="shared" si="747"/>
        <v>4.93</v>
      </c>
      <c r="CI80" s="56">
        <f t="shared" si="747"/>
        <v>5.0599999999999996</v>
      </c>
      <c r="CJ80" s="56">
        <f t="shared" si="747"/>
        <v>5.0599999999999996</v>
      </c>
      <c r="CK80" s="56">
        <f t="shared" si="747"/>
        <v>5.0599999999999996</v>
      </c>
      <c r="CL80" s="56">
        <f t="shared" si="747"/>
        <v>5.0599999999999996</v>
      </c>
      <c r="CM80" s="56">
        <f t="shared" si="747"/>
        <v>5.18</v>
      </c>
      <c r="CN80" s="56">
        <f t="shared" si="747"/>
        <v>5.18</v>
      </c>
    </row>
    <row r="81" spans="3:92" ht="12.75" customHeight="1" x14ac:dyDescent="0.3">
      <c r="D81" s="15" t="s">
        <v>33</v>
      </c>
      <c r="H81" s="16" t="s">
        <v>1</v>
      </c>
      <c r="L81" s="56">
        <f t="shared" si="745"/>
        <v>4.84</v>
      </c>
      <c r="M81" s="56">
        <f t="shared" si="745"/>
        <v>4.84</v>
      </c>
      <c r="N81" s="56">
        <f t="shared" si="745"/>
        <v>4.84</v>
      </c>
      <c r="O81" s="56">
        <f t="shared" si="745"/>
        <v>4.96</v>
      </c>
      <c r="P81" s="56">
        <f t="shared" si="745"/>
        <v>4.96</v>
      </c>
      <c r="Q81" s="56">
        <f t="shared" si="745"/>
        <v>4.96</v>
      </c>
      <c r="R81" s="56">
        <f t="shared" si="745"/>
        <v>4.96</v>
      </c>
      <c r="S81" s="56">
        <f t="shared" ref="S81:CD81" si="748">ROUNDDOWN(S75,2)</f>
        <v>5.08</v>
      </c>
      <c r="T81" s="56">
        <f t="shared" si="748"/>
        <v>5.08</v>
      </c>
      <c r="U81" s="56">
        <f t="shared" si="748"/>
        <v>5.08</v>
      </c>
      <c r="V81" s="56">
        <f t="shared" si="748"/>
        <v>5.08</v>
      </c>
      <c r="W81" s="56">
        <f t="shared" si="748"/>
        <v>5.21</v>
      </c>
      <c r="X81" s="56">
        <f t="shared" si="748"/>
        <v>5.21</v>
      </c>
      <c r="Y81" s="56">
        <f t="shared" si="748"/>
        <v>5.21</v>
      </c>
      <c r="Z81" s="56">
        <f t="shared" si="748"/>
        <v>5.21</v>
      </c>
      <c r="AA81" s="56">
        <f t="shared" si="748"/>
        <v>5.34</v>
      </c>
      <c r="AB81" s="56">
        <f t="shared" si="748"/>
        <v>5.34</v>
      </c>
      <c r="AC81" s="56">
        <f t="shared" si="748"/>
        <v>5.34</v>
      </c>
      <c r="AD81" s="56">
        <f t="shared" si="748"/>
        <v>5.34</v>
      </c>
      <c r="AE81" s="56">
        <f t="shared" si="748"/>
        <v>5.47</v>
      </c>
      <c r="AF81" s="56">
        <f t="shared" si="748"/>
        <v>5.47</v>
      </c>
      <c r="AG81" s="56">
        <f t="shared" si="748"/>
        <v>5.47</v>
      </c>
      <c r="AH81" s="56">
        <f t="shared" si="748"/>
        <v>5.47</v>
      </c>
      <c r="AI81" s="56">
        <f t="shared" si="748"/>
        <v>5.61</v>
      </c>
      <c r="AJ81" s="56">
        <f t="shared" si="748"/>
        <v>5.61</v>
      </c>
      <c r="AK81" s="56">
        <f t="shared" si="748"/>
        <v>5.61</v>
      </c>
      <c r="AL81" s="56">
        <f t="shared" si="748"/>
        <v>5.61</v>
      </c>
      <c r="AM81" s="56">
        <f t="shared" si="748"/>
        <v>5.75</v>
      </c>
      <c r="AN81" s="56">
        <f t="shared" si="748"/>
        <v>5.75</v>
      </c>
      <c r="AO81" s="56">
        <f t="shared" si="748"/>
        <v>5.75</v>
      </c>
      <c r="AP81" s="56">
        <f t="shared" si="748"/>
        <v>5.75</v>
      </c>
      <c r="AQ81" s="56">
        <f t="shared" si="748"/>
        <v>5.9</v>
      </c>
      <c r="AR81" s="56">
        <f t="shared" si="748"/>
        <v>5.9</v>
      </c>
      <c r="AS81" s="56">
        <f t="shared" si="748"/>
        <v>5.9</v>
      </c>
      <c r="AT81" s="56">
        <f t="shared" si="748"/>
        <v>5.9</v>
      </c>
      <c r="AU81" s="56">
        <f t="shared" si="748"/>
        <v>6.04</v>
      </c>
      <c r="AV81" s="56">
        <f t="shared" si="748"/>
        <v>6.04</v>
      </c>
      <c r="AW81" s="56">
        <f t="shared" si="748"/>
        <v>6.04</v>
      </c>
      <c r="AX81" s="56">
        <f t="shared" si="748"/>
        <v>6.04</v>
      </c>
      <c r="AY81" s="56">
        <f t="shared" si="748"/>
        <v>6.19</v>
      </c>
      <c r="AZ81" s="56">
        <f t="shared" si="748"/>
        <v>6.19</v>
      </c>
      <c r="BA81" s="56">
        <f t="shared" si="748"/>
        <v>6.19</v>
      </c>
      <c r="BB81" s="56">
        <f t="shared" si="748"/>
        <v>6.19</v>
      </c>
      <c r="BC81" s="56">
        <f t="shared" si="748"/>
        <v>6.35</v>
      </c>
      <c r="BD81" s="56">
        <f t="shared" si="748"/>
        <v>6.35</v>
      </c>
      <c r="BE81" s="56">
        <f t="shared" si="748"/>
        <v>6.35</v>
      </c>
      <c r="BF81" s="56">
        <f t="shared" si="748"/>
        <v>6.35</v>
      </c>
      <c r="BG81" s="56">
        <f t="shared" si="748"/>
        <v>6.51</v>
      </c>
      <c r="BH81" s="56">
        <f t="shared" si="748"/>
        <v>6.51</v>
      </c>
      <c r="BI81" s="56">
        <f t="shared" si="748"/>
        <v>6.51</v>
      </c>
      <c r="BJ81" s="56">
        <f t="shared" si="748"/>
        <v>6.51</v>
      </c>
      <c r="BK81" s="56">
        <f t="shared" si="748"/>
        <v>6.67</v>
      </c>
      <c r="BL81" s="56">
        <f t="shared" si="748"/>
        <v>6.67</v>
      </c>
      <c r="BM81" s="56">
        <f t="shared" si="748"/>
        <v>6.67</v>
      </c>
      <c r="BN81" s="56">
        <f t="shared" si="748"/>
        <v>6.67</v>
      </c>
      <c r="BO81" s="56">
        <f t="shared" si="748"/>
        <v>6.84</v>
      </c>
      <c r="BP81" s="56">
        <f t="shared" si="748"/>
        <v>6.84</v>
      </c>
      <c r="BQ81" s="56">
        <f t="shared" si="748"/>
        <v>6.84</v>
      </c>
      <c r="BR81" s="56">
        <f t="shared" si="748"/>
        <v>6.84</v>
      </c>
      <c r="BS81" s="56">
        <f t="shared" si="748"/>
        <v>7.01</v>
      </c>
      <c r="BT81" s="56">
        <f t="shared" si="748"/>
        <v>7.01</v>
      </c>
      <c r="BU81" s="56">
        <f t="shared" si="748"/>
        <v>7.01</v>
      </c>
      <c r="BV81" s="56">
        <f t="shared" si="748"/>
        <v>7.01</v>
      </c>
      <c r="BW81" s="56">
        <f t="shared" si="748"/>
        <v>7.18</v>
      </c>
      <c r="BX81" s="56">
        <f t="shared" si="748"/>
        <v>7.18</v>
      </c>
      <c r="BY81" s="56">
        <f t="shared" si="748"/>
        <v>7.18</v>
      </c>
      <c r="BZ81" s="56">
        <f t="shared" si="748"/>
        <v>7.18</v>
      </c>
      <c r="CA81" s="56">
        <f t="shared" si="748"/>
        <v>7.36</v>
      </c>
      <c r="CB81" s="56">
        <f t="shared" si="748"/>
        <v>7.36</v>
      </c>
      <c r="CC81" s="56">
        <f t="shared" si="748"/>
        <v>7.36</v>
      </c>
      <c r="CD81" s="56">
        <f t="shared" si="748"/>
        <v>7.36</v>
      </c>
      <c r="CE81" s="56">
        <f t="shared" ref="CE81:CN81" si="749">ROUNDDOWN(CE75,2)</f>
        <v>7.55</v>
      </c>
      <c r="CF81" s="56">
        <f t="shared" si="749"/>
        <v>7.55</v>
      </c>
      <c r="CG81" s="56">
        <f t="shared" si="749"/>
        <v>7.55</v>
      </c>
      <c r="CH81" s="56">
        <f t="shared" si="749"/>
        <v>7.55</v>
      </c>
      <c r="CI81" s="56">
        <f t="shared" si="749"/>
        <v>7.74</v>
      </c>
      <c r="CJ81" s="56">
        <f t="shared" si="749"/>
        <v>7.74</v>
      </c>
      <c r="CK81" s="56">
        <f t="shared" si="749"/>
        <v>7.74</v>
      </c>
      <c r="CL81" s="56">
        <f t="shared" si="749"/>
        <v>7.74</v>
      </c>
      <c r="CM81" s="56">
        <f t="shared" si="749"/>
        <v>7.93</v>
      </c>
      <c r="CN81" s="56">
        <f t="shared" si="749"/>
        <v>7.93</v>
      </c>
    </row>
    <row r="82" spans="3:92" ht="12.75" customHeight="1" x14ac:dyDescent="0.3">
      <c r="D82" s="15" t="s">
        <v>34</v>
      </c>
      <c r="H82" s="16" t="s">
        <v>1</v>
      </c>
      <c r="L82" s="56">
        <f t="shared" si="745"/>
        <v>7.23</v>
      </c>
      <c r="M82" s="56">
        <f t="shared" si="745"/>
        <v>7.23</v>
      </c>
      <c r="N82" s="56">
        <f t="shared" si="745"/>
        <v>7.23</v>
      </c>
      <c r="O82" s="56">
        <f t="shared" si="745"/>
        <v>7.41</v>
      </c>
      <c r="P82" s="56">
        <f t="shared" si="745"/>
        <v>7.41</v>
      </c>
      <c r="Q82" s="56">
        <f t="shared" si="745"/>
        <v>7.41</v>
      </c>
      <c r="R82" s="56">
        <f t="shared" si="745"/>
        <v>7.41</v>
      </c>
      <c r="S82" s="56">
        <f t="shared" ref="S82:CD82" si="750">ROUNDDOWN(S76,2)</f>
        <v>7.6</v>
      </c>
      <c r="T82" s="56">
        <f t="shared" si="750"/>
        <v>7.6</v>
      </c>
      <c r="U82" s="56">
        <f t="shared" si="750"/>
        <v>7.6</v>
      </c>
      <c r="V82" s="56">
        <f t="shared" si="750"/>
        <v>7.6</v>
      </c>
      <c r="W82" s="56">
        <f t="shared" si="750"/>
        <v>7.79</v>
      </c>
      <c r="X82" s="56">
        <f t="shared" si="750"/>
        <v>7.79</v>
      </c>
      <c r="Y82" s="56">
        <f t="shared" si="750"/>
        <v>7.79</v>
      </c>
      <c r="Z82" s="56">
        <f t="shared" si="750"/>
        <v>7.79</v>
      </c>
      <c r="AA82" s="56">
        <f t="shared" si="750"/>
        <v>7.98</v>
      </c>
      <c r="AB82" s="56">
        <f t="shared" si="750"/>
        <v>7.98</v>
      </c>
      <c r="AC82" s="56">
        <f t="shared" si="750"/>
        <v>7.98</v>
      </c>
      <c r="AD82" s="56">
        <f t="shared" si="750"/>
        <v>7.98</v>
      </c>
      <c r="AE82" s="56">
        <f t="shared" si="750"/>
        <v>8.18</v>
      </c>
      <c r="AF82" s="56">
        <f t="shared" si="750"/>
        <v>8.18</v>
      </c>
      <c r="AG82" s="56">
        <f t="shared" si="750"/>
        <v>8.18</v>
      </c>
      <c r="AH82" s="56">
        <f t="shared" si="750"/>
        <v>8.18</v>
      </c>
      <c r="AI82" s="56">
        <f t="shared" si="750"/>
        <v>8.3800000000000008</v>
      </c>
      <c r="AJ82" s="56">
        <f t="shared" si="750"/>
        <v>8.3800000000000008</v>
      </c>
      <c r="AK82" s="56">
        <f t="shared" si="750"/>
        <v>8.3800000000000008</v>
      </c>
      <c r="AL82" s="56">
        <f t="shared" si="750"/>
        <v>8.3800000000000008</v>
      </c>
      <c r="AM82" s="56">
        <f t="shared" si="750"/>
        <v>8.59</v>
      </c>
      <c r="AN82" s="56">
        <f t="shared" si="750"/>
        <v>8.59</v>
      </c>
      <c r="AO82" s="56">
        <f t="shared" si="750"/>
        <v>8.59</v>
      </c>
      <c r="AP82" s="56">
        <f t="shared" si="750"/>
        <v>8.59</v>
      </c>
      <c r="AQ82" s="56">
        <f t="shared" si="750"/>
        <v>8.81</v>
      </c>
      <c r="AR82" s="56">
        <f t="shared" si="750"/>
        <v>8.81</v>
      </c>
      <c r="AS82" s="56">
        <f t="shared" si="750"/>
        <v>8.81</v>
      </c>
      <c r="AT82" s="56">
        <f t="shared" si="750"/>
        <v>8.81</v>
      </c>
      <c r="AU82" s="56">
        <f t="shared" si="750"/>
        <v>9.0299999999999994</v>
      </c>
      <c r="AV82" s="56">
        <f t="shared" si="750"/>
        <v>9.0299999999999994</v>
      </c>
      <c r="AW82" s="56">
        <f t="shared" si="750"/>
        <v>9.0299999999999994</v>
      </c>
      <c r="AX82" s="56">
        <f t="shared" si="750"/>
        <v>9.0299999999999994</v>
      </c>
      <c r="AY82" s="56">
        <f t="shared" si="750"/>
        <v>9.26</v>
      </c>
      <c r="AZ82" s="56">
        <f t="shared" si="750"/>
        <v>9.26</v>
      </c>
      <c r="BA82" s="56">
        <f t="shared" si="750"/>
        <v>9.26</v>
      </c>
      <c r="BB82" s="56">
        <f t="shared" si="750"/>
        <v>9.26</v>
      </c>
      <c r="BC82" s="56">
        <f t="shared" si="750"/>
        <v>9.49</v>
      </c>
      <c r="BD82" s="56">
        <f t="shared" si="750"/>
        <v>9.49</v>
      </c>
      <c r="BE82" s="56">
        <f t="shared" si="750"/>
        <v>9.49</v>
      </c>
      <c r="BF82" s="56">
        <f t="shared" si="750"/>
        <v>9.49</v>
      </c>
      <c r="BG82" s="56">
        <f t="shared" si="750"/>
        <v>9.7200000000000006</v>
      </c>
      <c r="BH82" s="56">
        <f t="shared" si="750"/>
        <v>9.7200000000000006</v>
      </c>
      <c r="BI82" s="56">
        <f t="shared" si="750"/>
        <v>9.7200000000000006</v>
      </c>
      <c r="BJ82" s="56">
        <f t="shared" si="750"/>
        <v>9.7200000000000006</v>
      </c>
      <c r="BK82" s="56">
        <f t="shared" si="750"/>
        <v>9.9700000000000006</v>
      </c>
      <c r="BL82" s="56">
        <f t="shared" si="750"/>
        <v>9.9700000000000006</v>
      </c>
      <c r="BM82" s="56">
        <f t="shared" si="750"/>
        <v>9.9700000000000006</v>
      </c>
      <c r="BN82" s="56">
        <f t="shared" si="750"/>
        <v>9.9700000000000006</v>
      </c>
      <c r="BO82" s="56">
        <f t="shared" si="750"/>
        <v>10.220000000000001</v>
      </c>
      <c r="BP82" s="56">
        <f t="shared" si="750"/>
        <v>10.220000000000001</v>
      </c>
      <c r="BQ82" s="56">
        <f t="shared" si="750"/>
        <v>10.220000000000001</v>
      </c>
      <c r="BR82" s="56">
        <f t="shared" si="750"/>
        <v>10.220000000000001</v>
      </c>
      <c r="BS82" s="56">
        <f t="shared" si="750"/>
        <v>10.47</v>
      </c>
      <c r="BT82" s="56">
        <f t="shared" si="750"/>
        <v>10.47</v>
      </c>
      <c r="BU82" s="56">
        <f t="shared" si="750"/>
        <v>10.47</v>
      </c>
      <c r="BV82" s="56">
        <f t="shared" si="750"/>
        <v>10.47</v>
      </c>
      <c r="BW82" s="56">
        <f t="shared" si="750"/>
        <v>10.73</v>
      </c>
      <c r="BX82" s="56">
        <f t="shared" si="750"/>
        <v>10.73</v>
      </c>
      <c r="BY82" s="56">
        <f t="shared" si="750"/>
        <v>10.73</v>
      </c>
      <c r="BZ82" s="56">
        <f t="shared" si="750"/>
        <v>10.73</v>
      </c>
      <c r="CA82" s="56">
        <f t="shared" si="750"/>
        <v>11</v>
      </c>
      <c r="CB82" s="56">
        <f t="shared" si="750"/>
        <v>11</v>
      </c>
      <c r="CC82" s="56">
        <f t="shared" si="750"/>
        <v>11</v>
      </c>
      <c r="CD82" s="56">
        <f t="shared" si="750"/>
        <v>11</v>
      </c>
      <c r="CE82" s="56">
        <f t="shared" ref="CE82:CN82" si="751">ROUNDDOWN(CE76,2)</f>
        <v>11.28</v>
      </c>
      <c r="CF82" s="56">
        <f t="shared" si="751"/>
        <v>11.28</v>
      </c>
      <c r="CG82" s="56">
        <f t="shared" si="751"/>
        <v>11.28</v>
      </c>
      <c r="CH82" s="56">
        <f t="shared" si="751"/>
        <v>11.28</v>
      </c>
      <c r="CI82" s="56">
        <f t="shared" si="751"/>
        <v>11.56</v>
      </c>
      <c r="CJ82" s="56">
        <f t="shared" si="751"/>
        <v>11.56</v>
      </c>
      <c r="CK82" s="56">
        <f t="shared" si="751"/>
        <v>11.56</v>
      </c>
      <c r="CL82" s="56">
        <f t="shared" si="751"/>
        <v>11.56</v>
      </c>
      <c r="CM82" s="56">
        <f t="shared" si="751"/>
        <v>11.85</v>
      </c>
      <c r="CN82" s="56">
        <f t="shared" si="751"/>
        <v>11.85</v>
      </c>
    </row>
    <row r="83" spans="3:92" ht="12.75" customHeight="1" x14ac:dyDescent="0.3">
      <c r="D83" s="15"/>
      <c r="H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</row>
    <row r="84" spans="3:92" ht="12.75" customHeight="1" x14ac:dyDescent="0.3">
      <c r="D84" s="25" t="s">
        <v>158</v>
      </c>
      <c r="H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</row>
    <row r="85" spans="3:92" ht="12.75" customHeight="1" x14ac:dyDescent="0.3">
      <c r="D85" s="15" t="s">
        <v>31</v>
      </c>
      <c r="H85" s="16" t="s">
        <v>1</v>
      </c>
      <c r="L85" s="56">
        <f>ROUNDUP(L79,1)+Ass!$I$35</f>
        <v>2.1</v>
      </c>
      <c r="M85" s="56">
        <f>ROUNDUP(M79,1)+Ass!$I$35</f>
        <v>2.1</v>
      </c>
      <c r="N85" s="56">
        <f>ROUNDUP(N79,1)+Ass!$I$35</f>
        <v>2.1</v>
      </c>
      <c r="O85" s="56">
        <f>ROUNDUP(O79,1)+Ass!$I$35</f>
        <v>2.1</v>
      </c>
      <c r="P85" s="56">
        <f>ROUNDUP(P79,1)+Ass!$I$35</f>
        <v>2.1</v>
      </c>
      <c r="Q85" s="56">
        <f>ROUNDUP(Q79,1)+Ass!$I$35</f>
        <v>2.1</v>
      </c>
      <c r="R85" s="56">
        <f>ROUNDUP(R79,1)+Ass!$I$35</f>
        <v>2.1</v>
      </c>
      <c r="S85" s="56">
        <f>ROUNDUP(S79,1)+Ass!$I$35</f>
        <v>2.2000000000000002</v>
      </c>
      <c r="T85" s="56">
        <f>ROUNDUP(T79,1)+Ass!$I$35</f>
        <v>2.2000000000000002</v>
      </c>
      <c r="U85" s="56">
        <f>ROUNDUP(U79,1)+Ass!$I$35</f>
        <v>2.2000000000000002</v>
      </c>
      <c r="V85" s="56">
        <f>ROUNDUP(V79,1)+Ass!$I$35</f>
        <v>2.2000000000000002</v>
      </c>
      <c r="W85" s="56">
        <f>ROUNDUP(W79,1)+Ass!$I$35</f>
        <v>2.2000000000000002</v>
      </c>
      <c r="X85" s="56">
        <f>ROUNDUP(X79,1)+Ass!$I$35</f>
        <v>2.2000000000000002</v>
      </c>
      <c r="Y85" s="56">
        <f>ROUNDUP(Y79,1)+Ass!$I$35</f>
        <v>2.2000000000000002</v>
      </c>
      <c r="Z85" s="56">
        <f>ROUNDUP(Z79,1)+Ass!$I$35</f>
        <v>2.2000000000000002</v>
      </c>
      <c r="AA85" s="56">
        <f>ROUNDUP(AA79,1)+Ass!$I$35</f>
        <v>2.2999999999999998</v>
      </c>
      <c r="AB85" s="56">
        <f>ROUNDUP(AB79,1)+Ass!$I$35</f>
        <v>2.2999999999999998</v>
      </c>
      <c r="AC85" s="56">
        <f>ROUNDUP(AC79,1)+Ass!$I$35</f>
        <v>2.2999999999999998</v>
      </c>
      <c r="AD85" s="56">
        <f>ROUNDUP(AD79,1)+Ass!$I$35</f>
        <v>2.2999999999999998</v>
      </c>
      <c r="AE85" s="56">
        <f>ROUNDUP(AE79,1)+Ass!$I$35</f>
        <v>2.2999999999999998</v>
      </c>
      <c r="AF85" s="56">
        <f>ROUNDUP(AF79,1)+Ass!$I$35</f>
        <v>2.2999999999999998</v>
      </c>
      <c r="AG85" s="56">
        <f>ROUNDUP(AG79,1)+Ass!$I$35</f>
        <v>2.2999999999999998</v>
      </c>
      <c r="AH85" s="56">
        <f>ROUNDUP(AH79,1)+Ass!$I$35</f>
        <v>2.2999999999999998</v>
      </c>
      <c r="AI85" s="56">
        <f>ROUNDUP(AI79,1)+Ass!$I$35</f>
        <v>2.4</v>
      </c>
      <c r="AJ85" s="56">
        <f>ROUNDUP(AJ79,1)+Ass!$I$35</f>
        <v>2.4</v>
      </c>
      <c r="AK85" s="56">
        <f>ROUNDUP(AK79,1)+Ass!$I$35</f>
        <v>2.4</v>
      </c>
      <c r="AL85" s="56">
        <f>ROUNDUP(AL79,1)+Ass!$I$35</f>
        <v>2.4</v>
      </c>
      <c r="AM85" s="56">
        <f>ROUNDUP(AM79,1)+Ass!$I$35</f>
        <v>2.4</v>
      </c>
      <c r="AN85" s="56">
        <f>ROUNDUP(AN79,1)+Ass!$I$35</f>
        <v>2.4</v>
      </c>
      <c r="AO85" s="56">
        <f>ROUNDUP(AO79,1)+Ass!$I$35</f>
        <v>2.4</v>
      </c>
      <c r="AP85" s="56">
        <f>ROUNDUP(AP79,1)+Ass!$I$35</f>
        <v>2.4</v>
      </c>
      <c r="AQ85" s="56">
        <f>ROUNDUP(AQ79,1)+Ass!$I$35</f>
        <v>2.5</v>
      </c>
      <c r="AR85" s="56">
        <f>ROUNDUP(AR79,1)+Ass!$I$35</f>
        <v>2.5</v>
      </c>
      <c r="AS85" s="56">
        <f>ROUNDUP(AS79,1)+Ass!$I$35</f>
        <v>2.5</v>
      </c>
      <c r="AT85" s="56">
        <f>ROUNDUP(AT79,1)+Ass!$I$35</f>
        <v>2.5</v>
      </c>
      <c r="AU85" s="56">
        <f>ROUNDUP(AU79,1)+Ass!$I$35</f>
        <v>2.5</v>
      </c>
      <c r="AV85" s="56">
        <f>ROUNDUP(AV79,1)+Ass!$I$35</f>
        <v>2.5</v>
      </c>
      <c r="AW85" s="56">
        <f>ROUNDUP(AW79,1)+Ass!$I$35</f>
        <v>2.5</v>
      </c>
      <c r="AX85" s="56">
        <f>ROUNDUP(AX79,1)+Ass!$I$35</f>
        <v>2.5</v>
      </c>
      <c r="AY85" s="56">
        <f>ROUNDUP(AY79,1)+Ass!$I$35</f>
        <v>2.6</v>
      </c>
      <c r="AZ85" s="56">
        <f>ROUNDUP(AZ79,1)+Ass!$I$35</f>
        <v>2.6</v>
      </c>
      <c r="BA85" s="56">
        <f>ROUNDUP(BA79,1)+Ass!$I$35</f>
        <v>2.6</v>
      </c>
      <c r="BB85" s="56">
        <f>ROUNDUP(BB79,1)+Ass!$I$35</f>
        <v>2.6</v>
      </c>
      <c r="BC85" s="56">
        <f>ROUNDUP(BC79,1)+Ass!$I$35</f>
        <v>2.6999999999999997</v>
      </c>
      <c r="BD85" s="56">
        <f>ROUNDUP(BD79,1)+Ass!$I$35</f>
        <v>2.6999999999999997</v>
      </c>
      <c r="BE85" s="56">
        <f>ROUNDUP(BE79,1)+Ass!$I$35</f>
        <v>2.6999999999999997</v>
      </c>
      <c r="BF85" s="56">
        <f>ROUNDUP(BF79,1)+Ass!$I$35</f>
        <v>2.6999999999999997</v>
      </c>
      <c r="BG85" s="56">
        <f>ROUNDUP(BG79,1)+Ass!$I$35</f>
        <v>2.6999999999999997</v>
      </c>
      <c r="BH85" s="56">
        <f>ROUNDUP(BH79,1)+Ass!$I$35</f>
        <v>2.6999999999999997</v>
      </c>
      <c r="BI85" s="56">
        <f>ROUNDUP(BI79,1)+Ass!$I$35</f>
        <v>2.6999999999999997</v>
      </c>
      <c r="BJ85" s="56">
        <f>ROUNDUP(BJ79,1)+Ass!$I$35</f>
        <v>2.6999999999999997</v>
      </c>
      <c r="BK85" s="56">
        <f>ROUNDUP(BK79,1)+Ass!$I$35</f>
        <v>2.8</v>
      </c>
      <c r="BL85" s="56">
        <f>ROUNDUP(BL79,1)+Ass!$I$35</f>
        <v>2.8</v>
      </c>
      <c r="BM85" s="56">
        <f>ROUNDUP(BM79,1)+Ass!$I$35</f>
        <v>2.8</v>
      </c>
      <c r="BN85" s="56">
        <f>ROUNDUP(BN79,1)+Ass!$I$35</f>
        <v>2.8</v>
      </c>
      <c r="BO85" s="56">
        <f>ROUNDUP(BO79,1)+Ass!$I$35</f>
        <v>2.8</v>
      </c>
      <c r="BP85" s="56">
        <f>ROUNDUP(BP79,1)+Ass!$I$35</f>
        <v>2.8</v>
      </c>
      <c r="BQ85" s="56">
        <f>ROUNDUP(BQ79,1)+Ass!$I$35</f>
        <v>2.8</v>
      </c>
      <c r="BR85" s="56">
        <f>ROUNDUP(BR79,1)+Ass!$I$35</f>
        <v>2.8</v>
      </c>
      <c r="BS85" s="56">
        <f>ROUNDUP(BS79,1)+Ass!$I$35</f>
        <v>2.9</v>
      </c>
      <c r="BT85" s="56">
        <f>ROUNDUP(BT79,1)+Ass!$I$35</f>
        <v>2.9</v>
      </c>
      <c r="BU85" s="56">
        <f>ROUNDUP(BU79,1)+Ass!$I$35</f>
        <v>2.9</v>
      </c>
      <c r="BV85" s="56">
        <f>ROUNDUP(BV79,1)+Ass!$I$35</f>
        <v>2.9</v>
      </c>
      <c r="BW85" s="56">
        <f>ROUNDUP(BW79,1)+Ass!$I$35</f>
        <v>3</v>
      </c>
      <c r="BX85" s="56">
        <f>ROUNDUP(BX79,1)+Ass!$I$35</f>
        <v>3</v>
      </c>
      <c r="BY85" s="56">
        <f>ROUNDUP(BY79,1)+Ass!$I$35</f>
        <v>3</v>
      </c>
      <c r="BZ85" s="56">
        <f>ROUNDUP(BZ79,1)+Ass!$I$35</f>
        <v>3</v>
      </c>
      <c r="CA85" s="56">
        <f>ROUNDUP(CA79,1)+Ass!$I$35</f>
        <v>3</v>
      </c>
      <c r="CB85" s="56">
        <f>ROUNDUP(CB79,1)+Ass!$I$35</f>
        <v>3</v>
      </c>
      <c r="CC85" s="56">
        <f>ROUNDUP(CC79,1)+Ass!$I$35</f>
        <v>3</v>
      </c>
      <c r="CD85" s="56">
        <f>ROUNDUP(CD79,1)+Ass!$I$35</f>
        <v>3</v>
      </c>
      <c r="CE85" s="56">
        <f>ROUNDUP(CE79,1)+Ass!$I$35</f>
        <v>3.1</v>
      </c>
      <c r="CF85" s="56">
        <f>ROUNDUP(CF79,1)+Ass!$I$35</f>
        <v>3.1</v>
      </c>
      <c r="CG85" s="56">
        <f>ROUNDUP(CG79,1)+Ass!$I$35</f>
        <v>3.1</v>
      </c>
      <c r="CH85" s="56">
        <f>ROUNDUP(CH79,1)+Ass!$I$35</f>
        <v>3.1</v>
      </c>
      <c r="CI85" s="56">
        <f>ROUNDUP(CI79,1)+Ass!$I$35</f>
        <v>3.1999999999999997</v>
      </c>
      <c r="CJ85" s="56">
        <f>ROUNDUP(CJ79,1)+Ass!$I$35</f>
        <v>3.1999999999999997</v>
      </c>
      <c r="CK85" s="56">
        <f>ROUNDUP(CK79,1)+Ass!$I$35</f>
        <v>3.1999999999999997</v>
      </c>
      <c r="CL85" s="56">
        <f>ROUNDUP(CL79,1)+Ass!$I$35</f>
        <v>3.1999999999999997</v>
      </c>
      <c r="CM85" s="56">
        <f>ROUNDUP(CM79,1)+Ass!$I$35</f>
        <v>3.1999999999999997</v>
      </c>
      <c r="CN85" s="56">
        <f>ROUNDUP(CN79,1)+Ass!$I$35</f>
        <v>3.1999999999999997</v>
      </c>
    </row>
    <row r="86" spans="3:92" ht="12.75" customHeight="1" x14ac:dyDescent="0.3">
      <c r="D86" s="15" t="s">
        <v>32</v>
      </c>
      <c r="H86" s="16" t="s">
        <v>1</v>
      </c>
      <c r="L86" s="56">
        <f>ROUNDUP(L80,1)+Ass!$I$35</f>
        <v>3.5</v>
      </c>
      <c r="M86" s="56">
        <f>ROUNDUP(M80,1)+Ass!$I$35</f>
        <v>3.5</v>
      </c>
      <c r="N86" s="56">
        <f>ROUNDUP(N80,1)+Ass!$I$35</f>
        <v>3.5</v>
      </c>
      <c r="O86" s="56">
        <f>ROUNDUP(O80,1)+Ass!$I$35</f>
        <v>3.6</v>
      </c>
      <c r="P86" s="56">
        <f>ROUNDUP(P80,1)+Ass!$I$35</f>
        <v>3.6</v>
      </c>
      <c r="Q86" s="56">
        <f>ROUNDUP(Q80,1)+Ass!$I$35</f>
        <v>3.6</v>
      </c>
      <c r="R86" s="56">
        <f>ROUNDUP(R80,1)+Ass!$I$35</f>
        <v>3.6</v>
      </c>
      <c r="S86" s="56">
        <f>ROUNDUP(S80,1)+Ass!$I$35</f>
        <v>3.6999999999999997</v>
      </c>
      <c r="T86" s="56">
        <f>ROUNDUP(T80,1)+Ass!$I$35</f>
        <v>3.6999999999999997</v>
      </c>
      <c r="U86" s="56">
        <f>ROUNDUP(U80,1)+Ass!$I$35</f>
        <v>3.6999999999999997</v>
      </c>
      <c r="V86" s="56">
        <f>ROUNDUP(V80,1)+Ass!$I$35</f>
        <v>3.6999999999999997</v>
      </c>
      <c r="W86" s="56">
        <f>ROUNDUP(W80,1)+Ass!$I$35</f>
        <v>3.8</v>
      </c>
      <c r="X86" s="56">
        <f>ROUNDUP(X80,1)+Ass!$I$35</f>
        <v>3.8</v>
      </c>
      <c r="Y86" s="56">
        <f>ROUNDUP(Y80,1)+Ass!$I$35</f>
        <v>3.8</v>
      </c>
      <c r="Z86" s="56">
        <f>ROUNDUP(Z80,1)+Ass!$I$35</f>
        <v>3.8</v>
      </c>
      <c r="AA86" s="56">
        <f>ROUNDUP(AA80,1)+Ass!$I$35</f>
        <v>3.8</v>
      </c>
      <c r="AB86" s="56">
        <f>ROUNDUP(AB80,1)+Ass!$I$35</f>
        <v>3.8</v>
      </c>
      <c r="AC86" s="56">
        <f>ROUNDUP(AC80,1)+Ass!$I$35</f>
        <v>3.8</v>
      </c>
      <c r="AD86" s="56">
        <f>ROUNDUP(AD80,1)+Ass!$I$35</f>
        <v>3.8</v>
      </c>
      <c r="AE86" s="56">
        <f>ROUNDUP(AE80,1)+Ass!$I$35</f>
        <v>3.9</v>
      </c>
      <c r="AF86" s="56">
        <f>ROUNDUP(AF80,1)+Ass!$I$35</f>
        <v>3.9</v>
      </c>
      <c r="AG86" s="56">
        <f>ROUNDUP(AG80,1)+Ass!$I$35</f>
        <v>3.9</v>
      </c>
      <c r="AH86" s="56">
        <f>ROUNDUP(AH80,1)+Ass!$I$35</f>
        <v>3.9</v>
      </c>
      <c r="AI86" s="56">
        <f>ROUNDUP(AI80,1)+Ass!$I$35</f>
        <v>4</v>
      </c>
      <c r="AJ86" s="56">
        <f>ROUNDUP(AJ80,1)+Ass!$I$35</f>
        <v>4</v>
      </c>
      <c r="AK86" s="56">
        <f>ROUNDUP(AK80,1)+Ass!$I$35</f>
        <v>4</v>
      </c>
      <c r="AL86" s="56">
        <f>ROUNDUP(AL80,1)+Ass!$I$35</f>
        <v>4</v>
      </c>
      <c r="AM86" s="56">
        <f>ROUNDUP(AM80,1)+Ass!$I$35</f>
        <v>4.1000000000000005</v>
      </c>
      <c r="AN86" s="56">
        <f>ROUNDUP(AN80,1)+Ass!$I$35</f>
        <v>4.1000000000000005</v>
      </c>
      <c r="AO86" s="56">
        <f>ROUNDUP(AO80,1)+Ass!$I$35</f>
        <v>4.1000000000000005</v>
      </c>
      <c r="AP86" s="56">
        <f>ROUNDUP(AP80,1)+Ass!$I$35</f>
        <v>4.1000000000000005</v>
      </c>
      <c r="AQ86" s="56">
        <f>ROUNDUP(AQ80,1)+Ass!$I$35</f>
        <v>4.2</v>
      </c>
      <c r="AR86" s="56">
        <f>ROUNDUP(AR80,1)+Ass!$I$35</f>
        <v>4.2</v>
      </c>
      <c r="AS86" s="56">
        <f>ROUNDUP(AS80,1)+Ass!$I$35</f>
        <v>4.2</v>
      </c>
      <c r="AT86" s="56">
        <f>ROUNDUP(AT80,1)+Ass!$I$35</f>
        <v>4.2</v>
      </c>
      <c r="AU86" s="56">
        <f>ROUNDUP(AU80,1)+Ass!$I$35</f>
        <v>4.3</v>
      </c>
      <c r="AV86" s="56">
        <f>ROUNDUP(AV80,1)+Ass!$I$35</f>
        <v>4.3</v>
      </c>
      <c r="AW86" s="56">
        <f>ROUNDUP(AW80,1)+Ass!$I$35</f>
        <v>4.3</v>
      </c>
      <c r="AX86" s="56">
        <f>ROUNDUP(AX80,1)+Ass!$I$35</f>
        <v>4.3</v>
      </c>
      <c r="AY86" s="56">
        <f>ROUNDUP(AY80,1)+Ass!$I$35</f>
        <v>4.3999999999999995</v>
      </c>
      <c r="AZ86" s="56">
        <f>ROUNDUP(AZ80,1)+Ass!$I$35</f>
        <v>4.3999999999999995</v>
      </c>
      <c r="BA86" s="56">
        <f>ROUNDUP(BA80,1)+Ass!$I$35</f>
        <v>4.3999999999999995</v>
      </c>
      <c r="BB86" s="56">
        <f>ROUNDUP(BB80,1)+Ass!$I$35</f>
        <v>4.3999999999999995</v>
      </c>
      <c r="BC86" s="56">
        <f>ROUNDUP(BC80,1)+Ass!$I$35</f>
        <v>4.4999999999999991</v>
      </c>
      <c r="BD86" s="56">
        <f>ROUNDUP(BD80,1)+Ass!$I$35</f>
        <v>4.4999999999999991</v>
      </c>
      <c r="BE86" s="56">
        <f>ROUNDUP(BE80,1)+Ass!$I$35</f>
        <v>4.4999999999999991</v>
      </c>
      <c r="BF86" s="56">
        <f>ROUNDUP(BF80,1)+Ass!$I$35</f>
        <v>4.4999999999999991</v>
      </c>
      <c r="BG86" s="56">
        <f>ROUNDUP(BG80,1)+Ass!$I$35</f>
        <v>4.5999999999999996</v>
      </c>
      <c r="BH86" s="56">
        <f>ROUNDUP(BH80,1)+Ass!$I$35</f>
        <v>4.5999999999999996</v>
      </c>
      <c r="BI86" s="56">
        <f>ROUNDUP(BI80,1)+Ass!$I$35</f>
        <v>4.5999999999999996</v>
      </c>
      <c r="BJ86" s="56">
        <f>ROUNDUP(BJ80,1)+Ass!$I$35</f>
        <v>4.5999999999999996</v>
      </c>
      <c r="BK86" s="56">
        <f>ROUNDUP(BK80,1)+Ass!$I$35</f>
        <v>4.6999999999999993</v>
      </c>
      <c r="BL86" s="56">
        <f>ROUNDUP(BL80,1)+Ass!$I$35</f>
        <v>4.6999999999999993</v>
      </c>
      <c r="BM86" s="56">
        <f>ROUNDUP(BM80,1)+Ass!$I$35</f>
        <v>4.6999999999999993</v>
      </c>
      <c r="BN86" s="56">
        <f>ROUNDUP(BN80,1)+Ass!$I$35</f>
        <v>4.6999999999999993</v>
      </c>
      <c r="BO86" s="56">
        <f>ROUNDUP(BO80,1)+Ass!$I$35</f>
        <v>4.8</v>
      </c>
      <c r="BP86" s="56">
        <f>ROUNDUP(BP80,1)+Ass!$I$35</f>
        <v>4.8</v>
      </c>
      <c r="BQ86" s="56">
        <f>ROUNDUP(BQ80,1)+Ass!$I$35</f>
        <v>4.8</v>
      </c>
      <c r="BR86" s="56">
        <f>ROUNDUP(BR80,1)+Ass!$I$35</f>
        <v>4.8</v>
      </c>
      <c r="BS86" s="56">
        <f>ROUNDUP(BS80,1)+Ass!$I$35</f>
        <v>4.8999999999999995</v>
      </c>
      <c r="BT86" s="56">
        <f>ROUNDUP(BT80,1)+Ass!$I$35</f>
        <v>4.8999999999999995</v>
      </c>
      <c r="BU86" s="56">
        <f>ROUNDUP(BU80,1)+Ass!$I$35</f>
        <v>4.8999999999999995</v>
      </c>
      <c r="BV86" s="56">
        <f>ROUNDUP(BV80,1)+Ass!$I$35</f>
        <v>4.8999999999999995</v>
      </c>
      <c r="BW86" s="56">
        <f>ROUNDUP(BW80,1)+Ass!$I$35</f>
        <v>5</v>
      </c>
      <c r="BX86" s="56">
        <f>ROUNDUP(BX80,1)+Ass!$I$35</f>
        <v>5</v>
      </c>
      <c r="BY86" s="56">
        <f>ROUNDUP(BY80,1)+Ass!$I$35</f>
        <v>5</v>
      </c>
      <c r="BZ86" s="56">
        <f>ROUNDUP(BZ80,1)+Ass!$I$35</f>
        <v>5</v>
      </c>
      <c r="CA86" s="56">
        <f>ROUNDUP(CA80,1)+Ass!$I$35</f>
        <v>5.1999999999999993</v>
      </c>
      <c r="CB86" s="56">
        <f>ROUNDUP(CB80,1)+Ass!$I$35</f>
        <v>5.1999999999999993</v>
      </c>
      <c r="CC86" s="56">
        <f>ROUNDUP(CC80,1)+Ass!$I$35</f>
        <v>5.1999999999999993</v>
      </c>
      <c r="CD86" s="56">
        <f>ROUNDUP(CD80,1)+Ass!$I$35</f>
        <v>5.1999999999999993</v>
      </c>
      <c r="CE86" s="56">
        <f>ROUNDUP(CE80,1)+Ass!$I$35</f>
        <v>5.3</v>
      </c>
      <c r="CF86" s="56">
        <f>ROUNDUP(CF80,1)+Ass!$I$35</f>
        <v>5.3</v>
      </c>
      <c r="CG86" s="56">
        <f>ROUNDUP(CG80,1)+Ass!$I$35</f>
        <v>5.3</v>
      </c>
      <c r="CH86" s="56">
        <f>ROUNDUP(CH80,1)+Ass!$I$35</f>
        <v>5.3</v>
      </c>
      <c r="CI86" s="56">
        <f>ROUNDUP(CI80,1)+Ass!$I$35</f>
        <v>5.3999999999999995</v>
      </c>
      <c r="CJ86" s="56">
        <f>ROUNDUP(CJ80,1)+Ass!$I$35</f>
        <v>5.3999999999999995</v>
      </c>
      <c r="CK86" s="56">
        <f>ROUNDUP(CK80,1)+Ass!$I$35</f>
        <v>5.3999999999999995</v>
      </c>
      <c r="CL86" s="56">
        <f>ROUNDUP(CL80,1)+Ass!$I$35</f>
        <v>5.3999999999999995</v>
      </c>
      <c r="CM86" s="56">
        <f>ROUNDUP(CM80,1)+Ass!$I$35</f>
        <v>5.4999999999999991</v>
      </c>
      <c r="CN86" s="56">
        <f>ROUNDUP(CN80,1)+Ass!$I$35</f>
        <v>5.4999999999999991</v>
      </c>
    </row>
    <row r="87" spans="3:92" ht="12.75" customHeight="1" x14ac:dyDescent="0.3">
      <c r="D87" s="15" t="s">
        <v>33</v>
      </c>
      <c r="H87" s="16" t="s">
        <v>1</v>
      </c>
      <c r="L87" s="56">
        <f>ROUNDUP(L81,1)+Ass!$I$35</f>
        <v>5.1999999999999993</v>
      </c>
      <c r="M87" s="56">
        <f>ROUNDUP(M81,1)+Ass!$I$35</f>
        <v>5.1999999999999993</v>
      </c>
      <c r="N87" s="56">
        <f>ROUNDUP(N81,1)+Ass!$I$35</f>
        <v>5.1999999999999993</v>
      </c>
      <c r="O87" s="56">
        <f>ROUNDUP(O81,1)+Ass!$I$35</f>
        <v>5.3</v>
      </c>
      <c r="P87" s="56">
        <f>ROUNDUP(P81,1)+Ass!$I$35</f>
        <v>5.3</v>
      </c>
      <c r="Q87" s="56">
        <f>ROUNDUP(Q81,1)+Ass!$I$35</f>
        <v>5.3</v>
      </c>
      <c r="R87" s="56">
        <f>ROUNDUP(R81,1)+Ass!$I$35</f>
        <v>5.3</v>
      </c>
      <c r="S87" s="56">
        <f>ROUNDUP(S81,1)+Ass!$I$35</f>
        <v>5.3999999999999995</v>
      </c>
      <c r="T87" s="56">
        <f>ROUNDUP(T81,1)+Ass!$I$35</f>
        <v>5.3999999999999995</v>
      </c>
      <c r="U87" s="56">
        <f>ROUNDUP(U81,1)+Ass!$I$35</f>
        <v>5.3999999999999995</v>
      </c>
      <c r="V87" s="56">
        <f>ROUNDUP(V81,1)+Ass!$I$35</f>
        <v>5.3999999999999995</v>
      </c>
      <c r="W87" s="56">
        <f>ROUNDUP(W81,1)+Ass!$I$35</f>
        <v>5.6</v>
      </c>
      <c r="X87" s="56">
        <f>ROUNDUP(X81,1)+Ass!$I$35</f>
        <v>5.6</v>
      </c>
      <c r="Y87" s="56">
        <f>ROUNDUP(Y81,1)+Ass!$I$35</f>
        <v>5.6</v>
      </c>
      <c r="Z87" s="56">
        <f>ROUNDUP(Z81,1)+Ass!$I$35</f>
        <v>5.6</v>
      </c>
      <c r="AA87" s="56">
        <f>ROUNDUP(AA81,1)+Ass!$I$35</f>
        <v>5.6999999999999993</v>
      </c>
      <c r="AB87" s="56">
        <f>ROUNDUP(AB81,1)+Ass!$I$35</f>
        <v>5.6999999999999993</v>
      </c>
      <c r="AC87" s="56">
        <f>ROUNDUP(AC81,1)+Ass!$I$35</f>
        <v>5.6999999999999993</v>
      </c>
      <c r="AD87" s="56">
        <f>ROUNDUP(AD81,1)+Ass!$I$35</f>
        <v>5.6999999999999993</v>
      </c>
      <c r="AE87" s="56">
        <f>ROUNDUP(AE81,1)+Ass!$I$35</f>
        <v>5.8</v>
      </c>
      <c r="AF87" s="56">
        <f>ROUNDUP(AF81,1)+Ass!$I$35</f>
        <v>5.8</v>
      </c>
      <c r="AG87" s="56">
        <f>ROUNDUP(AG81,1)+Ass!$I$35</f>
        <v>5.8</v>
      </c>
      <c r="AH87" s="56">
        <f>ROUNDUP(AH81,1)+Ass!$I$35</f>
        <v>5.8</v>
      </c>
      <c r="AI87" s="56">
        <f>ROUNDUP(AI81,1)+Ass!$I$35</f>
        <v>5.9999999999999991</v>
      </c>
      <c r="AJ87" s="56">
        <f>ROUNDUP(AJ81,1)+Ass!$I$35</f>
        <v>5.9999999999999991</v>
      </c>
      <c r="AK87" s="56">
        <f>ROUNDUP(AK81,1)+Ass!$I$35</f>
        <v>5.9999999999999991</v>
      </c>
      <c r="AL87" s="56">
        <f>ROUNDUP(AL81,1)+Ass!$I$35</f>
        <v>5.9999999999999991</v>
      </c>
      <c r="AM87" s="56">
        <f>ROUNDUP(AM81,1)+Ass!$I$35</f>
        <v>6.1</v>
      </c>
      <c r="AN87" s="56">
        <f>ROUNDUP(AN81,1)+Ass!$I$35</f>
        <v>6.1</v>
      </c>
      <c r="AO87" s="56">
        <f>ROUNDUP(AO81,1)+Ass!$I$35</f>
        <v>6.1</v>
      </c>
      <c r="AP87" s="56">
        <f>ROUNDUP(AP81,1)+Ass!$I$35</f>
        <v>6.1</v>
      </c>
      <c r="AQ87" s="56">
        <f>ROUNDUP(AQ81,1)+Ass!$I$35</f>
        <v>6.2</v>
      </c>
      <c r="AR87" s="56">
        <f>ROUNDUP(AR81,1)+Ass!$I$35</f>
        <v>6.2</v>
      </c>
      <c r="AS87" s="56">
        <f>ROUNDUP(AS81,1)+Ass!$I$35</f>
        <v>6.2</v>
      </c>
      <c r="AT87" s="56">
        <f>ROUNDUP(AT81,1)+Ass!$I$35</f>
        <v>6.2</v>
      </c>
      <c r="AU87" s="56">
        <f>ROUNDUP(AU81,1)+Ass!$I$35</f>
        <v>6.3999999999999995</v>
      </c>
      <c r="AV87" s="56">
        <f>ROUNDUP(AV81,1)+Ass!$I$35</f>
        <v>6.3999999999999995</v>
      </c>
      <c r="AW87" s="56">
        <f>ROUNDUP(AW81,1)+Ass!$I$35</f>
        <v>6.3999999999999995</v>
      </c>
      <c r="AX87" s="56">
        <f>ROUNDUP(AX81,1)+Ass!$I$35</f>
        <v>6.3999999999999995</v>
      </c>
      <c r="AY87" s="56">
        <f>ROUNDUP(AY81,1)+Ass!$I$35</f>
        <v>6.4999999999999991</v>
      </c>
      <c r="AZ87" s="56">
        <f>ROUNDUP(AZ81,1)+Ass!$I$35</f>
        <v>6.4999999999999991</v>
      </c>
      <c r="BA87" s="56">
        <f>ROUNDUP(BA81,1)+Ass!$I$35</f>
        <v>6.4999999999999991</v>
      </c>
      <c r="BB87" s="56">
        <f>ROUNDUP(BB81,1)+Ass!$I$35</f>
        <v>6.4999999999999991</v>
      </c>
      <c r="BC87" s="56">
        <f>ROUNDUP(BC81,1)+Ass!$I$35</f>
        <v>6.6999999999999993</v>
      </c>
      <c r="BD87" s="56">
        <f>ROUNDUP(BD81,1)+Ass!$I$35</f>
        <v>6.6999999999999993</v>
      </c>
      <c r="BE87" s="56">
        <f>ROUNDUP(BE81,1)+Ass!$I$35</f>
        <v>6.6999999999999993</v>
      </c>
      <c r="BF87" s="56">
        <f>ROUNDUP(BF81,1)+Ass!$I$35</f>
        <v>6.6999999999999993</v>
      </c>
      <c r="BG87" s="56">
        <f>ROUNDUP(BG81,1)+Ass!$I$35</f>
        <v>6.8999999999999995</v>
      </c>
      <c r="BH87" s="56">
        <f>ROUNDUP(BH81,1)+Ass!$I$35</f>
        <v>6.8999999999999995</v>
      </c>
      <c r="BI87" s="56">
        <f>ROUNDUP(BI81,1)+Ass!$I$35</f>
        <v>6.8999999999999995</v>
      </c>
      <c r="BJ87" s="56">
        <f>ROUNDUP(BJ81,1)+Ass!$I$35</f>
        <v>6.8999999999999995</v>
      </c>
      <c r="BK87" s="56">
        <f>ROUNDUP(BK81,1)+Ass!$I$35</f>
        <v>6.9999999999999991</v>
      </c>
      <c r="BL87" s="56">
        <f>ROUNDUP(BL81,1)+Ass!$I$35</f>
        <v>6.9999999999999991</v>
      </c>
      <c r="BM87" s="56">
        <f>ROUNDUP(BM81,1)+Ass!$I$35</f>
        <v>6.9999999999999991</v>
      </c>
      <c r="BN87" s="56">
        <f>ROUNDUP(BN81,1)+Ass!$I$35</f>
        <v>6.9999999999999991</v>
      </c>
      <c r="BO87" s="56">
        <f>ROUNDUP(BO81,1)+Ass!$I$35</f>
        <v>7.1999999999999993</v>
      </c>
      <c r="BP87" s="56">
        <f>ROUNDUP(BP81,1)+Ass!$I$35</f>
        <v>7.1999999999999993</v>
      </c>
      <c r="BQ87" s="56">
        <f>ROUNDUP(BQ81,1)+Ass!$I$35</f>
        <v>7.1999999999999993</v>
      </c>
      <c r="BR87" s="56">
        <f>ROUNDUP(BR81,1)+Ass!$I$35</f>
        <v>7.1999999999999993</v>
      </c>
      <c r="BS87" s="56">
        <f>ROUNDUP(BS81,1)+Ass!$I$35</f>
        <v>7.3999999999999995</v>
      </c>
      <c r="BT87" s="56">
        <f>ROUNDUP(BT81,1)+Ass!$I$35</f>
        <v>7.3999999999999995</v>
      </c>
      <c r="BU87" s="56">
        <f>ROUNDUP(BU81,1)+Ass!$I$35</f>
        <v>7.3999999999999995</v>
      </c>
      <c r="BV87" s="56">
        <f>ROUNDUP(BV81,1)+Ass!$I$35</f>
        <v>7.3999999999999995</v>
      </c>
      <c r="BW87" s="56">
        <f>ROUNDUP(BW81,1)+Ass!$I$35</f>
        <v>7.4999999999999991</v>
      </c>
      <c r="BX87" s="56">
        <f>ROUNDUP(BX81,1)+Ass!$I$35</f>
        <v>7.4999999999999991</v>
      </c>
      <c r="BY87" s="56">
        <f>ROUNDUP(BY81,1)+Ass!$I$35</f>
        <v>7.4999999999999991</v>
      </c>
      <c r="BZ87" s="56">
        <f>ROUNDUP(BZ81,1)+Ass!$I$35</f>
        <v>7.4999999999999991</v>
      </c>
      <c r="CA87" s="56">
        <f>ROUNDUP(CA81,1)+Ass!$I$35</f>
        <v>7.6999999999999993</v>
      </c>
      <c r="CB87" s="56">
        <f>ROUNDUP(CB81,1)+Ass!$I$35</f>
        <v>7.6999999999999993</v>
      </c>
      <c r="CC87" s="56">
        <f>ROUNDUP(CC81,1)+Ass!$I$35</f>
        <v>7.6999999999999993</v>
      </c>
      <c r="CD87" s="56">
        <f>ROUNDUP(CD81,1)+Ass!$I$35</f>
        <v>7.6999999999999993</v>
      </c>
      <c r="CE87" s="56">
        <f>ROUNDUP(CE81,1)+Ass!$I$35</f>
        <v>7.8999999999999995</v>
      </c>
      <c r="CF87" s="56">
        <f>ROUNDUP(CF81,1)+Ass!$I$35</f>
        <v>7.8999999999999995</v>
      </c>
      <c r="CG87" s="56">
        <f>ROUNDUP(CG81,1)+Ass!$I$35</f>
        <v>7.8999999999999995</v>
      </c>
      <c r="CH87" s="56">
        <f>ROUNDUP(CH81,1)+Ass!$I$35</f>
        <v>7.8999999999999995</v>
      </c>
      <c r="CI87" s="56">
        <f>ROUNDUP(CI81,1)+Ass!$I$35</f>
        <v>8.1</v>
      </c>
      <c r="CJ87" s="56">
        <f>ROUNDUP(CJ81,1)+Ass!$I$35</f>
        <v>8.1</v>
      </c>
      <c r="CK87" s="56">
        <f>ROUNDUP(CK81,1)+Ass!$I$35</f>
        <v>8.1</v>
      </c>
      <c r="CL87" s="56">
        <f>ROUNDUP(CL81,1)+Ass!$I$35</f>
        <v>8.1</v>
      </c>
      <c r="CM87" s="56">
        <f>ROUNDUP(CM81,1)+Ass!$I$35</f>
        <v>8.3000000000000007</v>
      </c>
      <c r="CN87" s="56">
        <f>ROUNDUP(CN81,1)+Ass!$I$35</f>
        <v>8.3000000000000007</v>
      </c>
    </row>
    <row r="88" spans="3:92" ht="12.75" customHeight="1" x14ac:dyDescent="0.3">
      <c r="D88" s="15" t="s">
        <v>34</v>
      </c>
      <c r="H88" s="16" t="s">
        <v>1</v>
      </c>
      <c r="L88" s="56">
        <f>ROUNDUP(L82,1)+Ass!$I$35</f>
        <v>7.6</v>
      </c>
      <c r="M88" s="56">
        <f>ROUNDUP(M82,1)+Ass!$I$35</f>
        <v>7.6</v>
      </c>
      <c r="N88" s="56">
        <f>ROUNDUP(N82,1)+Ass!$I$35</f>
        <v>7.6</v>
      </c>
      <c r="O88" s="56">
        <f>ROUNDUP(O82,1)+Ass!$I$35</f>
        <v>7.8</v>
      </c>
      <c r="P88" s="56">
        <f>ROUNDUP(P82,1)+Ass!$I$35</f>
        <v>7.8</v>
      </c>
      <c r="Q88" s="56">
        <f>ROUNDUP(Q82,1)+Ass!$I$35</f>
        <v>7.8</v>
      </c>
      <c r="R88" s="56">
        <f>ROUNDUP(R82,1)+Ass!$I$35</f>
        <v>7.8</v>
      </c>
      <c r="S88" s="56">
        <f>ROUNDUP(S82,1)+Ass!$I$35</f>
        <v>7.8999999999999995</v>
      </c>
      <c r="T88" s="56">
        <f>ROUNDUP(T82,1)+Ass!$I$35</f>
        <v>7.8999999999999995</v>
      </c>
      <c r="U88" s="56">
        <f>ROUNDUP(U82,1)+Ass!$I$35</f>
        <v>7.8999999999999995</v>
      </c>
      <c r="V88" s="56">
        <f>ROUNDUP(V82,1)+Ass!$I$35</f>
        <v>7.8999999999999995</v>
      </c>
      <c r="W88" s="56">
        <f>ROUNDUP(W82,1)+Ass!$I$35</f>
        <v>8.1</v>
      </c>
      <c r="X88" s="56">
        <f>ROUNDUP(X82,1)+Ass!$I$35</f>
        <v>8.1</v>
      </c>
      <c r="Y88" s="56">
        <f>ROUNDUP(Y82,1)+Ass!$I$35</f>
        <v>8.1</v>
      </c>
      <c r="Z88" s="56">
        <f>ROUNDUP(Z82,1)+Ass!$I$35</f>
        <v>8.1</v>
      </c>
      <c r="AA88" s="56">
        <f>ROUNDUP(AA82,1)+Ass!$I$35</f>
        <v>8.3000000000000007</v>
      </c>
      <c r="AB88" s="56">
        <f>ROUNDUP(AB82,1)+Ass!$I$35</f>
        <v>8.3000000000000007</v>
      </c>
      <c r="AC88" s="56">
        <f>ROUNDUP(AC82,1)+Ass!$I$35</f>
        <v>8.3000000000000007</v>
      </c>
      <c r="AD88" s="56">
        <f>ROUNDUP(AD82,1)+Ass!$I$35</f>
        <v>8.3000000000000007</v>
      </c>
      <c r="AE88" s="56">
        <f>ROUNDUP(AE82,1)+Ass!$I$35</f>
        <v>8.5</v>
      </c>
      <c r="AF88" s="56">
        <f>ROUNDUP(AF82,1)+Ass!$I$35</f>
        <v>8.5</v>
      </c>
      <c r="AG88" s="56">
        <f>ROUNDUP(AG82,1)+Ass!$I$35</f>
        <v>8.5</v>
      </c>
      <c r="AH88" s="56">
        <f>ROUNDUP(AH82,1)+Ass!$I$35</f>
        <v>8.5</v>
      </c>
      <c r="AI88" s="56">
        <f>ROUNDUP(AI82,1)+Ass!$I$35</f>
        <v>8.7000000000000011</v>
      </c>
      <c r="AJ88" s="56">
        <f>ROUNDUP(AJ82,1)+Ass!$I$35</f>
        <v>8.7000000000000011</v>
      </c>
      <c r="AK88" s="56">
        <f>ROUNDUP(AK82,1)+Ass!$I$35</f>
        <v>8.7000000000000011</v>
      </c>
      <c r="AL88" s="56">
        <f>ROUNDUP(AL82,1)+Ass!$I$35</f>
        <v>8.7000000000000011</v>
      </c>
      <c r="AM88" s="56">
        <f>ROUNDUP(AM82,1)+Ass!$I$35</f>
        <v>8.9</v>
      </c>
      <c r="AN88" s="56">
        <f>ROUNDUP(AN82,1)+Ass!$I$35</f>
        <v>8.9</v>
      </c>
      <c r="AO88" s="56">
        <f>ROUNDUP(AO82,1)+Ass!$I$35</f>
        <v>8.9</v>
      </c>
      <c r="AP88" s="56">
        <f>ROUNDUP(AP82,1)+Ass!$I$35</f>
        <v>8.9</v>
      </c>
      <c r="AQ88" s="56">
        <f>ROUNDUP(AQ82,1)+Ass!$I$35</f>
        <v>9.2000000000000011</v>
      </c>
      <c r="AR88" s="56">
        <f>ROUNDUP(AR82,1)+Ass!$I$35</f>
        <v>9.2000000000000011</v>
      </c>
      <c r="AS88" s="56">
        <f>ROUNDUP(AS82,1)+Ass!$I$35</f>
        <v>9.2000000000000011</v>
      </c>
      <c r="AT88" s="56">
        <f>ROUNDUP(AT82,1)+Ass!$I$35</f>
        <v>9.2000000000000011</v>
      </c>
      <c r="AU88" s="56">
        <f>ROUNDUP(AU82,1)+Ass!$I$35</f>
        <v>9.4</v>
      </c>
      <c r="AV88" s="56">
        <f>ROUNDUP(AV82,1)+Ass!$I$35</f>
        <v>9.4</v>
      </c>
      <c r="AW88" s="56">
        <f>ROUNDUP(AW82,1)+Ass!$I$35</f>
        <v>9.4</v>
      </c>
      <c r="AX88" s="56">
        <f>ROUNDUP(AX82,1)+Ass!$I$35</f>
        <v>9.4</v>
      </c>
      <c r="AY88" s="56">
        <f>ROUNDUP(AY82,1)+Ass!$I$35</f>
        <v>9.6</v>
      </c>
      <c r="AZ88" s="56">
        <f>ROUNDUP(AZ82,1)+Ass!$I$35</f>
        <v>9.6</v>
      </c>
      <c r="BA88" s="56">
        <f>ROUNDUP(BA82,1)+Ass!$I$35</f>
        <v>9.6</v>
      </c>
      <c r="BB88" s="56">
        <f>ROUNDUP(BB82,1)+Ass!$I$35</f>
        <v>9.6</v>
      </c>
      <c r="BC88" s="56">
        <f>ROUNDUP(BC82,1)+Ass!$I$35</f>
        <v>9.8000000000000007</v>
      </c>
      <c r="BD88" s="56">
        <f>ROUNDUP(BD82,1)+Ass!$I$35</f>
        <v>9.8000000000000007</v>
      </c>
      <c r="BE88" s="56">
        <f>ROUNDUP(BE82,1)+Ass!$I$35</f>
        <v>9.8000000000000007</v>
      </c>
      <c r="BF88" s="56">
        <f>ROUNDUP(BF82,1)+Ass!$I$35</f>
        <v>9.8000000000000007</v>
      </c>
      <c r="BG88" s="56">
        <f>ROUNDUP(BG82,1)+Ass!$I$35</f>
        <v>10.1</v>
      </c>
      <c r="BH88" s="56">
        <f>ROUNDUP(BH82,1)+Ass!$I$35</f>
        <v>10.1</v>
      </c>
      <c r="BI88" s="56">
        <f>ROUNDUP(BI82,1)+Ass!$I$35</f>
        <v>10.1</v>
      </c>
      <c r="BJ88" s="56">
        <f>ROUNDUP(BJ82,1)+Ass!$I$35</f>
        <v>10.1</v>
      </c>
      <c r="BK88" s="56">
        <f>ROUNDUP(BK82,1)+Ass!$I$35</f>
        <v>10.3</v>
      </c>
      <c r="BL88" s="56">
        <f>ROUNDUP(BL82,1)+Ass!$I$35</f>
        <v>10.3</v>
      </c>
      <c r="BM88" s="56">
        <f>ROUNDUP(BM82,1)+Ass!$I$35</f>
        <v>10.3</v>
      </c>
      <c r="BN88" s="56">
        <f>ROUNDUP(BN82,1)+Ass!$I$35</f>
        <v>10.3</v>
      </c>
      <c r="BO88" s="56">
        <f>ROUNDUP(BO82,1)+Ass!$I$35</f>
        <v>10.6</v>
      </c>
      <c r="BP88" s="56">
        <f>ROUNDUP(BP82,1)+Ass!$I$35</f>
        <v>10.6</v>
      </c>
      <c r="BQ88" s="56">
        <f>ROUNDUP(BQ82,1)+Ass!$I$35</f>
        <v>10.6</v>
      </c>
      <c r="BR88" s="56">
        <f>ROUNDUP(BR82,1)+Ass!$I$35</f>
        <v>10.6</v>
      </c>
      <c r="BS88" s="56">
        <f>ROUNDUP(BS82,1)+Ass!$I$35</f>
        <v>10.8</v>
      </c>
      <c r="BT88" s="56">
        <f>ROUNDUP(BT82,1)+Ass!$I$35</f>
        <v>10.8</v>
      </c>
      <c r="BU88" s="56">
        <f>ROUNDUP(BU82,1)+Ass!$I$35</f>
        <v>10.8</v>
      </c>
      <c r="BV88" s="56">
        <f>ROUNDUP(BV82,1)+Ass!$I$35</f>
        <v>10.8</v>
      </c>
      <c r="BW88" s="56">
        <f>ROUNDUP(BW82,1)+Ass!$I$35</f>
        <v>11.1</v>
      </c>
      <c r="BX88" s="56">
        <f>ROUNDUP(BX82,1)+Ass!$I$35</f>
        <v>11.1</v>
      </c>
      <c r="BY88" s="56">
        <f>ROUNDUP(BY82,1)+Ass!$I$35</f>
        <v>11.1</v>
      </c>
      <c r="BZ88" s="56">
        <f>ROUNDUP(BZ82,1)+Ass!$I$35</f>
        <v>11.1</v>
      </c>
      <c r="CA88" s="56">
        <f>ROUNDUP(CA82,1)+Ass!$I$35</f>
        <v>11.3</v>
      </c>
      <c r="CB88" s="56">
        <f>ROUNDUP(CB82,1)+Ass!$I$35</f>
        <v>11.3</v>
      </c>
      <c r="CC88" s="56">
        <f>ROUNDUP(CC82,1)+Ass!$I$35</f>
        <v>11.3</v>
      </c>
      <c r="CD88" s="56">
        <f>ROUNDUP(CD82,1)+Ass!$I$35</f>
        <v>11.3</v>
      </c>
      <c r="CE88" s="56">
        <f>ROUNDUP(CE82,1)+Ass!$I$35</f>
        <v>11.6</v>
      </c>
      <c r="CF88" s="56">
        <f>ROUNDUP(CF82,1)+Ass!$I$35</f>
        <v>11.6</v>
      </c>
      <c r="CG88" s="56">
        <f>ROUNDUP(CG82,1)+Ass!$I$35</f>
        <v>11.6</v>
      </c>
      <c r="CH88" s="56">
        <f>ROUNDUP(CH82,1)+Ass!$I$35</f>
        <v>11.6</v>
      </c>
      <c r="CI88" s="56">
        <f>ROUNDUP(CI82,1)+Ass!$I$35</f>
        <v>11.9</v>
      </c>
      <c r="CJ88" s="56">
        <f>ROUNDUP(CJ82,1)+Ass!$I$35</f>
        <v>11.9</v>
      </c>
      <c r="CK88" s="56">
        <f>ROUNDUP(CK82,1)+Ass!$I$35</f>
        <v>11.9</v>
      </c>
      <c r="CL88" s="56">
        <f>ROUNDUP(CL82,1)+Ass!$I$35</f>
        <v>11.9</v>
      </c>
      <c r="CM88" s="56">
        <f>ROUNDUP(CM82,1)+Ass!$I$35</f>
        <v>12.200000000000001</v>
      </c>
      <c r="CN88" s="56">
        <f>ROUNDUP(CN82,1)+Ass!$I$35</f>
        <v>12.200000000000001</v>
      </c>
    </row>
    <row r="89" spans="3:92" ht="12.75" customHeight="1" x14ac:dyDescent="0.3">
      <c r="D89" s="15"/>
      <c r="H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</row>
    <row r="90" spans="3:92" ht="12.75" customHeight="1" x14ac:dyDescent="0.3">
      <c r="C90" s="17" t="s">
        <v>159</v>
      </c>
      <c r="D90" s="15"/>
      <c r="H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</row>
    <row r="91" spans="3:92" ht="12.75" customHeight="1" x14ac:dyDescent="0.3">
      <c r="D91" s="25" t="s">
        <v>43</v>
      </c>
      <c r="H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</row>
    <row r="92" spans="3:92" ht="12.75" customHeight="1" x14ac:dyDescent="0.3">
      <c r="D92" s="15" t="s">
        <v>31</v>
      </c>
      <c r="H92" s="16" t="s">
        <v>1</v>
      </c>
      <c r="J92" s="58">
        <f>SUM(L92:CN92)</f>
        <v>674702565.49097657</v>
      </c>
      <c r="L92" s="15">
        <f t="shared" ref="L92:AQ92" si="752">L79*L58</f>
        <v>0</v>
      </c>
      <c r="M92" s="15">
        <f t="shared" si="752"/>
        <v>397647.35999999993</v>
      </c>
      <c r="N92" s="15">
        <f t="shared" si="752"/>
        <v>434230.91711999994</v>
      </c>
      <c r="O92" s="15">
        <f t="shared" si="752"/>
        <v>484898.420736</v>
      </c>
      <c r="P92" s="15">
        <f t="shared" si="752"/>
        <v>523690.29439488001</v>
      </c>
      <c r="Q92" s="15">
        <f t="shared" si="752"/>
        <v>582735.5152588801</v>
      </c>
      <c r="R92" s="15">
        <f t="shared" si="752"/>
        <v>636347.18266269704</v>
      </c>
      <c r="S92" s="15">
        <f t="shared" si="752"/>
        <v>700883.19852590049</v>
      </c>
      <c r="T92" s="15">
        <f t="shared" si="752"/>
        <v>742936.19043745461</v>
      </c>
      <c r="U92" s="15">
        <f t="shared" si="752"/>
        <v>790147.67669694638</v>
      </c>
      <c r="V92" s="15">
        <f t="shared" si="752"/>
        <v>837556.53729876305</v>
      </c>
      <c r="W92" s="15">
        <f t="shared" si="752"/>
        <v>916972.91682708322</v>
      </c>
      <c r="X92" s="15">
        <f t="shared" si="752"/>
        <v>971991.2918367082</v>
      </c>
      <c r="Y92" s="15">
        <f t="shared" si="752"/>
        <v>1020088.8358313591</v>
      </c>
      <c r="Z92" s="15">
        <f t="shared" si="752"/>
        <v>1093308.5456032546</v>
      </c>
      <c r="AA92" s="15">
        <f t="shared" si="752"/>
        <v>1202638.1288006576</v>
      </c>
      <c r="AB92" s="15">
        <f t="shared" si="752"/>
        <v>1274796.4165286969</v>
      </c>
      <c r="AC92" s="15">
        <f t="shared" si="752"/>
        <v>1323272.0535301876</v>
      </c>
      <c r="AD92" s="15">
        <f t="shared" si="752"/>
        <v>1418253.5809280209</v>
      </c>
      <c r="AE92" s="15">
        <f t="shared" si="752"/>
        <v>1559040.996556476</v>
      </c>
      <c r="AF92" s="15">
        <f t="shared" si="752"/>
        <v>1652583.4563498644</v>
      </c>
      <c r="AG92" s="15">
        <f t="shared" si="752"/>
        <v>1728103.1112481088</v>
      </c>
      <c r="AH92" s="15">
        <f t="shared" si="752"/>
        <v>1817196.4272057891</v>
      </c>
      <c r="AI92" s="15">
        <f t="shared" si="752"/>
        <v>1958658.5812375164</v>
      </c>
      <c r="AJ92" s="15">
        <f t="shared" si="752"/>
        <v>2037004.9244870166</v>
      </c>
      <c r="AK92" s="15">
        <f t="shared" si="752"/>
        <v>2105362.1650781524</v>
      </c>
      <c r="AL92" s="15">
        <f t="shared" si="752"/>
        <v>2189576.6516812788</v>
      </c>
      <c r="AM92" s="15">
        <f t="shared" si="752"/>
        <v>2358609.5158839002</v>
      </c>
      <c r="AN92" s="15">
        <f t="shared" si="752"/>
        <v>2452953.8965192563</v>
      </c>
      <c r="AO92" s="15">
        <f t="shared" si="752"/>
        <v>2542929.2397302659</v>
      </c>
      <c r="AP92" s="15">
        <f t="shared" si="752"/>
        <v>2674031.3694230262</v>
      </c>
      <c r="AQ92" s="15">
        <f t="shared" si="752"/>
        <v>2878815.0157867693</v>
      </c>
      <c r="AR92" s="15">
        <f t="shared" ref="AR92:BW92" si="753">AR79*AR58</f>
        <v>2993967.6164182401</v>
      </c>
      <c r="AS92" s="15">
        <f t="shared" si="753"/>
        <v>3155980.3016491542</v>
      </c>
      <c r="AT92" s="15">
        <f t="shared" si="753"/>
        <v>3318688.6194230672</v>
      </c>
      <c r="AU92" s="15">
        <f t="shared" si="753"/>
        <v>3570891.2311955113</v>
      </c>
      <c r="AV92" s="15">
        <f t="shared" si="753"/>
        <v>3713726.8804433323</v>
      </c>
      <c r="AW92" s="15">
        <f t="shared" si="753"/>
        <v>3922691.331465988</v>
      </c>
      <c r="AX92" s="15">
        <f t="shared" si="753"/>
        <v>4124927.8623326793</v>
      </c>
      <c r="AY92" s="15">
        <f t="shared" si="753"/>
        <v>4455890.7632243428</v>
      </c>
      <c r="AZ92" s="15">
        <f t="shared" si="753"/>
        <v>4634126.3937533163</v>
      </c>
      <c r="BA92" s="15">
        <f t="shared" si="753"/>
        <v>4835304.6095433384</v>
      </c>
      <c r="BB92" s="15">
        <f t="shared" si="753"/>
        <v>5028716.7939250721</v>
      </c>
      <c r="BC92" s="15">
        <f t="shared" si="753"/>
        <v>5428332.1551489839</v>
      </c>
      <c r="BD92" s="15">
        <f t="shared" si="753"/>
        <v>5645465.4413549444</v>
      </c>
      <c r="BE92" s="15">
        <f t="shared" si="753"/>
        <v>5820239.2344774306</v>
      </c>
      <c r="BF92" s="15">
        <f t="shared" si="753"/>
        <v>6120304.9016771568</v>
      </c>
      <c r="BG92" s="15">
        <f t="shared" si="753"/>
        <v>6574350.5269122776</v>
      </c>
      <c r="BH92" s="15">
        <f t="shared" si="753"/>
        <v>6837324.5479887687</v>
      </c>
      <c r="BI92" s="15">
        <f t="shared" si="753"/>
        <v>7119071.8664498115</v>
      </c>
      <c r="BJ92" s="15">
        <f t="shared" si="753"/>
        <v>7486099.571564558</v>
      </c>
      <c r="BK92" s="15">
        <f t="shared" si="753"/>
        <v>8071211.6639861166</v>
      </c>
      <c r="BL92" s="15">
        <f t="shared" si="753"/>
        <v>8394060.1305455621</v>
      </c>
      <c r="BM92" s="15">
        <f t="shared" si="753"/>
        <v>8688924.3702622838</v>
      </c>
      <c r="BN92" s="15">
        <f t="shared" si="753"/>
        <v>9136886.69335136</v>
      </c>
      <c r="BO92" s="15">
        <f t="shared" si="753"/>
        <v>9844968.4437074233</v>
      </c>
      <c r="BP92" s="15">
        <f t="shared" si="753"/>
        <v>10238767.18145572</v>
      </c>
      <c r="BQ92" s="15">
        <f t="shared" si="753"/>
        <v>10707926.214500075</v>
      </c>
      <c r="BR92" s="15">
        <f t="shared" si="753"/>
        <v>11136243.263080077</v>
      </c>
      <c r="BS92" s="15">
        <f t="shared" si="753"/>
        <v>12039459.306537265</v>
      </c>
      <c r="BT92" s="15">
        <f t="shared" si="753"/>
        <v>12521037.678798756</v>
      </c>
      <c r="BU92" s="15">
        <f t="shared" si="753"/>
        <v>13184941.986200934</v>
      </c>
      <c r="BV92" s="15">
        <f t="shared" si="753"/>
        <v>13864698.995267298</v>
      </c>
      <c r="BW92" s="15">
        <f t="shared" si="753"/>
        <v>14920746.32041942</v>
      </c>
      <c r="BX92" s="15">
        <f t="shared" ref="BX92:CN92" si="754">BX79*BX58</f>
        <v>15517576.173236199</v>
      </c>
      <c r="BY92" s="15">
        <f t="shared" si="754"/>
        <v>15957008.511049164</v>
      </c>
      <c r="BZ92" s="15">
        <f t="shared" si="754"/>
        <v>16779680.949841034</v>
      </c>
      <c r="CA92" s="15">
        <f t="shared" si="754"/>
        <v>18115810.114911031</v>
      </c>
      <c r="CB92" s="15">
        <f t="shared" si="754"/>
        <v>18840442.519507471</v>
      </c>
      <c r="CC92" s="15">
        <f t="shared" si="754"/>
        <v>19470341.663833663</v>
      </c>
      <c r="CD92" s="15">
        <f t="shared" si="754"/>
        <v>20474145.945169091</v>
      </c>
      <c r="CE92" s="15">
        <f t="shared" si="754"/>
        <v>22009052.06762569</v>
      </c>
      <c r="CF92" s="15">
        <f t="shared" si="754"/>
        <v>22889414.150330722</v>
      </c>
      <c r="CG92" s="15">
        <f t="shared" si="754"/>
        <v>23546240.817253251</v>
      </c>
      <c r="CH92" s="15">
        <f t="shared" si="754"/>
        <v>24488090.449943386</v>
      </c>
      <c r="CI92" s="15">
        <f t="shared" si="754"/>
        <v>26405260.242416538</v>
      </c>
      <c r="CJ92" s="15">
        <f t="shared" si="754"/>
        <v>27461470.652113199</v>
      </c>
      <c r="CK92" s="15">
        <f t="shared" si="754"/>
        <v>27939061.446062997</v>
      </c>
      <c r="CL92" s="15">
        <f t="shared" si="754"/>
        <v>29379475.280615576</v>
      </c>
      <c r="CM92" s="15">
        <f t="shared" si="754"/>
        <v>31659931.9587266</v>
      </c>
      <c r="CN92" s="15">
        <f t="shared" si="754"/>
        <v>32926329.237075664</v>
      </c>
    </row>
    <row r="93" spans="3:92" ht="12.75" customHeight="1" x14ac:dyDescent="0.3">
      <c r="D93" s="15" t="s">
        <v>32</v>
      </c>
      <c r="H93" s="16" t="s">
        <v>1</v>
      </c>
      <c r="J93" s="58">
        <f>SUM(L93:CN93)</f>
        <v>475142343.92379081</v>
      </c>
      <c r="L93" s="15">
        <f t="shared" ref="L93:AQ93" si="755">L80*L59</f>
        <v>0</v>
      </c>
      <c r="M93" s="15">
        <f t="shared" si="755"/>
        <v>4462235.9999999991</v>
      </c>
      <c r="N93" s="15">
        <f t="shared" si="755"/>
        <v>4502792.7671999997</v>
      </c>
      <c r="O93" s="15">
        <f t="shared" si="755"/>
        <v>4658186.4067007992</v>
      </c>
      <c r="P93" s="15">
        <f t="shared" si="755"/>
        <v>4648870.0338873984</v>
      </c>
      <c r="Q93" s="15">
        <f t="shared" si="755"/>
        <v>4780255.9744390184</v>
      </c>
      <c r="R93" s="15">
        <f t="shared" si="755"/>
        <v>4823703.1898511425</v>
      </c>
      <c r="S93" s="15">
        <f t="shared" si="755"/>
        <v>4972137.9147896888</v>
      </c>
      <c r="T93" s="15">
        <f t="shared" si="755"/>
        <v>4947277.2252157414</v>
      </c>
      <c r="U93" s="15">
        <f t="shared" si="755"/>
        <v>4939013.5264006322</v>
      </c>
      <c r="V93" s="15">
        <f t="shared" si="755"/>
        <v>4914318.4587686285</v>
      </c>
      <c r="W93" s="15">
        <f t="shared" si="755"/>
        <v>5077490.3579718983</v>
      </c>
      <c r="X93" s="15">
        <f t="shared" si="755"/>
        <v>5052102.9061820377</v>
      </c>
      <c r="Y93" s="15">
        <f t="shared" si="755"/>
        <v>4976970.01309375</v>
      </c>
      <c r="Z93" s="15">
        <f t="shared" si="755"/>
        <v>5007108.3315063715</v>
      </c>
      <c r="AA93" s="15">
        <f t="shared" si="755"/>
        <v>5154986.727352214</v>
      </c>
      <c r="AB93" s="15">
        <f t="shared" si="755"/>
        <v>5129211.7937154528</v>
      </c>
      <c r="AC93" s="15">
        <f t="shared" si="755"/>
        <v>4997768.7170071984</v>
      </c>
      <c r="AD93" s="15">
        <f t="shared" si="755"/>
        <v>5028032.9831268517</v>
      </c>
      <c r="AE93" s="15">
        <f t="shared" si="755"/>
        <v>5188301.8313109567</v>
      </c>
      <c r="AF93" s="15">
        <f t="shared" si="755"/>
        <v>5162360.3221544018</v>
      </c>
      <c r="AG93" s="15">
        <f t="shared" si="755"/>
        <v>5164690.5691587981</v>
      </c>
      <c r="AH93" s="15">
        <f t="shared" si="755"/>
        <v>5195965.6398275923</v>
      </c>
      <c r="AI93" s="15">
        <f t="shared" si="755"/>
        <v>5358198.8134269482</v>
      </c>
      <c r="AJ93" s="15">
        <f t="shared" si="755"/>
        <v>5331407.8193598138</v>
      </c>
      <c r="AK93" s="15">
        <f t="shared" si="755"/>
        <v>5271890.5007949006</v>
      </c>
      <c r="AL93" s="15">
        <f t="shared" si="755"/>
        <v>5245531.048290926</v>
      </c>
      <c r="AM93" s="15">
        <f t="shared" si="755"/>
        <v>5406058.7170215081</v>
      </c>
      <c r="AN93" s="15">
        <f t="shared" si="755"/>
        <v>5379028.4234364005</v>
      </c>
      <c r="AO93" s="15">
        <f t="shared" si="755"/>
        <v>5335049.711082276</v>
      </c>
      <c r="AP93" s="15">
        <f t="shared" si="755"/>
        <v>5367356.4009993859</v>
      </c>
      <c r="AQ93" s="15">
        <f t="shared" si="755"/>
        <v>5528442.9771095766</v>
      </c>
      <c r="AR93" s="15">
        <f t="shared" ref="AR93:BW93" si="756">AR80*AR59</f>
        <v>5500800.7622240279</v>
      </c>
      <c r="AS93" s="15">
        <f t="shared" si="756"/>
        <v>5547570.6511893561</v>
      </c>
      <c r="AT93" s="15">
        <f t="shared" si="756"/>
        <v>5581164.2734660031</v>
      </c>
      <c r="AU93" s="15">
        <f t="shared" si="756"/>
        <v>5760108.8097407101</v>
      </c>
      <c r="AV93" s="15">
        <f t="shared" si="756"/>
        <v>5731308.2656920068</v>
      </c>
      <c r="AW93" s="15">
        <f t="shared" si="756"/>
        <v>5791855.0466965949</v>
      </c>
      <c r="AX93" s="15">
        <f t="shared" si="756"/>
        <v>5826927.9467015909</v>
      </c>
      <c r="AY93" s="15">
        <f t="shared" si="756"/>
        <v>6009897.8611108838</v>
      </c>
      <c r="AZ93" s="15">
        <f t="shared" si="756"/>
        <v>5979848.3718053298</v>
      </c>
      <c r="BA93" s="15">
        <f t="shared" si="756"/>
        <v>5969471.4174753623</v>
      </c>
      <c r="BB93" s="15">
        <f t="shared" si="756"/>
        <v>5939624.0603879848</v>
      </c>
      <c r="BC93" s="15">
        <f t="shared" si="756"/>
        <v>6122397.8399806051</v>
      </c>
      <c r="BD93" s="15">
        <f t="shared" si="756"/>
        <v>6091785.8507807022</v>
      </c>
      <c r="BE93" s="15">
        <f t="shared" si="756"/>
        <v>6008629.868202677</v>
      </c>
      <c r="BF93" s="15">
        <f t="shared" si="756"/>
        <v>6045015.4601823483</v>
      </c>
      <c r="BG93" s="15">
        <f t="shared" si="756"/>
        <v>6227414.3776158923</v>
      </c>
      <c r="BH93" s="15">
        <f t="shared" si="756"/>
        <v>6196277.3057278125</v>
      </c>
      <c r="BI93" s="15">
        <f t="shared" si="756"/>
        <v>6172452.6810174752</v>
      </c>
      <c r="BJ93" s="15">
        <f t="shared" si="756"/>
        <v>6209830.3111414146</v>
      </c>
      <c r="BK93" s="15">
        <f t="shared" si="756"/>
        <v>6408358.62632972</v>
      </c>
      <c r="BL93" s="15">
        <f t="shared" si="756"/>
        <v>6376316.8331980705</v>
      </c>
      <c r="BM93" s="15">
        <f t="shared" si="756"/>
        <v>6314712.335217027</v>
      </c>
      <c r="BN93" s="15">
        <f t="shared" si="756"/>
        <v>6352951.4265802866</v>
      </c>
      <c r="BO93" s="15">
        <f t="shared" si="756"/>
        <v>6551882.2611743687</v>
      </c>
      <c r="BP93" s="15">
        <f t="shared" si="756"/>
        <v>6519122.8498684969</v>
      </c>
      <c r="BQ93" s="15">
        <f t="shared" si="756"/>
        <v>6522838.2439097622</v>
      </c>
      <c r="BR93" s="15">
        <f t="shared" si="756"/>
        <v>6490224.0526902135</v>
      </c>
      <c r="BS93" s="15">
        <f t="shared" si="756"/>
        <v>6689399.9134826586</v>
      </c>
      <c r="BT93" s="15">
        <f t="shared" si="756"/>
        <v>6655952.9139152449</v>
      </c>
      <c r="BU93" s="15">
        <f t="shared" si="756"/>
        <v>6705603.7013384579</v>
      </c>
      <c r="BV93" s="15">
        <f t="shared" si="756"/>
        <v>6746209.8570854506</v>
      </c>
      <c r="BW93" s="15">
        <f t="shared" si="756"/>
        <v>6964047.7865846017</v>
      </c>
      <c r="BX93" s="15">
        <f t="shared" ref="BX93:CN93" si="757">BX80*BX59</f>
        <v>6929227.5476516783</v>
      </c>
      <c r="BY93" s="15">
        <f t="shared" si="757"/>
        <v>6817139.0974967014</v>
      </c>
      <c r="BZ93" s="15">
        <f t="shared" si="757"/>
        <v>6858420.6620315434</v>
      </c>
      <c r="CA93" s="15">
        <f t="shared" si="757"/>
        <v>7060587.7245858954</v>
      </c>
      <c r="CB93" s="15">
        <f t="shared" si="757"/>
        <v>7025284.7859629644</v>
      </c>
      <c r="CC93" s="15">
        <f t="shared" si="757"/>
        <v>6946021.9098525615</v>
      </c>
      <c r="CD93" s="15">
        <f t="shared" si="757"/>
        <v>6988083.9314177791</v>
      </c>
      <c r="CE93" s="15">
        <f t="shared" si="757"/>
        <v>7204925.1129610455</v>
      </c>
      <c r="CF93" s="15">
        <f t="shared" si="757"/>
        <v>7168900.4873962393</v>
      </c>
      <c r="CG93" s="15">
        <f t="shared" si="757"/>
        <v>7055522.7677314393</v>
      </c>
      <c r="CH93" s="15">
        <f t="shared" si="757"/>
        <v>7020245.1538927825</v>
      </c>
      <c r="CI93" s="15">
        <f t="shared" si="757"/>
        <v>7248120.2804537527</v>
      </c>
      <c r="CJ93" s="15">
        <f t="shared" si="757"/>
        <v>7211879.679051483</v>
      </c>
      <c r="CK93" s="15">
        <f t="shared" si="757"/>
        <v>7019824.1875984827</v>
      </c>
      <c r="CL93" s="15">
        <f t="shared" si="757"/>
        <v>7062333.1229567174</v>
      </c>
      <c r="CM93" s="15">
        <f t="shared" si="757"/>
        <v>7272721.5082979463</v>
      </c>
      <c r="CN93" s="15">
        <f t="shared" si="757"/>
        <v>7236357.9007564569</v>
      </c>
    </row>
    <row r="94" spans="3:92" ht="12.75" customHeight="1" x14ac:dyDescent="0.3">
      <c r="D94" s="15" t="s">
        <v>33</v>
      </c>
      <c r="H94" s="16" t="s">
        <v>1</v>
      </c>
      <c r="J94" s="58">
        <f>SUM(L94:CN94)</f>
        <v>276660442.57376653</v>
      </c>
      <c r="L94" s="15">
        <f t="shared" ref="L94:AQ94" si="758">L81*L60</f>
        <v>0</v>
      </c>
      <c r="M94" s="15">
        <f t="shared" si="758"/>
        <v>1913677.9199999997</v>
      </c>
      <c r="N94" s="15">
        <f t="shared" si="758"/>
        <v>1942680.7720319997</v>
      </c>
      <c r="O94" s="15">
        <f t="shared" si="758"/>
        <v>2020774.7394723839</v>
      </c>
      <c r="P94" s="15">
        <f t="shared" si="758"/>
        <v>2028857.8384302733</v>
      </c>
      <c r="Q94" s="15">
        <f t="shared" si="758"/>
        <v>2098739.5014037229</v>
      </c>
      <c r="R94" s="15">
        <f t="shared" si="758"/>
        <v>2130547.0645138859</v>
      </c>
      <c r="S94" s="15">
        <f t="shared" si="758"/>
        <v>2210483.7403034209</v>
      </c>
      <c r="T94" s="15">
        <f t="shared" si="758"/>
        <v>2214904.7077840278</v>
      </c>
      <c r="U94" s="15">
        <f t="shared" si="758"/>
        <v>2226761.2516311249</v>
      </c>
      <c r="V94" s="15">
        <f t="shared" si="758"/>
        <v>2231214.7741343868</v>
      </c>
      <c r="W94" s="15">
        <f t="shared" si="758"/>
        <v>2318086.0025724033</v>
      </c>
      <c r="X94" s="15">
        <f t="shared" si="758"/>
        <v>2322722.1745775472</v>
      </c>
      <c r="Y94" s="15">
        <f t="shared" si="758"/>
        <v>2304277.3069793703</v>
      </c>
      <c r="Z94" s="15">
        <f t="shared" si="758"/>
        <v>2334540.1489443663</v>
      </c>
      <c r="AA94" s="15">
        <f t="shared" si="758"/>
        <v>2423924.2161990572</v>
      </c>
      <c r="AB94" s="15">
        <f t="shared" si="758"/>
        <v>2428772.0646314551</v>
      </c>
      <c r="AC94" s="15">
        <f t="shared" si="758"/>
        <v>2383180.419258384</v>
      </c>
      <c r="AD94" s="15">
        <f t="shared" si="758"/>
        <v>2414479.5220979769</v>
      </c>
      <c r="AE94" s="15">
        <f t="shared" si="758"/>
        <v>2505438.5316088139</v>
      </c>
      <c r="AF94" s="15">
        <f t="shared" si="758"/>
        <v>2510449.4086720319</v>
      </c>
      <c r="AG94" s="15">
        <f t="shared" si="758"/>
        <v>2529252.0302552083</v>
      </c>
      <c r="AH94" s="15">
        <f t="shared" si="758"/>
        <v>2562469.5402525603</v>
      </c>
      <c r="AI94" s="15">
        <f t="shared" si="758"/>
        <v>2662247.3485211674</v>
      </c>
      <c r="AJ94" s="15">
        <f t="shared" si="758"/>
        <v>2667571.8432182106</v>
      </c>
      <c r="AK94" s="15">
        <f t="shared" si="758"/>
        <v>2656349.6641914374</v>
      </c>
      <c r="AL94" s="15">
        <f t="shared" si="758"/>
        <v>2661662.3635198209</v>
      </c>
      <c r="AM94" s="15">
        <f t="shared" si="758"/>
        <v>2763580.3981951172</v>
      </c>
      <c r="AN94" s="15">
        <f t="shared" si="758"/>
        <v>2769107.5589915072</v>
      </c>
      <c r="AO94" s="15">
        <f t="shared" si="758"/>
        <v>2765789.3324864688</v>
      </c>
      <c r="AP94" s="15">
        <f t="shared" si="758"/>
        <v>2802113.365719791</v>
      </c>
      <c r="AQ94" s="15">
        <f t="shared" si="758"/>
        <v>2912621.3266746835</v>
      </c>
      <c r="AR94" s="15">
        <f t="shared" ref="AR94:BW94" si="759">AR81*AR60</f>
        <v>2918446.5693280324</v>
      </c>
      <c r="AS94" s="15">
        <f t="shared" si="759"/>
        <v>2963966.659984774</v>
      </c>
      <c r="AT94" s="15">
        <f t="shared" si="759"/>
        <v>3002893.4221192403</v>
      </c>
      <c r="AU94" s="15">
        <f t="shared" si="759"/>
        <v>3114146.2328866185</v>
      </c>
      <c r="AV94" s="15">
        <f t="shared" si="759"/>
        <v>3120374.5253523923</v>
      </c>
      <c r="AW94" s="15">
        <f t="shared" si="759"/>
        <v>3175523.1305399956</v>
      </c>
      <c r="AX94" s="15">
        <f t="shared" si="759"/>
        <v>3217228.3343210877</v>
      </c>
      <c r="AY94" s="15">
        <f t="shared" si="759"/>
        <v>3340025.2641962585</v>
      </c>
      <c r="AZ94" s="15">
        <f t="shared" si="759"/>
        <v>3346705.3147246512</v>
      </c>
      <c r="BA94" s="15">
        <f t="shared" si="759"/>
        <v>3364401.5108714495</v>
      </c>
      <c r="BB94" s="15">
        <f t="shared" si="759"/>
        <v>3371130.313893192</v>
      </c>
      <c r="BC94" s="15">
        <f t="shared" si="759"/>
        <v>3503263.2534487671</v>
      </c>
      <c r="BD94" s="15">
        <f t="shared" si="759"/>
        <v>3510269.7799556646</v>
      </c>
      <c r="BE94" s="15">
        <f t="shared" si="759"/>
        <v>3486711.0688129524</v>
      </c>
      <c r="BF94" s="15">
        <f t="shared" si="759"/>
        <v>3532503.2075166949</v>
      </c>
      <c r="BG94" s="15">
        <f t="shared" si="759"/>
        <v>3668630.6042882949</v>
      </c>
      <c r="BH94" s="15">
        <f t="shared" si="759"/>
        <v>3675967.8654968715</v>
      </c>
      <c r="BI94" s="15">
        <f t="shared" si="759"/>
        <v>3687595.4504202963</v>
      </c>
      <c r="BJ94" s="15">
        <f t="shared" si="759"/>
        <v>3736025.8706691503</v>
      </c>
      <c r="BK94" s="15">
        <f t="shared" si="759"/>
        <v>3877652.4115190017</v>
      </c>
      <c r="BL94" s="15">
        <f t="shared" si="759"/>
        <v>3885407.7163420399</v>
      </c>
      <c r="BM94" s="15">
        <f t="shared" si="759"/>
        <v>3874939.4599859142</v>
      </c>
      <c r="BN94" s="15">
        <f t="shared" si="759"/>
        <v>3925830.3315603961</v>
      </c>
      <c r="BO94" s="15">
        <f t="shared" si="759"/>
        <v>4078269.7729153251</v>
      </c>
      <c r="BP94" s="15">
        <f t="shared" si="759"/>
        <v>4086426.3124611555</v>
      </c>
      <c r="BQ94" s="15">
        <f t="shared" si="759"/>
        <v>4117520.3706602594</v>
      </c>
      <c r="BR94" s="15">
        <f t="shared" si="759"/>
        <v>4125755.411401581</v>
      </c>
      <c r="BS94" s="15">
        <f t="shared" si="759"/>
        <v>4283310.4303723248</v>
      </c>
      <c r="BT94" s="15">
        <f t="shared" si="759"/>
        <v>4291877.051233069</v>
      </c>
      <c r="BU94" s="15">
        <f t="shared" si="759"/>
        <v>4354312.109841641</v>
      </c>
      <c r="BV94" s="15">
        <f t="shared" si="759"/>
        <v>4411498.7422175612</v>
      </c>
      <c r="BW94" s="15">
        <f t="shared" si="759"/>
        <v>4577272.2302167257</v>
      </c>
      <c r="BX94" s="15">
        <f t="shared" ref="BX94:CN94" si="760">BX81*BX60</f>
        <v>4586426.7746771574</v>
      </c>
      <c r="BY94" s="15">
        <f t="shared" si="760"/>
        <v>4543980.2707932172</v>
      </c>
      <c r="BZ94" s="15">
        <f t="shared" si="760"/>
        <v>4603657.8783496348</v>
      </c>
      <c r="CA94" s="15">
        <f t="shared" si="760"/>
        <v>4780469.6810941286</v>
      </c>
      <c r="CB94" s="15">
        <f t="shared" si="760"/>
        <v>4790030.6204563174</v>
      </c>
      <c r="CC94" s="15">
        <f t="shared" si="760"/>
        <v>4769305.5331774512</v>
      </c>
      <c r="CD94" s="15">
        <f t="shared" si="760"/>
        <v>4831942.4125131816</v>
      </c>
      <c r="CE94" s="15">
        <f t="shared" si="760"/>
        <v>5021171.3660581689</v>
      </c>
      <c r="CF94" s="15">
        <f t="shared" si="760"/>
        <v>5031213.7087902855</v>
      </c>
      <c r="CG94" s="15">
        <f t="shared" si="760"/>
        <v>4986479.6564664757</v>
      </c>
      <c r="CH94" s="15">
        <f t="shared" si="760"/>
        <v>4996452.6157794092</v>
      </c>
      <c r="CI94" s="15">
        <f t="shared" si="760"/>
        <v>5188835.9313026555</v>
      </c>
      <c r="CJ94" s="15">
        <f t="shared" si="760"/>
        <v>5199213.6031652614</v>
      </c>
      <c r="CK94" s="15">
        <f t="shared" si="760"/>
        <v>5096359.5949287321</v>
      </c>
      <c r="CL94" s="15">
        <f t="shared" si="760"/>
        <v>5163291.7842754629</v>
      </c>
      <c r="CM94" s="15">
        <f t="shared" si="760"/>
        <v>5358867.8996568108</v>
      </c>
      <c r="CN94" s="15">
        <f t="shared" si="760"/>
        <v>5369585.6354561243</v>
      </c>
    </row>
    <row r="95" spans="3:92" ht="12.75" customHeight="1" x14ac:dyDescent="0.3">
      <c r="D95" s="15" t="s">
        <v>34</v>
      </c>
      <c r="H95" s="16" t="s">
        <v>1</v>
      </c>
      <c r="J95" s="58">
        <f>SUM(L95:CN95)</f>
        <v>378368675.31027263</v>
      </c>
      <c r="L95" s="15">
        <f t="shared" ref="L95:AQ95" si="761">L82*L61</f>
        <v>0</v>
      </c>
      <c r="M95" s="15">
        <f t="shared" si="761"/>
        <v>2041896.6</v>
      </c>
      <c r="N95" s="15">
        <f t="shared" si="761"/>
        <v>2097617.6894399999</v>
      </c>
      <c r="O95" s="15">
        <f t="shared" si="761"/>
        <v>2208240.6002841601</v>
      </c>
      <c r="P95" s="15">
        <f t="shared" si="761"/>
        <v>2243572.4498887067</v>
      </c>
      <c r="Q95" s="15">
        <f t="shared" si="761"/>
        <v>2348588.94900832</v>
      </c>
      <c r="R95" s="15">
        <f t="shared" si="761"/>
        <v>2412679.3318834808</v>
      </c>
      <c r="S95" s="15">
        <f t="shared" si="761"/>
        <v>2526753.0405028234</v>
      </c>
      <c r="T95" s="15">
        <f t="shared" si="761"/>
        <v>2552020.5709078517</v>
      </c>
      <c r="U95" s="15">
        <f t="shared" si="761"/>
        <v>2586166.2049541255</v>
      </c>
      <c r="V95" s="15">
        <f t="shared" si="761"/>
        <v>2612027.8670036672</v>
      </c>
      <c r="W95" s="15">
        <f t="shared" si="761"/>
        <v>2733817.2542530801</v>
      </c>
      <c r="X95" s="15">
        <f t="shared" si="761"/>
        <v>2761155.4267956116</v>
      </c>
      <c r="Y95" s="15">
        <f t="shared" si="761"/>
        <v>2761099.0273559038</v>
      </c>
      <c r="Z95" s="15">
        <f t="shared" si="761"/>
        <v>2819695.684492013</v>
      </c>
      <c r="AA95" s="15">
        <f t="shared" si="761"/>
        <v>2949412.2664502575</v>
      </c>
      <c r="AB95" s="15">
        <f t="shared" si="761"/>
        <v>2978906.3891147599</v>
      </c>
      <c r="AC95" s="15">
        <f t="shared" si="761"/>
        <v>2946325.13727787</v>
      </c>
      <c r="AD95" s="15">
        <f t="shared" si="761"/>
        <v>3008852.7040801002</v>
      </c>
      <c r="AE95" s="15">
        <f t="shared" si="761"/>
        <v>3149337.096714789</v>
      </c>
      <c r="AF95" s="15">
        <f t="shared" si="761"/>
        <v>3180830.4676819369</v>
      </c>
      <c r="AG95" s="15">
        <f t="shared" si="761"/>
        <v>3214248.8439640314</v>
      </c>
      <c r="AH95" s="15">
        <f t="shared" si="761"/>
        <v>3266212.5336081167</v>
      </c>
      <c r="AI95" s="15">
        <f t="shared" si="761"/>
        <v>3399755.2472998551</v>
      </c>
      <c r="AJ95" s="15">
        <f t="shared" si="761"/>
        <v>3416754.0235363538</v>
      </c>
      <c r="AK95" s="15">
        <f t="shared" si="761"/>
        <v>3412566.8849494318</v>
      </c>
      <c r="AL95" s="15">
        <f t="shared" si="761"/>
        <v>3429629.7193741789</v>
      </c>
      <c r="AM95" s="15">
        <f t="shared" si="761"/>
        <v>3571978.8264839891</v>
      </c>
      <c r="AN95" s="15">
        <f t="shared" si="761"/>
        <v>3589838.7206164091</v>
      </c>
      <c r="AO95" s="15">
        <f t="shared" si="761"/>
        <v>3596272.1512530339</v>
      </c>
      <c r="AP95" s="15">
        <f t="shared" si="761"/>
        <v>3654411.884364957</v>
      </c>
      <c r="AQ95" s="15">
        <f t="shared" si="761"/>
        <v>3808138.5077435574</v>
      </c>
      <c r="AR95" s="15">
        <f t="shared" ref="AR95:BW95" si="762">AR82*AR61</f>
        <v>3827179.2002822757</v>
      </c>
      <c r="AS95" s="15">
        <f t="shared" si="762"/>
        <v>3898510.4746188177</v>
      </c>
      <c r="AT95" s="15">
        <f t="shared" si="762"/>
        <v>3961536.3939584889</v>
      </c>
      <c r="AU95" s="15">
        <f t="shared" si="762"/>
        <v>4125608.2679749262</v>
      </c>
      <c r="AV95" s="15">
        <f t="shared" si="762"/>
        <v>4146236.3093148004</v>
      </c>
      <c r="AW95" s="15">
        <f t="shared" si="762"/>
        <v>4232148.9822455635</v>
      </c>
      <c r="AX95" s="15">
        <f t="shared" si="762"/>
        <v>4300568.7241252</v>
      </c>
      <c r="AY95" s="15">
        <f t="shared" si="762"/>
        <v>4480862.5825928524</v>
      </c>
      <c r="AZ95" s="15">
        <f t="shared" si="762"/>
        <v>4503266.8955058157</v>
      </c>
      <c r="BA95" s="15">
        <f t="shared" si="762"/>
        <v>4540632.708454553</v>
      </c>
      <c r="BB95" s="15">
        <f t="shared" si="762"/>
        <v>4563335.8719968256</v>
      </c>
      <c r="BC95" s="15">
        <f t="shared" si="762"/>
        <v>4751712.5169565463</v>
      </c>
      <c r="BD95" s="15">
        <f t="shared" si="762"/>
        <v>4775471.0795413284</v>
      </c>
      <c r="BE95" s="15">
        <f t="shared" si="762"/>
        <v>4757622.9969827319</v>
      </c>
      <c r="BF95" s="15">
        <f t="shared" si="762"/>
        <v>4834537.9021006199</v>
      </c>
      <c r="BG95" s="15">
        <f t="shared" si="762"/>
        <v>5031152.9307221361</v>
      </c>
      <c r="BH95" s="15">
        <f t="shared" si="762"/>
        <v>5056308.695375747</v>
      </c>
      <c r="BI95" s="15">
        <f t="shared" si="762"/>
        <v>5087489.0199450981</v>
      </c>
      <c r="BJ95" s="15">
        <f t="shared" si="762"/>
        <v>5169736.7591008767</v>
      </c>
      <c r="BK95" s="15">
        <f t="shared" si="762"/>
        <v>5387779.5772195952</v>
      </c>
      <c r="BL95" s="15">
        <f t="shared" si="762"/>
        <v>5414718.4751056926</v>
      </c>
      <c r="BM95" s="15">
        <f t="shared" si="762"/>
        <v>5416297.928086251</v>
      </c>
      <c r="BN95" s="15">
        <f t="shared" si="762"/>
        <v>5503861.4112569783</v>
      </c>
      <c r="BO95" s="15">
        <f t="shared" si="762"/>
        <v>5732389.9242638489</v>
      </c>
      <c r="BP95" s="15">
        <f t="shared" si="762"/>
        <v>5761051.8738851668</v>
      </c>
      <c r="BQ95" s="15">
        <f t="shared" si="762"/>
        <v>5822268.2436577966</v>
      </c>
      <c r="BR95" s="15">
        <f t="shared" si="762"/>
        <v>5851379.5848760866</v>
      </c>
      <c r="BS95" s="15">
        <f t="shared" si="762"/>
        <v>6090690.8299743226</v>
      </c>
      <c r="BT95" s="15">
        <f t="shared" si="762"/>
        <v>6121144.2841241937</v>
      </c>
      <c r="BU95" s="15">
        <f t="shared" si="762"/>
        <v>6228783.5556199644</v>
      </c>
      <c r="BV95" s="15">
        <f t="shared" si="762"/>
        <v>6329482.2231024867</v>
      </c>
      <c r="BW95" s="15">
        <f t="shared" si="762"/>
        <v>6590733.0517487321</v>
      </c>
      <c r="BX95" s="15">
        <f t="shared" ref="BX95:CN95" si="763">BX82*BX61</f>
        <v>6623686.717007475</v>
      </c>
      <c r="BY95" s="15">
        <f t="shared" si="763"/>
        <v>6582033.6229943065</v>
      </c>
      <c r="BZ95" s="15">
        <f t="shared" si="763"/>
        <v>6688443.1665660469</v>
      </c>
      <c r="CA95" s="15">
        <f t="shared" si="763"/>
        <v>6966754.4083934976</v>
      </c>
      <c r="CB95" s="15">
        <f t="shared" si="763"/>
        <v>7001588.1804354638</v>
      </c>
      <c r="CC95" s="15">
        <f t="shared" si="763"/>
        <v>6992166.4572100881</v>
      </c>
      <c r="CD95" s="15">
        <f t="shared" si="763"/>
        <v>7105206.481601649</v>
      </c>
      <c r="CE95" s="15">
        <f t="shared" si="763"/>
        <v>7402963.6101285331</v>
      </c>
      <c r="CF95" s="15">
        <f t="shared" si="763"/>
        <v>7439978.4281791737</v>
      </c>
      <c r="CG95" s="15">
        <f t="shared" si="763"/>
        <v>7395904.6429252857</v>
      </c>
      <c r="CH95" s="15">
        <f t="shared" si="763"/>
        <v>7432884.1661399119</v>
      </c>
      <c r="CI95" s="15">
        <f t="shared" si="763"/>
        <v>7739601.4274169831</v>
      </c>
      <c r="CJ95" s="15">
        <f t="shared" si="763"/>
        <v>7778299.4345540665</v>
      </c>
      <c r="CK95" s="15">
        <f t="shared" si="763"/>
        <v>7647251.9984284276</v>
      </c>
      <c r="CL95" s="15">
        <f t="shared" si="763"/>
        <v>7770882.5724030184</v>
      </c>
      <c r="CM95" s="15">
        <f t="shared" si="763"/>
        <v>8093630.2343586599</v>
      </c>
      <c r="CN95" s="15">
        <f t="shared" si="763"/>
        <v>8134098.3855304541</v>
      </c>
    </row>
    <row r="96" spans="3:92" ht="12.75" customHeight="1" x14ac:dyDescent="0.3">
      <c r="D96" s="50" t="s">
        <v>104</v>
      </c>
      <c r="H96" s="16" t="s">
        <v>1</v>
      </c>
      <c r="J96" s="59">
        <f>SUM(L96:CN96)</f>
        <v>1804874027.2988067</v>
      </c>
      <c r="L96" s="50">
        <f>SUM(L92:L95)</f>
        <v>0</v>
      </c>
      <c r="M96" s="50">
        <f t="shared" ref="M96" si="764">SUM(M92:M95)</f>
        <v>8815457.879999999</v>
      </c>
      <c r="N96" s="50">
        <f t="shared" ref="N96" si="765">SUM(N92:N95)</f>
        <v>8977322.145792</v>
      </c>
      <c r="O96" s="50">
        <f t="shared" ref="O96" si="766">SUM(O92:O95)</f>
        <v>9372100.167193342</v>
      </c>
      <c r="P96" s="50">
        <f t="shared" ref="P96" si="767">SUM(P92:P95)</f>
        <v>9444990.6166012585</v>
      </c>
      <c r="Q96" s="50">
        <f t="shared" ref="Q96" si="768">SUM(Q92:Q95)</f>
        <v>9810319.9401099421</v>
      </c>
      <c r="R96" s="50">
        <f t="shared" ref="R96" si="769">SUM(R92:R95)</f>
        <v>10003276.768911207</v>
      </c>
      <c r="S96" s="50">
        <f t="shared" ref="S96" si="770">SUM(S92:S95)</f>
        <v>10410257.894121835</v>
      </c>
      <c r="T96" s="50">
        <f t="shared" ref="T96" si="771">SUM(T92:T95)</f>
        <v>10457138.694345076</v>
      </c>
      <c r="U96" s="50">
        <f t="shared" ref="U96" si="772">SUM(U92:U95)</f>
        <v>10542088.659682829</v>
      </c>
      <c r="V96" s="50">
        <f t="shared" ref="V96" si="773">SUM(V92:V95)</f>
        <v>10595117.637205444</v>
      </c>
      <c r="W96" s="50">
        <f t="shared" ref="W96" si="774">SUM(W92:W95)</f>
        <v>11046366.531624466</v>
      </c>
      <c r="X96" s="50">
        <f t="shared" ref="X96" si="775">SUM(X92:X95)</f>
        <v>11107971.799391905</v>
      </c>
      <c r="Y96" s="50">
        <f t="shared" ref="Y96" si="776">SUM(Y92:Y95)</f>
        <v>11062435.183260383</v>
      </c>
      <c r="Z96" s="50">
        <f t="shared" ref="Z96" si="777">SUM(Z92:Z95)</f>
        <v>11254652.710546006</v>
      </c>
      <c r="AA96" s="50">
        <f t="shared" ref="AA96" si="778">SUM(AA92:AA95)</f>
        <v>11730961.338802187</v>
      </c>
      <c r="AB96" s="50">
        <f t="shared" ref="AB96" si="779">SUM(AB92:AB95)</f>
        <v>11811686.663990365</v>
      </c>
      <c r="AC96" s="50">
        <f t="shared" ref="AC96" si="780">SUM(AC92:AC95)</f>
        <v>11650546.327073639</v>
      </c>
      <c r="AD96" s="50">
        <f t="shared" ref="AD96" si="781">SUM(AD92:AD95)</f>
        <v>11869618.790232949</v>
      </c>
      <c r="AE96" s="50">
        <f t="shared" ref="AE96" si="782">SUM(AE92:AE95)</f>
        <v>12402118.456191035</v>
      </c>
      <c r="AF96" s="50">
        <f t="shared" ref="AF96" si="783">SUM(AF92:AF95)</f>
        <v>12506223.654858235</v>
      </c>
      <c r="AG96" s="50">
        <f t="shared" ref="AG96" si="784">SUM(AG92:AG95)</f>
        <v>12636294.554626146</v>
      </c>
      <c r="AH96" s="50">
        <f t="shared" ref="AH96" si="785">SUM(AH92:AH95)</f>
        <v>12841844.140894057</v>
      </c>
      <c r="AI96" s="50">
        <f t="shared" ref="AI96" si="786">SUM(AI92:AI95)</f>
        <v>13378859.990485488</v>
      </c>
      <c r="AJ96" s="50">
        <f t="shared" ref="AJ96" si="787">SUM(AJ92:AJ95)</f>
        <v>13452738.610601395</v>
      </c>
      <c r="AK96" s="50">
        <f t="shared" ref="AK96" si="788">SUM(AK92:AK95)</f>
        <v>13446169.215013921</v>
      </c>
      <c r="AL96" s="50">
        <f t="shared" ref="AL96" si="789">SUM(AL92:AL95)</f>
        <v>13526399.782866206</v>
      </c>
      <c r="AM96" s="50">
        <f t="shared" ref="AM96" si="790">SUM(AM92:AM95)</f>
        <v>14100227.457584515</v>
      </c>
      <c r="AN96" s="50">
        <f t="shared" ref="AN96" si="791">SUM(AN92:AN95)</f>
        <v>14190928.599563573</v>
      </c>
      <c r="AO96" s="50">
        <f t="shared" ref="AO96" si="792">SUM(AO92:AO95)</f>
        <v>14240040.434552044</v>
      </c>
      <c r="AP96" s="50">
        <f t="shared" ref="AP96" si="793">SUM(AP92:AP95)</f>
        <v>14497913.020507161</v>
      </c>
      <c r="AQ96" s="50">
        <f t="shared" ref="AQ96" si="794">SUM(AQ92:AQ95)</f>
        <v>15128017.827314587</v>
      </c>
      <c r="AR96" s="50">
        <f t="shared" ref="AR96" si="795">SUM(AR92:AR95)</f>
        <v>15240394.148252577</v>
      </c>
      <c r="AS96" s="50">
        <f t="shared" ref="AS96" si="796">SUM(AS92:AS95)</f>
        <v>15566028.087442104</v>
      </c>
      <c r="AT96" s="50">
        <f t="shared" ref="AT96" si="797">SUM(AT92:AT95)</f>
        <v>15864282.708966801</v>
      </c>
      <c r="AU96" s="50">
        <f t="shared" ref="AU96" si="798">SUM(AU92:AU95)</f>
        <v>16570754.541797765</v>
      </c>
      <c r="AV96" s="50">
        <f t="shared" ref="AV96" si="799">SUM(AV92:AV95)</f>
        <v>16711645.980802532</v>
      </c>
      <c r="AW96" s="50">
        <f t="shared" ref="AW96" si="800">SUM(AW92:AW95)</f>
        <v>17122218.490948144</v>
      </c>
      <c r="AX96" s="50">
        <f t="shared" ref="AX96" si="801">SUM(AX92:AX95)</f>
        <v>17469652.867480557</v>
      </c>
      <c r="AY96" s="50">
        <f t="shared" ref="AY96" si="802">SUM(AY92:AY95)</f>
        <v>18286676.471124336</v>
      </c>
      <c r="AZ96" s="50">
        <f t="shared" ref="AZ96" si="803">SUM(AZ92:AZ95)</f>
        <v>18463946.975789111</v>
      </c>
      <c r="BA96" s="50">
        <f t="shared" ref="BA96" si="804">SUM(BA92:BA95)</f>
        <v>18709810.2463447</v>
      </c>
      <c r="BB96" s="50">
        <f t="shared" ref="BB96" si="805">SUM(BB92:BB95)</f>
        <v>18902807.040203072</v>
      </c>
      <c r="BC96" s="50">
        <f t="shared" ref="BC96" si="806">SUM(BC92:BC95)</f>
        <v>19805705.765534904</v>
      </c>
      <c r="BD96" s="50">
        <f t="shared" ref="BD96" si="807">SUM(BD92:BD95)</f>
        <v>20022992.151632641</v>
      </c>
      <c r="BE96" s="50">
        <f t="shared" ref="BE96" si="808">SUM(BE92:BE95)</f>
        <v>20073203.168475792</v>
      </c>
      <c r="BF96" s="50">
        <f t="shared" ref="BF96" si="809">SUM(BF92:BF95)</f>
        <v>20532361.471476819</v>
      </c>
      <c r="BG96" s="50">
        <f t="shared" ref="BG96" si="810">SUM(BG92:BG95)</f>
        <v>21501548.439538602</v>
      </c>
      <c r="BH96" s="50">
        <f t="shared" ref="BH96" si="811">SUM(BH92:BH95)</f>
        <v>21765878.4145892</v>
      </c>
      <c r="BI96" s="50">
        <f t="shared" ref="BI96" si="812">SUM(BI92:BI95)</f>
        <v>22066609.017832682</v>
      </c>
      <c r="BJ96" s="50">
        <f t="shared" ref="BJ96" si="813">SUM(BJ92:BJ95)</f>
        <v>22601692.512475997</v>
      </c>
      <c r="BK96" s="50">
        <f t="shared" ref="BK96" si="814">SUM(BK92:BK95)</f>
        <v>23745002.279054433</v>
      </c>
      <c r="BL96" s="50">
        <f t="shared" ref="BL96" si="815">SUM(BL92:BL95)</f>
        <v>24070503.155191366</v>
      </c>
      <c r="BM96" s="50">
        <f t="shared" ref="BM96" si="816">SUM(BM92:BM95)</f>
        <v>24294874.093551476</v>
      </c>
      <c r="BN96" s="50">
        <f t="shared" ref="BN96" si="817">SUM(BN92:BN95)</f>
        <v>24919529.862749018</v>
      </c>
      <c r="BO96" s="50">
        <f t="shared" ref="BO96" si="818">SUM(BO92:BO95)</f>
        <v>26207510.402060967</v>
      </c>
      <c r="BP96" s="50">
        <f t="shared" ref="BP96" si="819">SUM(BP92:BP95)</f>
        <v>26605368.217670538</v>
      </c>
      <c r="BQ96" s="50">
        <f t="shared" ref="BQ96" si="820">SUM(BQ92:BQ95)</f>
        <v>27170553.072727896</v>
      </c>
      <c r="BR96" s="50">
        <f t="shared" ref="BR96" si="821">SUM(BR92:BR95)</f>
        <v>27603602.312047958</v>
      </c>
      <c r="BS96" s="50">
        <f t="shared" ref="BS96" si="822">SUM(BS92:BS95)</f>
        <v>29102860.480366569</v>
      </c>
      <c r="BT96" s="50">
        <f t="shared" ref="BT96" si="823">SUM(BT92:BT95)</f>
        <v>29590011.92807126</v>
      </c>
      <c r="BU96" s="50">
        <f t="shared" ref="BU96" si="824">SUM(BU92:BU95)</f>
        <v>30473641.353000998</v>
      </c>
      <c r="BV96" s="50">
        <f t="shared" ref="BV96" si="825">SUM(BV92:BV95)</f>
        <v>31351889.817672797</v>
      </c>
      <c r="BW96" s="50">
        <f t="shared" ref="BW96" si="826">SUM(BW92:BW95)</f>
        <v>33052799.388969481</v>
      </c>
      <c r="BX96" s="50">
        <f t="shared" ref="BX96" si="827">SUM(BX92:BX95)</f>
        <v>33656917.212572508</v>
      </c>
      <c r="BY96" s="50">
        <f t="shared" ref="BY96" si="828">SUM(BY92:BY95)</f>
        <v>33900161.502333388</v>
      </c>
      <c r="BZ96" s="50">
        <f t="shared" ref="BZ96" si="829">SUM(BZ92:BZ95)</f>
        <v>34930202.65678826</v>
      </c>
      <c r="CA96" s="50">
        <f t="shared" ref="CA96" si="830">SUM(CA92:CA95)</f>
        <v>36923621.928984553</v>
      </c>
      <c r="CB96" s="50">
        <f t="shared" ref="CB96" si="831">SUM(CB92:CB95)</f>
        <v>37657346.106362216</v>
      </c>
      <c r="CC96" s="50">
        <f t="shared" ref="CC96" si="832">SUM(CC92:CC95)</f>
        <v>38177835.564073764</v>
      </c>
      <c r="CD96" s="50">
        <f t="shared" ref="CD96" si="833">SUM(CD92:CD95)</f>
        <v>39399378.770701699</v>
      </c>
      <c r="CE96" s="50">
        <f t="shared" ref="CE96" si="834">SUM(CE92:CE95)</f>
        <v>41638112.156773433</v>
      </c>
      <c r="CF96" s="50">
        <f t="shared" ref="CF96" si="835">SUM(CF92:CF95)</f>
        <v>42529506.774696425</v>
      </c>
      <c r="CG96" s="50">
        <f t="shared" ref="CG96" si="836">SUM(CG92:CG95)</f>
        <v>42984147.884376451</v>
      </c>
      <c r="CH96" s="50">
        <f t="shared" ref="CH96" si="837">SUM(CH92:CH95)</f>
        <v>43937672.385755494</v>
      </c>
      <c r="CI96" s="50">
        <f t="shared" ref="CI96" si="838">SUM(CI92:CI95)</f>
        <v>46581817.881589919</v>
      </c>
      <c r="CJ96" s="50">
        <f t="shared" ref="CJ96" si="839">SUM(CJ92:CJ95)</f>
        <v>47650863.368884012</v>
      </c>
      <c r="CK96" s="50">
        <f t="shared" ref="CK96" si="840">SUM(CK92:CK95)</f>
        <v>47702497.227018639</v>
      </c>
      <c r="CL96" s="50">
        <f t="shared" ref="CL96" si="841">SUM(CL92:CL95)</f>
        <v>49375982.760250777</v>
      </c>
      <c r="CM96" s="50">
        <f t="shared" ref="CM96" si="842">SUM(CM92:CM95)</f>
        <v>52385151.601040021</v>
      </c>
      <c r="CN96" s="50">
        <f t="shared" ref="CN96" si="843">SUM(CN92:CN95)</f>
        <v>53666371.158818699</v>
      </c>
    </row>
    <row r="97" spans="4:92" ht="12.75" customHeight="1" x14ac:dyDescent="0.3">
      <c r="D97" s="15"/>
      <c r="H97" s="1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</row>
    <row r="98" spans="4:92" ht="12.75" customHeight="1" x14ac:dyDescent="0.3">
      <c r="D98" s="25" t="s">
        <v>160</v>
      </c>
      <c r="H98" s="16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</row>
    <row r="99" spans="4:92" ht="12.75" customHeight="1" x14ac:dyDescent="0.3">
      <c r="D99" s="15" t="s">
        <v>31</v>
      </c>
      <c r="H99" s="16" t="s">
        <v>1</v>
      </c>
      <c r="J99" s="58">
        <f>SUM(L99:CN99)</f>
        <v>143300984.41786072</v>
      </c>
      <c r="L99" s="15">
        <f t="shared" ref="L99:AQ99" si="844">L85*L65</f>
        <v>0</v>
      </c>
      <c r="M99" s="15">
        <f t="shared" si="844"/>
        <v>281534.40000000008</v>
      </c>
      <c r="N99" s="15">
        <f t="shared" si="844"/>
        <v>307435.56480000011</v>
      </c>
      <c r="O99" s="15">
        <f t="shared" si="844"/>
        <v>335679.09580800001</v>
      </c>
      <c r="P99" s="15">
        <f t="shared" si="844"/>
        <v>362533.4234726401</v>
      </c>
      <c r="Q99" s="15">
        <f t="shared" si="844"/>
        <v>348671.55262464017</v>
      </c>
      <c r="R99" s="15">
        <f t="shared" si="844"/>
        <v>380749.33546610712</v>
      </c>
      <c r="S99" s="15">
        <f t="shared" si="844"/>
        <v>427459.36906457605</v>
      </c>
      <c r="T99" s="15">
        <f t="shared" si="844"/>
        <v>453106.93120845064</v>
      </c>
      <c r="U99" s="15">
        <f t="shared" si="844"/>
        <v>461759.51858243486</v>
      </c>
      <c r="V99" s="15">
        <f t="shared" si="844"/>
        <v>489465.08969738096</v>
      </c>
      <c r="W99" s="15">
        <f t="shared" si="844"/>
        <v>524534.45656361093</v>
      </c>
      <c r="X99" s="15">
        <f t="shared" si="844"/>
        <v>556006.52395742759</v>
      </c>
      <c r="Y99" s="15">
        <f t="shared" si="844"/>
        <v>562381.32198694011</v>
      </c>
      <c r="Z99" s="15">
        <f t="shared" si="844"/>
        <v>602747.80354289163</v>
      </c>
      <c r="AA99" s="15">
        <f t="shared" si="844"/>
        <v>675294.31240487716</v>
      </c>
      <c r="AB99" s="15">
        <f t="shared" si="844"/>
        <v>715811.97114916996</v>
      </c>
      <c r="AC99" s="15">
        <f t="shared" si="844"/>
        <v>740649.25795687339</v>
      </c>
      <c r="AD99" s="15">
        <f t="shared" si="844"/>
        <v>793811.415805778</v>
      </c>
      <c r="AE99" s="15">
        <f t="shared" si="844"/>
        <v>850686.69526790618</v>
      </c>
      <c r="AF99" s="15">
        <f t="shared" si="844"/>
        <v>901727.89698398067</v>
      </c>
      <c r="AG99" s="15">
        <f t="shared" si="844"/>
        <v>863343.85594670742</v>
      </c>
      <c r="AH99" s="15">
        <f t="shared" si="844"/>
        <v>907854.02807551553</v>
      </c>
      <c r="AI99" s="15">
        <f t="shared" si="844"/>
        <v>996045.56223142287</v>
      </c>
      <c r="AJ99" s="15">
        <f t="shared" si="844"/>
        <v>1035887.3847206798</v>
      </c>
      <c r="AK99" s="15">
        <f t="shared" si="844"/>
        <v>1053961.0184492536</v>
      </c>
      <c r="AL99" s="15">
        <f t="shared" si="844"/>
        <v>1096119.459187224</v>
      </c>
      <c r="AM99" s="15">
        <f t="shared" si="844"/>
        <v>1152491.3170882808</v>
      </c>
      <c r="AN99" s="15">
        <f t="shared" si="844"/>
        <v>1198590.9697718124</v>
      </c>
      <c r="AO99" s="15">
        <f t="shared" si="844"/>
        <v>1165102.6994606003</v>
      </c>
      <c r="AP99" s="15">
        <f t="shared" si="844"/>
        <v>1225170.2164105691</v>
      </c>
      <c r="AQ99" s="15">
        <f t="shared" si="844"/>
        <v>1341853.0941639561</v>
      </c>
      <c r="AR99" s="15">
        <f t="shared" ref="AR99:BW99" si="845">AR85*AR65</f>
        <v>1395527.2179305146</v>
      </c>
      <c r="AS99" s="15">
        <f t="shared" si="845"/>
        <v>1291358.3742529282</v>
      </c>
      <c r="AT99" s="15">
        <f t="shared" si="845"/>
        <v>1357935.0726588571</v>
      </c>
      <c r="AU99" s="15">
        <f t="shared" si="845"/>
        <v>1427771.7335384553</v>
      </c>
      <c r="AV99" s="15">
        <f t="shared" si="845"/>
        <v>1484882.6028799936</v>
      </c>
      <c r="AW99" s="15">
        <f t="shared" si="845"/>
        <v>1345891.6977134957</v>
      </c>
      <c r="AX99" s="15">
        <f t="shared" si="845"/>
        <v>1415279.8919067248</v>
      </c>
      <c r="AY99" s="15">
        <f t="shared" si="845"/>
        <v>1547588.3435158334</v>
      </c>
      <c r="AZ99" s="15">
        <f t="shared" si="845"/>
        <v>1609491.8772564672</v>
      </c>
      <c r="BA99" s="15">
        <f t="shared" si="845"/>
        <v>1576869.6361968189</v>
      </c>
      <c r="BB99" s="15">
        <f t="shared" si="845"/>
        <v>1639944.4216446916</v>
      </c>
      <c r="BC99" s="15">
        <f t="shared" si="845"/>
        <v>1790603.0520287531</v>
      </c>
      <c r="BD99" s="15">
        <f t="shared" si="845"/>
        <v>1862227.1741099025</v>
      </c>
      <c r="BE99" s="15">
        <f t="shared" si="845"/>
        <v>1805090.8675530511</v>
      </c>
      <c r="BF99" s="15">
        <f t="shared" si="845"/>
        <v>1898153.3300580089</v>
      </c>
      <c r="BG99" s="15">
        <f t="shared" si="845"/>
        <v>1995772.6441752778</v>
      </c>
      <c r="BH99" s="15">
        <f t="shared" si="845"/>
        <v>2075603.549942289</v>
      </c>
      <c r="BI99" s="15">
        <f t="shared" si="845"/>
        <v>1925404.0618535387</v>
      </c>
      <c r="BJ99" s="15">
        <f t="shared" si="845"/>
        <v>2024669.337931321</v>
      </c>
      <c r="BK99" s="15">
        <f t="shared" si="845"/>
        <v>2207639.4558777059</v>
      </c>
      <c r="BL99" s="15">
        <f t="shared" si="845"/>
        <v>2295945.0341128157</v>
      </c>
      <c r="BM99" s="15">
        <f t="shared" si="845"/>
        <v>2163615.9845525478</v>
      </c>
      <c r="BN99" s="15">
        <f t="shared" si="845"/>
        <v>2275162.4086450338</v>
      </c>
      <c r="BO99" s="15">
        <f t="shared" si="845"/>
        <v>2392170.7610896369</v>
      </c>
      <c r="BP99" s="15">
        <f t="shared" si="845"/>
        <v>2487857.5915332213</v>
      </c>
      <c r="BQ99" s="15">
        <f t="shared" si="845"/>
        <v>2361271.4297010936</v>
      </c>
      <c r="BR99" s="15">
        <f t="shared" si="845"/>
        <v>2455722.2868891372</v>
      </c>
      <c r="BS99" s="15">
        <f t="shared" si="845"/>
        <v>2674231.4536409043</v>
      </c>
      <c r="BT99" s="15">
        <f t="shared" si="845"/>
        <v>2781200.7117865407</v>
      </c>
      <c r="BU99" s="15">
        <f t="shared" si="845"/>
        <v>2322186.408797686</v>
      </c>
      <c r="BV99" s="15">
        <f t="shared" si="845"/>
        <v>2441908.0192068103</v>
      </c>
      <c r="BW99" s="15">
        <f t="shared" si="845"/>
        <v>2656026.0622702651</v>
      </c>
      <c r="BX99" s="15">
        <f t="shared" ref="BX99:CN99" si="846">BX85*BX65</f>
        <v>2762267.1047610752</v>
      </c>
      <c r="BY99" s="15">
        <f t="shared" si="846"/>
        <v>2615408.3167577321</v>
      </c>
      <c r="BZ99" s="15">
        <f t="shared" si="846"/>
        <v>2750247.1455327971</v>
      </c>
      <c r="CA99" s="15">
        <f t="shared" si="846"/>
        <v>2891688.4273030534</v>
      </c>
      <c r="CB99" s="15">
        <f t="shared" si="846"/>
        <v>3007355.9643951757</v>
      </c>
      <c r="CC99" s="15">
        <f t="shared" si="846"/>
        <v>2721330.2612597644</v>
      </c>
      <c r="CD99" s="15">
        <f t="shared" si="846"/>
        <v>2861629.9547291575</v>
      </c>
      <c r="CE99" s="15">
        <f t="shared" si="846"/>
        <v>3109092.8117666901</v>
      </c>
      <c r="CF99" s="15">
        <f t="shared" si="846"/>
        <v>3233456.5242373561</v>
      </c>
      <c r="CG99" s="15">
        <f t="shared" si="846"/>
        <v>3326242.6679763435</v>
      </c>
      <c r="CH99" s="15">
        <f t="shared" si="846"/>
        <v>3459292.3746953979</v>
      </c>
      <c r="CI99" s="15">
        <f t="shared" si="846"/>
        <v>3754527.8345081089</v>
      </c>
      <c r="CJ99" s="15">
        <f t="shared" si="846"/>
        <v>3904708.9478884335</v>
      </c>
      <c r="CK99" s="15">
        <f t="shared" si="846"/>
        <v>3972616.929590839</v>
      </c>
      <c r="CL99" s="15">
        <f t="shared" si="846"/>
        <v>4177427.4024053034</v>
      </c>
      <c r="CM99" s="15">
        <f t="shared" si="846"/>
        <v>4392266.5259575779</v>
      </c>
      <c r="CN99" s="15">
        <f t="shared" si="846"/>
        <v>4567957.1869958816</v>
      </c>
    </row>
    <row r="100" spans="4:92" ht="12.75" customHeight="1" x14ac:dyDescent="0.3">
      <c r="D100" s="15" t="s">
        <v>32</v>
      </c>
      <c r="H100" s="16" t="s">
        <v>1</v>
      </c>
      <c r="J100" s="58">
        <f>SUM(L100:CN100)</f>
        <v>153287422.49334794</v>
      </c>
      <c r="L100" s="15">
        <f t="shared" ref="L100:AQ100" si="847">L86*L66</f>
        <v>0</v>
      </c>
      <c r="M100" s="15">
        <f t="shared" si="847"/>
        <v>2932650.0000000009</v>
      </c>
      <c r="N100" s="15">
        <f t="shared" si="847"/>
        <v>2959304.5300000003</v>
      </c>
      <c r="O100" s="15">
        <f t="shared" si="847"/>
        <v>3071150.4458880001</v>
      </c>
      <c r="P100" s="15">
        <f t="shared" si="847"/>
        <v>3065008.1449962249</v>
      </c>
      <c r="Q100" s="15">
        <f t="shared" si="847"/>
        <v>2723998.6137751355</v>
      </c>
      <c r="R100" s="15">
        <f t="shared" si="847"/>
        <v>2748756.734509225</v>
      </c>
      <c r="S100" s="15">
        <f t="shared" si="847"/>
        <v>2841875.4837143011</v>
      </c>
      <c r="T100" s="15">
        <f t="shared" si="847"/>
        <v>2827666.1062957305</v>
      </c>
      <c r="U100" s="15">
        <f t="shared" si="847"/>
        <v>2704957.7912146728</v>
      </c>
      <c r="V100" s="15">
        <f t="shared" si="847"/>
        <v>2691433.0022585993</v>
      </c>
      <c r="W100" s="15">
        <f t="shared" si="847"/>
        <v>2780577.2281011529</v>
      </c>
      <c r="X100" s="15">
        <f t="shared" si="847"/>
        <v>2766674.3419606467</v>
      </c>
      <c r="Y100" s="15">
        <f t="shared" si="847"/>
        <v>2626795.4709202321</v>
      </c>
      <c r="Z100" s="15">
        <f t="shared" si="847"/>
        <v>2642702.1768274717</v>
      </c>
      <c r="AA100" s="15">
        <f t="shared" si="847"/>
        <v>2658384.1457888652</v>
      </c>
      <c r="AB100" s="15">
        <f t="shared" si="847"/>
        <v>2645092.2250599209</v>
      </c>
      <c r="AC100" s="15">
        <f t="shared" si="847"/>
        <v>2569044.7501232703</v>
      </c>
      <c r="AD100" s="15">
        <f t="shared" si="847"/>
        <v>2584601.7433323502</v>
      </c>
      <c r="AE100" s="15">
        <f t="shared" si="847"/>
        <v>2668358.3862929698</v>
      </c>
      <c r="AF100" s="15">
        <f t="shared" si="847"/>
        <v>2655016.5943615045</v>
      </c>
      <c r="AG100" s="15">
        <f t="shared" si="847"/>
        <v>2432009.5623827954</v>
      </c>
      <c r="AH100" s="15">
        <f t="shared" si="847"/>
        <v>2446736.7313994463</v>
      </c>
      <c r="AI100" s="15">
        <f t="shared" si="847"/>
        <v>2524364.9522942277</v>
      </c>
      <c r="AJ100" s="15">
        <f t="shared" si="847"/>
        <v>2511743.127532756</v>
      </c>
      <c r="AK100" s="15">
        <f t="shared" si="847"/>
        <v>2444989.3311332138</v>
      </c>
      <c r="AL100" s="15">
        <f t="shared" si="847"/>
        <v>2432764.3844775474</v>
      </c>
      <c r="AM100" s="15">
        <f t="shared" si="847"/>
        <v>2508380.5829555113</v>
      </c>
      <c r="AN100" s="15">
        <f t="shared" si="847"/>
        <v>2495838.6800407348</v>
      </c>
      <c r="AO100" s="15">
        <f t="shared" si="847"/>
        <v>2321129.9724378837</v>
      </c>
      <c r="AP100" s="15">
        <f t="shared" si="847"/>
        <v>2335185.7039376465</v>
      </c>
      <c r="AQ100" s="15">
        <f t="shared" si="847"/>
        <v>2406336.5779187852</v>
      </c>
      <c r="AR100" s="15">
        <f t="shared" ref="AR100:BW100" si="848">AR86*AR66</f>
        <v>2394304.8950291919</v>
      </c>
      <c r="AS100" s="15">
        <f t="shared" si="848"/>
        <v>2119715.9456733158</v>
      </c>
      <c r="AT100" s="15">
        <f t="shared" si="848"/>
        <v>2132552.0033443375</v>
      </c>
      <c r="AU100" s="15">
        <f t="shared" si="848"/>
        <v>2196283.0577195319</v>
      </c>
      <c r="AV100" s="15">
        <f t="shared" si="848"/>
        <v>2185301.6424309332</v>
      </c>
      <c r="AW100" s="15">
        <f t="shared" si="848"/>
        <v>1895043.2610630044</v>
      </c>
      <c r="AX100" s="15">
        <f t="shared" si="848"/>
        <v>1906518.8008105522</v>
      </c>
      <c r="AY100" s="15">
        <f t="shared" si="848"/>
        <v>1962432.9581274502</v>
      </c>
      <c r="AZ100" s="15">
        <f t="shared" si="848"/>
        <v>1952620.7933368126</v>
      </c>
      <c r="BA100" s="15">
        <f t="shared" si="848"/>
        <v>1830267.8562904841</v>
      </c>
      <c r="BB100" s="15">
        <f t="shared" si="848"/>
        <v>1821116.5170090322</v>
      </c>
      <c r="BC100" s="15">
        <f t="shared" si="848"/>
        <v>1873557.7593694557</v>
      </c>
      <c r="BD100" s="15">
        <f t="shared" si="848"/>
        <v>1864189.9705726088</v>
      </c>
      <c r="BE100" s="15">
        <f t="shared" si="848"/>
        <v>1728806.2258283673</v>
      </c>
      <c r="BF100" s="15">
        <f t="shared" si="848"/>
        <v>1739275.1079736613</v>
      </c>
      <c r="BG100" s="15">
        <f t="shared" si="848"/>
        <v>1788475.99405612</v>
      </c>
      <c r="BH100" s="15">
        <f t="shared" si="848"/>
        <v>1779533.6140858398</v>
      </c>
      <c r="BI100" s="15">
        <f t="shared" si="848"/>
        <v>1579331.9316950291</v>
      </c>
      <c r="BJ100" s="15">
        <f t="shared" si="848"/>
        <v>1588895.6639480717</v>
      </c>
      <c r="BK100" s="15">
        <f t="shared" si="848"/>
        <v>1633070.45548421</v>
      </c>
      <c r="BL100" s="15">
        <f t="shared" si="848"/>
        <v>1624905.1032067894</v>
      </c>
      <c r="BM100" s="15">
        <f t="shared" si="848"/>
        <v>1464995.9993981351</v>
      </c>
      <c r="BN100" s="15">
        <f t="shared" si="848"/>
        <v>1473867.364061157</v>
      </c>
      <c r="BO100" s="15">
        <f t="shared" si="848"/>
        <v>1514158.3559260222</v>
      </c>
      <c r="BP100" s="15">
        <f t="shared" si="848"/>
        <v>1506587.5641463927</v>
      </c>
      <c r="BQ100" s="15">
        <f t="shared" si="848"/>
        <v>1368058.0156560268</v>
      </c>
      <c r="BR100" s="15">
        <f t="shared" si="848"/>
        <v>1361217.7255777458</v>
      </c>
      <c r="BS100" s="15">
        <f t="shared" si="848"/>
        <v>1397822.2663392758</v>
      </c>
      <c r="BT100" s="15">
        <f t="shared" si="848"/>
        <v>1390833.1550075801</v>
      </c>
      <c r="BU100" s="15">
        <f t="shared" si="848"/>
        <v>1111039.5615618879</v>
      </c>
      <c r="BV100" s="15">
        <f t="shared" si="848"/>
        <v>1117767.5233513464</v>
      </c>
      <c r="BW100" s="15">
        <f t="shared" si="848"/>
        <v>1147347.3770753783</v>
      </c>
      <c r="BX100" s="15">
        <f t="shared" ref="BX100:CN100" si="849">BX86*BX66</f>
        <v>1141610.6401900016</v>
      </c>
      <c r="BY100" s="15">
        <f t="shared" si="849"/>
        <v>1034145.3374396975</v>
      </c>
      <c r="BZ100" s="15">
        <f t="shared" si="849"/>
        <v>1040407.6619830821</v>
      </c>
      <c r="CA100" s="15">
        <f t="shared" si="849"/>
        <v>1088444.7700335002</v>
      </c>
      <c r="CB100" s="15">
        <f t="shared" si="849"/>
        <v>1083002.5461833335</v>
      </c>
      <c r="CC100" s="15">
        <f t="shared" si="849"/>
        <v>937595.75836030149</v>
      </c>
      <c r="CD100" s="15">
        <f t="shared" si="849"/>
        <v>943273.42156370555</v>
      </c>
      <c r="CE100" s="15">
        <f t="shared" si="849"/>
        <v>967118.38493806135</v>
      </c>
      <c r="CF100" s="15">
        <f t="shared" si="849"/>
        <v>962282.79301337048</v>
      </c>
      <c r="CG100" s="15">
        <f t="shared" si="849"/>
        <v>947064.08144995337</v>
      </c>
      <c r="CH100" s="15">
        <f t="shared" si="849"/>
        <v>942328.76104270271</v>
      </c>
      <c r="CI100" s="15">
        <f t="shared" si="849"/>
        <v>965805.89642045309</v>
      </c>
      <c r="CJ100" s="15">
        <f t="shared" si="849"/>
        <v>960976.86693835177</v>
      </c>
      <c r="CK100" s="15">
        <f t="shared" si="849"/>
        <v>935385.63515575347</v>
      </c>
      <c r="CL100" s="15">
        <f t="shared" si="849"/>
        <v>941049.91483530845</v>
      </c>
      <c r="CM100" s="15">
        <f t="shared" si="849"/>
        <v>964164.42943046906</v>
      </c>
      <c r="CN100" s="15">
        <f t="shared" si="849"/>
        <v>959343.6072833169</v>
      </c>
    </row>
    <row r="101" spans="4:92" ht="12.75" customHeight="1" x14ac:dyDescent="0.3">
      <c r="D101" s="15" t="s">
        <v>33</v>
      </c>
      <c r="H101" s="16" t="s">
        <v>1</v>
      </c>
      <c r="J101" s="58">
        <f>SUM(L101:CN101)</f>
        <v>80106493.926131979</v>
      </c>
      <c r="L101" s="15">
        <f t="shared" ref="L101:AQ101" si="850">L87*L67</f>
        <v>0</v>
      </c>
      <c r="M101" s="15">
        <f t="shared" si="850"/>
        <v>1219982.4000000001</v>
      </c>
      <c r="N101" s="15">
        <f t="shared" si="850"/>
        <v>1238471.9110400002</v>
      </c>
      <c r="O101" s="15">
        <f t="shared" si="850"/>
        <v>1281264.6226508801</v>
      </c>
      <c r="P101" s="15">
        <f t="shared" si="850"/>
        <v>1286389.6811414836</v>
      </c>
      <c r="Q101" s="15">
        <f t="shared" si="850"/>
        <v>1150140.6904775479</v>
      </c>
      <c r="R101" s="15">
        <f t="shared" si="850"/>
        <v>1167571.7116087854</v>
      </c>
      <c r="S101" s="15">
        <f t="shared" si="850"/>
        <v>1205079.2568523725</v>
      </c>
      <c r="T101" s="15">
        <f t="shared" si="850"/>
        <v>1207489.4153660771</v>
      </c>
      <c r="U101" s="15">
        <f t="shared" si="850"/>
        <v>1163215.9262470896</v>
      </c>
      <c r="V101" s="15">
        <f t="shared" si="850"/>
        <v>1165542.358099584</v>
      </c>
      <c r="W101" s="15">
        <f t="shared" si="850"/>
        <v>1224437.1138353508</v>
      </c>
      <c r="X101" s="15">
        <f t="shared" si="850"/>
        <v>1226885.9880630216</v>
      </c>
      <c r="Y101" s="15">
        <f t="shared" si="850"/>
        <v>1173051.4580356395</v>
      </c>
      <c r="Z101" s="15">
        <f t="shared" si="850"/>
        <v>1188457.5338511742</v>
      </c>
      <c r="AA101" s="15">
        <f t="shared" si="850"/>
        <v>1225419.1228670701</v>
      </c>
      <c r="AB101" s="15">
        <f t="shared" si="850"/>
        <v>1227869.9611128045</v>
      </c>
      <c r="AC101" s="15">
        <f t="shared" si="850"/>
        <v>1200958.1284656143</v>
      </c>
      <c r="AD101" s="15">
        <f t="shared" si="850"/>
        <v>1216730.7118861293</v>
      </c>
      <c r="AE101" s="15">
        <f t="shared" si="850"/>
        <v>1254185.4692079499</v>
      </c>
      <c r="AF101" s="15">
        <f t="shared" si="850"/>
        <v>1256693.8401463658</v>
      </c>
      <c r="AG101" s="15">
        <f t="shared" si="850"/>
        <v>1159236.8162791887</v>
      </c>
      <c r="AH101" s="15">
        <f t="shared" si="850"/>
        <v>1174461.4597996555</v>
      </c>
      <c r="AI101" s="15">
        <f t="shared" si="850"/>
        <v>1230767.9637382121</v>
      </c>
      <c r="AJ101" s="15">
        <f t="shared" si="850"/>
        <v>1233229.499665689</v>
      </c>
      <c r="AK101" s="15">
        <f t="shared" si="850"/>
        <v>1208899.7598898378</v>
      </c>
      <c r="AL101" s="15">
        <f t="shared" si="850"/>
        <v>1211317.5594096174</v>
      </c>
      <c r="AM101" s="15">
        <f t="shared" si="850"/>
        <v>1247529.2988449796</v>
      </c>
      <c r="AN101" s="15">
        <f t="shared" si="850"/>
        <v>1250024.3574426696</v>
      </c>
      <c r="AO101" s="15">
        <f t="shared" si="850"/>
        <v>1170701.2037452522</v>
      </c>
      <c r="AP101" s="15">
        <f t="shared" si="850"/>
        <v>1186076.4128877732</v>
      </c>
      <c r="AQ101" s="15">
        <f t="shared" si="850"/>
        <v>1221205.2997351983</v>
      </c>
      <c r="AR101" s="15">
        <f t="shared" ref="AR101:BW101" si="851">AR87*AR67</f>
        <v>1223647.7103346679</v>
      </c>
      <c r="AS101" s="15">
        <f t="shared" si="851"/>
        <v>1090935.9566270851</v>
      </c>
      <c r="AT101" s="15">
        <f t="shared" si="851"/>
        <v>1105263.5821907877</v>
      </c>
      <c r="AU101" s="15">
        <f t="shared" si="851"/>
        <v>1155761.7078843024</v>
      </c>
      <c r="AV101" s="15">
        <f t="shared" si="851"/>
        <v>1158073.2313000711</v>
      </c>
      <c r="AW101" s="15">
        <f t="shared" si="851"/>
        <v>1011319.544604849</v>
      </c>
      <c r="AX101" s="15">
        <f t="shared" si="851"/>
        <v>1024601.5412906593</v>
      </c>
      <c r="AY101" s="15">
        <f t="shared" si="851"/>
        <v>1054150.3178832377</v>
      </c>
      <c r="AZ101" s="15">
        <f t="shared" si="851"/>
        <v>1056258.6185190044</v>
      </c>
      <c r="BA101" s="15">
        <f t="shared" si="851"/>
        <v>997037.85840739729</v>
      </c>
      <c r="BB101" s="15">
        <f t="shared" si="851"/>
        <v>999031.93412421225</v>
      </c>
      <c r="BC101" s="15">
        <f t="shared" si="851"/>
        <v>1043169.722337367</v>
      </c>
      <c r="BD101" s="15">
        <f t="shared" si="851"/>
        <v>1045256.0617820418</v>
      </c>
      <c r="BE101" s="15">
        <f t="shared" si="851"/>
        <v>976165.57144581084</v>
      </c>
      <c r="BF101" s="15">
        <f t="shared" si="851"/>
        <v>988985.87928413227</v>
      </c>
      <c r="BG101" s="15">
        <f t="shared" si="851"/>
        <v>1031759.6402196265</v>
      </c>
      <c r="BH101" s="15">
        <f t="shared" si="851"/>
        <v>1033823.159500066</v>
      </c>
      <c r="BI101" s="15">
        <f t="shared" si="851"/>
        <v>923970.52655628591</v>
      </c>
      <c r="BJ101" s="15">
        <f t="shared" si="851"/>
        <v>936105.33947172528</v>
      </c>
      <c r="BK101" s="15">
        <f t="shared" si="851"/>
        <v>962028.25656478852</v>
      </c>
      <c r="BL101" s="15">
        <f t="shared" si="851"/>
        <v>963952.31307791802</v>
      </c>
      <c r="BM101" s="15">
        <f t="shared" si="851"/>
        <v>875202.65542484692</v>
      </c>
      <c r="BN101" s="15">
        <f t="shared" si="851"/>
        <v>886696.98363276047</v>
      </c>
      <c r="BO101" s="15">
        <f t="shared" si="851"/>
        <v>923897.61086696561</v>
      </c>
      <c r="BP101" s="15">
        <f t="shared" si="851"/>
        <v>925745.40608869982</v>
      </c>
      <c r="BQ101" s="15">
        <f t="shared" si="851"/>
        <v>846537.77642070921</v>
      </c>
      <c r="BR101" s="15">
        <f t="shared" si="851"/>
        <v>848230.85197355063</v>
      </c>
      <c r="BS101" s="15">
        <f t="shared" si="851"/>
        <v>883135.70688589767</v>
      </c>
      <c r="BT101" s="15">
        <f t="shared" si="851"/>
        <v>884901.97829966992</v>
      </c>
      <c r="BU101" s="15">
        <f t="shared" si="851"/>
        <v>711859.5165272546</v>
      </c>
      <c r="BV101" s="15">
        <f t="shared" si="851"/>
        <v>721208.6048443123</v>
      </c>
      <c r="BW101" s="15">
        <f t="shared" si="851"/>
        <v>740465.11021274247</v>
      </c>
      <c r="BX101" s="15">
        <f t="shared" ref="BX101:CN101" si="852">BX87*BX67</f>
        <v>741946.04043316818</v>
      </c>
      <c r="BY101" s="15">
        <f t="shared" si="852"/>
        <v>676831.45300373109</v>
      </c>
      <c r="BZ101" s="15">
        <f t="shared" si="852"/>
        <v>685720.50608651387</v>
      </c>
      <c r="CA101" s="15">
        <f t="shared" si="852"/>
        <v>713166.20560396998</v>
      </c>
      <c r="CB101" s="15">
        <f t="shared" si="852"/>
        <v>714592.53801517794</v>
      </c>
      <c r="CC101" s="15">
        <f t="shared" si="852"/>
        <v>623001.76052825199</v>
      </c>
      <c r="CD101" s="15">
        <f t="shared" si="852"/>
        <v>631183.85031652218</v>
      </c>
      <c r="CE101" s="15">
        <f t="shared" si="852"/>
        <v>656003.86935188877</v>
      </c>
      <c r="CF101" s="15">
        <f t="shared" si="852"/>
        <v>657315.8770905931</v>
      </c>
      <c r="CG101" s="15">
        <f t="shared" si="852"/>
        <v>651471.4815747221</v>
      </c>
      <c r="CH101" s="15">
        <f t="shared" si="852"/>
        <v>652774.42453787185</v>
      </c>
      <c r="CI101" s="15">
        <f t="shared" si="852"/>
        <v>678008.61895667424</v>
      </c>
      <c r="CJ101" s="15">
        <f t="shared" si="852"/>
        <v>679364.63619458815</v>
      </c>
      <c r="CK101" s="15">
        <f t="shared" si="852"/>
        <v>665925.03143508581</v>
      </c>
      <c r="CL101" s="15">
        <f t="shared" si="852"/>
        <v>674670.84684793372</v>
      </c>
      <c r="CM101" s="15">
        <f t="shared" si="852"/>
        <v>700324.2653240927</v>
      </c>
      <c r="CN101" s="15">
        <f t="shared" si="852"/>
        <v>701724.91385473998</v>
      </c>
    </row>
    <row r="102" spans="4:92" ht="12.75" customHeight="1" x14ac:dyDescent="0.3">
      <c r="D102" s="15" t="s">
        <v>34</v>
      </c>
      <c r="H102" s="16" t="s">
        <v>1</v>
      </c>
      <c r="J102" s="58">
        <f>SUM(L102:CN102)</f>
        <v>103124082.88260578</v>
      </c>
      <c r="L102" s="15">
        <f t="shared" ref="L102:AQ102" si="853">L88*L68</f>
        <v>0</v>
      </c>
      <c r="M102" s="15">
        <f t="shared" si="853"/>
        <v>1273608</v>
      </c>
      <c r="N102" s="15">
        <f t="shared" si="853"/>
        <v>1308363.3472000002</v>
      </c>
      <c r="O102" s="15">
        <f t="shared" si="853"/>
        <v>1379270.7382272005</v>
      </c>
      <c r="P102" s="15">
        <f t="shared" si="853"/>
        <v>1401339.0700388355</v>
      </c>
      <c r="Q102" s="15">
        <f t="shared" si="853"/>
        <v>1267890.2041783913</v>
      </c>
      <c r="R102" s="15">
        <f t="shared" si="853"/>
        <v>1302489.5190835262</v>
      </c>
      <c r="S102" s="15">
        <f t="shared" si="853"/>
        <v>1347021.5219704222</v>
      </c>
      <c r="T102" s="15">
        <f t="shared" si="853"/>
        <v>1360491.7371901264</v>
      </c>
      <c r="U102" s="15">
        <f t="shared" si="853"/>
        <v>1321072.2437705246</v>
      </c>
      <c r="V102" s="15">
        <f t="shared" si="853"/>
        <v>1334282.96620823</v>
      </c>
      <c r="W102" s="15">
        <f t="shared" si="853"/>
        <v>1396926.8925894522</v>
      </c>
      <c r="X102" s="15">
        <f t="shared" si="853"/>
        <v>1410896.1615153465</v>
      </c>
      <c r="Y102" s="15">
        <f t="shared" si="853"/>
        <v>1359757.8079987084</v>
      </c>
      <c r="Z102" s="15">
        <f t="shared" si="853"/>
        <v>1388614.8903684586</v>
      </c>
      <c r="AA102" s="15">
        <f t="shared" si="853"/>
        <v>1452923.3395580095</v>
      </c>
      <c r="AB102" s="15">
        <f t="shared" si="853"/>
        <v>1467452.5729535893</v>
      </c>
      <c r="AC102" s="15">
        <f t="shared" si="853"/>
        <v>1446749.0885423503</v>
      </c>
      <c r="AD102" s="15">
        <f t="shared" si="853"/>
        <v>1477452.3191991933</v>
      </c>
      <c r="AE102" s="15">
        <f t="shared" si="853"/>
        <v>1544977.3477424951</v>
      </c>
      <c r="AF102" s="15">
        <f t="shared" si="853"/>
        <v>1560427.1212199205</v>
      </c>
      <c r="AG102" s="15">
        <f t="shared" si="853"/>
        <v>1443725.1079130012</v>
      </c>
      <c r="AH102" s="15">
        <f t="shared" si="853"/>
        <v>1467065.3304909281</v>
      </c>
      <c r="AI102" s="15">
        <f t="shared" si="853"/>
        <v>1525675.8706885108</v>
      </c>
      <c r="AJ102" s="15">
        <f t="shared" si="853"/>
        <v>1533304.2500419538</v>
      </c>
      <c r="AK102" s="15">
        <f t="shared" si="853"/>
        <v>1507554.6556168301</v>
      </c>
      <c r="AL102" s="15">
        <f t="shared" si="853"/>
        <v>1515092.4288949147</v>
      </c>
      <c r="AM102" s="15">
        <f t="shared" si="853"/>
        <v>1574789.0225881669</v>
      </c>
      <c r="AN102" s="15">
        <f t="shared" si="853"/>
        <v>1582662.9677011073</v>
      </c>
      <c r="AO102" s="15">
        <f t="shared" si="853"/>
        <v>1486669.2892078795</v>
      </c>
      <c r="AP102" s="15">
        <f t="shared" si="853"/>
        <v>1510703.7760500731</v>
      </c>
      <c r="AQ102" s="15">
        <f t="shared" si="853"/>
        <v>1586681.0401642497</v>
      </c>
      <c r="AR102" s="15">
        <f t="shared" ref="AR102:BW102" si="854">AR88*AR68</f>
        <v>1594614.4453650711</v>
      </c>
      <c r="AS102" s="15">
        <f t="shared" si="854"/>
        <v>1425925.6732765869</v>
      </c>
      <c r="AT102" s="15">
        <f t="shared" si="854"/>
        <v>1448978.1383278917</v>
      </c>
      <c r="AU102" s="15">
        <f t="shared" si="854"/>
        <v>1504230.3816245701</v>
      </c>
      <c r="AV102" s="15">
        <f t="shared" si="854"/>
        <v>1511751.5335326931</v>
      </c>
      <c r="AW102" s="15">
        <f t="shared" si="854"/>
        <v>1324131.5555410567</v>
      </c>
      <c r="AX102" s="15">
        <f t="shared" si="854"/>
        <v>1345538.3490223037</v>
      </c>
      <c r="AY102" s="15">
        <f t="shared" si="854"/>
        <v>1396213.8966632935</v>
      </c>
      <c r="AZ102" s="15">
        <f t="shared" si="854"/>
        <v>1403194.96614661</v>
      </c>
      <c r="BA102" s="15">
        <f t="shared" si="854"/>
        <v>1328488.3241740493</v>
      </c>
      <c r="BB102" s="15">
        <f t="shared" si="854"/>
        <v>1335130.7657949193</v>
      </c>
      <c r="BC102" s="15">
        <f t="shared" si="854"/>
        <v>1384813.0356374802</v>
      </c>
      <c r="BD102" s="15">
        <f t="shared" si="854"/>
        <v>1391737.1008156673</v>
      </c>
      <c r="BE102" s="15">
        <f t="shared" si="854"/>
        <v>1303635.9745181319</v>
      </c>
      <c r="BF102" s="15">
        <f t="shared" si="854"/>
        <v>1324711.4227728415</v>
      </c>
      <c r="BG102" s="15">
        <f t="shared" si="854"/>
        <v>1387168.0458743295</v>
      </c>
      <c r="BH102" s="15">
        <f t="shared" si="854"/>
        <v>1394103.8861037008</v>
      </c>
      <c r="BI102" s="15">
        <f t="shared" si="854"/>
        <v>1249698.760674299</v>
      </c>
      <c r="BJ102" s="15">
        <f t="shared" si="854"/>
        <v>1269902.2239718668</v>
      </c>
      <c r="BK102" s="15">
        <f t="shared" si="854"/>
        <v>1315826.508729104</v>
      </c>
      <c r="BL102" s="15">
        <f t="shared" si="854"/>
        <v>1322405.6412727495</v>
      </c>
      <c r="BM102" s="15">
        <f t="shared" si="854"/>
        <v>1204248.4897346043</v>
      </c>
      <c r="BN102" s="15">
        <f t="shared" si="854"/>
        <v>1223717.1736519805</v>
      </c>
      <c r="BO102" s="15">
        <f t="shared" si="854"/>
        <v>1279564.5286291889</v>
      </c>
      <c r="BP102" s="15">
        <f t="shared" si="854"/>
        <v>1285962.3512723341</v>
      </c>
      <c r="BQ102" s="15">
        <f t="shared" si="854"/>
        <v>1179454.9891328213</v>
      </c>
      <c r="BR102" s="15">
        <f t="shared" si="854"/>
        <v>1185352.2640784848</v>
      </c>
      <c r="BS102" s="15">
        <f t="shared" si="854"/>
        <v>1227093.9660339265</v>
      </c>
      <c r="BT102" s="15">
        <f t="shared" si="854"/>
        <v>1233229.4358640949</v>
      </c>
      <c r="BU102" s="15">
        <f t="shared" si="854"/>
        <v>995041.86124680622</v>
      </c>
      <c r="BV102" s="15">
        <f t="shared" si="854"/>
        <v>1011128.3713369628</v>
      </c>
      <c r="BW102" s="15">
        <f t="shared" si="854"/>
        <v>1055888.3946615311</v>
      </c>
      <c r="BX102" s="15">
        <f t="shared" ref="BX102:CN102" si="855">BX88*BX68</f>
        <v>1061167.836634838</v>
      </c>
      <c r="BY102" s="15">
        <f t="shared" si="855"/>
        <v>970936.05735401274</v>
      </c>
      <c r="BZ102" s="15">
        <f t="shared" si="855"/>
        <v>986632.85694790236</v>
      </c>
      <c r="CA102" s="15">
        <f t="shared" si="855"/>
        <v>1020524.7358414559</v>
      </c>
      <c r="CB102" s="15">
        <f t="shared" si="855"/>
        <v>1025627.3595206627</v>
      </c>
      <c r="CC102" s="15">
        <f t="shared" si="855"/>
        <v>896847.77454531309</v>
      </c>
      <c r="CD102" s="15">
        <f t="shared" si="855"/>
        <v>911346.8135671292</v>
      </c>
      <c r="CE102" s="15">
        <f t="shared" si="855"/>
        <v>950551.65422156453</v>
      </c>
      <c r="CF102" s="15">
        <f t="shared" si="855"/>
        <v>955304.41249267187</v>
      </c>
      <c r="CG102" s="15">
        <f t="shared" si="855"/>
        <v>949645.27222301427</v>
      </c>
      <c r="CH102" s="15">
        <f t="shared" si="855"/>
        <v>954393.49858412927</v>
      </c>
      <c r="CI102" s="15">
        <f t="shared" si="855"/>
        <v>994784.34280139604</v>
      </c>
      <c r="CJ102" s="15">
        <f t="shared" si="855"/>
        <v>999758.26451540401</v>
      </c>
      <c r="CK102" s="15">
        <f t="shared" si="855"/>
        <v>982914.51114584948</v>
      </c>
      <c r="CL102" s="15">
        <f t="shared" si="855"/>
        <v>998804.96240937465</v>
      </c>
      <c r="CM102" s="15">
        <f t="shared" si="855"/>
        <v>1040413.688482153</v>
      </c>
      <c r="CN102" s="15">
        <f t="shared" si="855"/>
        <v>1045615.7569245636</v>
      </c>
    </row>
    <row r="103" spans="4:92" ht="12.75" customHeight="1" x14ac:dyDescent="0.3">
      <c r="D103" s="50" t="s">
        <v>104</v>
      </c>
      <c r="H103" s="16" t="s">
        <v>1</v>
      </c>
      <c r="J103" s="59">
        <f>SUM(L103:CN103)</f>
        <v>479818983.7199465</v>
      </c>
      <c r="L103" s="50">
        <f>SUM(L99:L102)</f>
        <v>0</v>
      </c>
      <c r="M103" s="50">
        <f t="shared" ref="M103" si="856">SUM(M99:M102)</f>
        <v>5707774.8000000007</v>
      </c>
      <c r="N103" s="50">
        <f t="shared" ref="N103" si="857">SUM(N99:N102)</f>
        <v>5813575.3530400004</v>
      </c>
      <c r="O103" s="50">
        <f t="shared" ref="O103" si="858">SUM(O99:O102)</f>
        <v>6067364.902574081</v>
      </c>
      <c r="P103" s="50">
        <f t="shared" ref="P103" si="859">SUM(P99:P102)</f>
        <v>6115270.3196491841</v>
      </c>
      <c r="Q103" s="50">
        <f t="shared" ref="Q103" si="860">SUM(Q99:Q102)</f>
        <v>5490701.0610557143</v>
      </c>
      <c r="R103" s="50">
        <f t="shared" ref="R103" si="861">SUM(R99:R102)</f>
        <v>5599567.3006676435</v>
      </c>
      <c r="S103" s="50">
        <f t="shared" ref="S103" si="862">SUM(S99:S102)</f>
        <v>5821435.6316016717</v>
      </c>
      <c r="T103" s="50">
        <f t="shared" ref="T103" si="863">SUM(T99:T102)</f>
        <v>5848754.1900603846</v>
      </c>
      <c r="U103" s="50">
        <f t="shared" ref="U103" si="864">SUM(U99:U102)</f>
        <v>5651005.4798147222</v>
      </c>
      <c r="V103" s="50">
        <f t="shared" ref="V103" si="865">SUM(V99:V102)</f>
        <v>5680723.4162637936</v>
      </c>
      <c r="W103" s="50">
        <f t="shared" ref="W103" si="866">SUM(W99:W102)</f>
        <v>5926475.6910895668</v>
      </c>
      <c r="X103" s="50">
        <f t="shared" ref="X103" si="867">SUM(X99:X102)</f>
        <v>5960463.015496443</v>
      </c>
      <c r="Y103" s="50">
        <f t="shared" ref="Y103" si="868">SUM(Y99:Y102)</f>
        <v>5721986.0589415198</v>
      </c>
      <c r="Z103" s="50">
        <f t="shared" ref="Z103" si="869">SUM(Z99:Z102)</f>
        <v>5822522.4045899967</v>
      </c>
      <c r="AA103" s="50">
        <f t="shared" ref="AA103" si="870">SUM(AA99:AA102)</f>
        <v>6012020.9206188209</v>
      </c>
      <c r="AB103" s="50">
        <f t="shared" ref="AB103" si="871">SUM(AB99:AB102)</f>
        <v>6056226.7302754847</v>
      </c>
      <c r="AC103" s="50">
        <f t="shared" ref="AC103" si="872">SUM(AC99:AC102)</f>
        <v>5957401.2250881083</v>
      </c>
      <c r="AD103" s="50">
        <f t="shared" ref="AD103" si="873">SUM(AD99:AD102)</f>
        <v>6072596.1902234508</v>
      </c>
      <c r="AE103" s="50">
        <f t="shared" ref="AE103" si="874">SUM(AE99:AE102)</f>
        <v>6318207.8985113213</v>
      </c>
      <c r="AF103" s="50">
        <f t="shared" ref="AF103" si="875">SUM(AF99:AF102)</f>
        <v>6373865.4527117722</v>
      </c>
      <c r="AG103" s="50">
        <f t="shared" ref="AG103" si="876">SUM(AG99:AG102)</f>
        <v>5898315.3425216926</v>
      </c>
      <c r="AH103" s="50">
        <f t="shared" ref="AH103" si="877">SUM(AH99:AH102)</f>
        <v>5996117.5497655459</v>
      </c>
      <c r="AI103" s="50">
        <f t="shared" ref="AI103" si="878">SUM(AI99:AI102)</f>
        <v>6276854.3489523735</v>
      </c>
      <c r="AJ103" s="50">
        <f t="shared" ref="AJ103" si="879">SUM(AJ99:AJ102)</f>
        <v>6314164.2619610783</v>
      </c>
      <c r="AK103" s="50">
        <f t="shared" ref="AK103" si="880">SUM(AK99:AK102)</f>
        <v>6215404.7650891347</v>
      </c>
      <c r="AL103" s="50">
        <f t="shared" ref="AL103" si="881">SUM(AL99:AL102)</f>
        <v>6255293.831969304</v>
      </c>
      <c r="AM103" s="50">
        <f t="shared" ref="AM103" si="882">SUM(AM99:AM102)</f>
        <v>6483190.2214769386</v>
      </c>
      <c r="AN103" s="50">
        <f t="shared" ref="AN103" si="883">SUM(AN99:AN102)</f>
        <v>6527116.9749563243</v>
      </c>
      <c r="AO103" s="50">
        <f t="shared" ref="AO103" si="884">SUM(AO99:AO102)</f>
        <v>6143603.1648516161</v>
      </c>
      <c r="AP103" s="50">
        <f t="shared" ref="AP103" si="885">SUM(AP99:AP102)</f>
        <v>6257136.1092860624</v>
      </c>
      <c r="AQ103" s="50">
        <f t="shared" ref="AQ103" si="886">SUM(AQ99:AQ102)</f>
        <v>6556076.0119821895</v>
      </c>
      <c r="AR103" s="50">
        <f t="shared" ref="AR103" si="887">SUM(AR99:AR102)</f>
        <v>6608094.2686594455</v>
      </c>
      <c r="AS103" s="50">
        <f t="shared" ref="AS103" si="888">SUM(AS99:AS102)</f>
        <v>5927935.9498299155</v>
      </c>
      <c r="AT103" s="50">
        <f t="shared" ref="AT103" si="889">SUM(AT99:AT102)</f>
        <v>6044728.7965218741</v>
      </c>
      <c r="AU103" s="50">
        <f t="shared" ref="AU103" si="890">SUM(AU99:AU102)</f>
        <v>6284046.8807668593</v>
      </c>
      <c r="AV103" s="50">
        <f t="shared" ref="AV103" si="891">SUM(AV99:AV102)</f>
        <v>6340009.0101436907</v>
      </c>
      <c r="AW103" s="50">
        <f t="shared" ref="AW103" si="892">SUM(AW99:AW102)</f>
        <v>5576386.0589224063</v>
      </c>
      <c r="AX103" s="50">
        <f t="shared" ref="AX103" si="893">SUM(AX99:AX102)</f>
        <v>5691938.5830302397</v>
      </c>
      <c r="AY103" s="50">
        <f t="shared" ref="AY103" si="894">SUM(AY99:AY102)</f>
        <v>5960385.5161898145</v>
      </c>
      <c r="AZ103" s="50">
        <f t="shared" ref="AZ103" si="895">SUM(AZ99:AZ102)</f>
        <v>6021566.2552588945</v>
      </c>
      <c r="BA103" s="50">
        <f t="shared" ref="BA103" si="896">SUM(BA99:BA102)</f>
        <v>5732663.67506875</v>
      </c>
      <c r="BB103" s="50">
        <f t="shared" ref="BB103" si="897">SUM(BB99:BB102)</f>
        <v>5795223.6385728549</v>
      </c>
      <c r="BC103" s="50">
        <f t="shared" ref="BC103" si="898">SUM(BC99:BC102)</f>
        <v>6092143.5693730563</v>
      </c>
      <c r="BD103" s="50">
        <f t="shared" ref="BD103" si="899">SUM(BD99:BD102)</f>
        <v>6163410.3072802201</v>
      </c>
      <c r="BE103" s="50">
        <f t="shared" ref="BE103" si="900">SUM(BE99:BE102)</f>
        <v>5813698.6393453609</v>
      </c>
      <c r="BF103" s="50">
        <f t="shared" ref="BF103" si="901">SUM(BF99:BF102)</f>
        <v>5951125.7400886435</v>
      </c>
      <c r="BG103" s="50">
        <f t="shared" ref="BG103" si="902">SUM(BG99:BG102)</f>
        <v>6203176.3243253529</v>
      </c>
      <c r="BH103" s="50">
        <f t="shared" ref="BH103" si="903">SUM(BH99:BH102)</f>
        <v>6283064.2096318956</v>
      </c>
      <c r="BI103" s="50">
        <f t="shared" ref="BI103" si="904">SUM(BI99:BI102)</f>
        <v>5678405.2807791522</v>
      </c>
      <c r="BJ103" s="50">
        <f t="shared" ref="BJ103" si="905">SUM(BJ99:BJ102)</f>
        <v>5819572.5653229849</v>
      </c>
      <c r="BK103" s="50">
        <f t="shared" ref="BK103" si="906">SUM(BK99:BK102)</f>
        <v>6118564.6766558085</v>
      </c>
      <c r="BL103" s="50">
        <f t="shared" ref="BL103" si="907">SUM(BL99:BL102)</f>
        <v>6207208.0916702729</v>
      </c>
      <c r="BM103" s="50">
        <f t="shared" ref="BM103" si="908">SUM(BM99:BM102)</f>
        <v>5708063.1291101342</v>
      </c>
      <c r="BN103" s="50">
        <f t="shared" ref="BN103" si="909">SUM(BN99:BN102)</f>
        <v>5859443.9299909314</v>
      </c>
      <c r="BO103" s="50">
        <f t="shared" ref="BO103" si="910">SUM(BO99:BO102)</f>
        <v>6109791.256511813</v>
      </c>
      <c r="BP103" s="50">
        <f t="shared" ref="BP103" si="911">SUM(BP99:BP102)</f>
        <v>6206152.9130406482</v>
      </c>
      <c r="BQ103" s="50">
        <f t="shared" ref="BQ103" si="912">SUM(BQ99:BQ102)</f>
        <v>5755322.2109106518</v>
      </c>
      <c r="BR103" s="50">
        <f t="shared" ref="BR103" si="913">SUM(BR99:BR102)</f>
        <v>5850523.1285189185</v>
      </c>
      <c r="BS103" s="50">
        <f t="shared" ref="BS103" si="914">SUM(BS99:BS102)</f>
        <v>6182283.3929000041</v>
      </c>
      <c r="BT103" s="50">
        <f t="shared" ref="BT103" si="915">SUM(BT99:BT102)</f>
        <v>6290165.2809578851</v>
      </c>
      <c r="BU103" s="50">
        <f t="shared" ref="BU103" si="916">SUM(BU99:BU102)</f>
        <v>5140127.3481336348</v>
      </c>
      <c r="BV103" s="50">
        <f t="shared" ref="BV103" si="917">SUM(BV99:BV102)</f>
        <v>5292012.5187394321</v>
      </c>
      <c r="BW103" s="50">
        <f t="shared" ref="BW103" si="918">SUM(BW99:BW102)</f>
        <v>5599726.9442199171</v>
      </c>
      <c r="BX103" s="50">
        <f t="shared" ref="BX103" si="919">SUM(BX99:BX102)</f>
        <v>5706991.6220190832</v>
      </c>
      <c r="BY103" s="50">
        <f t="shared" ref="BY103" si="920">SUM(BY99:BY102)</f>
        <v>5297321.1645551734</v>
      </c>
      <c r="BZ103" s="50">
        <f t="shared" ref="BZ103" si="921">SUM(BZ99:BZ102)</f>
        <v>5463008.1705502961</v>
      </c>
      <c r="CA103" s="50">
        <f t="shared" ref="CA103" si="922">SUM(CA99:CA102)</f>
        <v>5713824.1387819797</v>
      </c>
      <c r="CB103" s="50">
        <f t="shared" ref="CB103" si="923">SUM(CB99:CB102)</f>
        <v>5830578.4081143495</v>
      </c>
      <c r="CC103" s="50">
        <f t="shared" ref="CC103" si="924">SUM(CC99:CC102)</f>
        <v>5178775.5546936309</v>
      </c>
      <c r="CD103" s="50">
        <f t="shared" ref="CD103" si="925">SUM(CD99:CD102)</f>
        <v>5347434.0401765136</v>
      </c>
      <c r="CE103" s="50">
        <f t="shared" ref="CE103" si="926">SUM(CE99:CE102)</f>
        <v>5682766.7202782044</v>
      </c>
      <c r="CF103" s="50">
        <f t="shared" ref="CF103" si="927">SUM(CF99:CF102)</f>
        <v>5808359.6068339916</v>
      </c>
      <c r="CG103" s="50">
        <f t="shared" ref="CG103" si="928">SUM(CG99:CG102)</f>
        <v>5874423.5032240339</v>
      </c>
      <c r="CH103" s="50">
        <f t="shared" ref="CH103" si="929">SUM(CH99:CH102)</f>
        <v>6008789.0588601017</v>
      </c>
      <c r="CI103" s="50">
        <f t="shared" ref="CI103" si="930">SUM(CI99:CI102)</f>
        <v>6393126.6926866313</v>
      </c>
      <c r="CJ103" s="50">
        <f t="shared" ref="CJ103" si="931">SUM(CJ99:CJ102)</f>
        <v>6544808.7155367769</v>
      </c>
      <c r="CK103" s="50">
        <f t="shared" ref="CK103" si="932">SUM(CK99:CK102)</f>
        <v>6556842.1073275274</v>
      </c>
      <c r="CL103" s="50">
        <f t="shared" ref="CL103" si="933">SUM(CL99:CL102)</f>
        <v>6791953.1264979197</v>
      </c>
      <c r="CM103" s="50">
        <f t="shared" ref="CM103" si="934">SUM(CM99:CM102)</f>
        <v>7097168.9091942925</v>
      </c>
      <c r="CN103" s="50">
        <f t="shared" ref="CN103" si="935">SUM(CN99:CN102)</f>
        <v>7274641.4650585018</v>
      </c>
    </row>
    <row r="104" spans="4:92" ht="12.75" customHeight="1" x14ac:dyDescent="0.3">
      <c r="D104" s="15"/>
      <c r="H104" s="1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</row>
    <row r="105" spans="4:92" ht="12.75" customHeight="1" x14ac:dyDescent="0.3">
      <c r="D105" s="25" t="s">
        <v>161</v>
      </c>
      <c r="H105" s="1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</row>
    <row r="106" spans="4:92" ht="12.75" customHeight="1" x14ac:dyDescent="0.3">
      <c r="D106" s="15" t="s">
        <v>31</v>
      </c>
      <c r="H106" s="16" t="s">
        <v>1</v>
      </c>
      <c r="J106" s="58">
        <f>SUM(L106:CN106)</f>
        <v>-13494051.309819531</v>
      </c>
      <c r="L106" s="15">
        <f>-L92*Ass!$I$52</f>
        <v>0</v>
      </c>
      <c r="M106" s="15">
        <f>-M92*Ass!$I$52</f>
        <v>-7952.9471999999987</v>
      </c>
      <c r="N106" s="15">
        <f>-N92*Ass!$I$52</f>
        <v>-8684.6183423999992</v>
      </c>
      <c r="O106" s="15">
        <f>-O92*Ass!$I$52</f>
        <v>-9697.9684147200005</v>
      </c>
      <c r="P106" s="15">
        <f>-P92*Ass!$I$52</f>
        <v>-10473.805887897601</v>
      </c>
      <c r="Q106" s="15">
        <f>-Q92*Ass!$I$52</f>
        <v>-11654.710305177603</v>
      </c>
      <c r="R106" s="15">
        <f>-R92*Ass!$I$52</f>
        <v>-12726.94365325394</v>
      </c>
      <c r="S106" s="15">
        <f>-S92*Ass!$I$52</f>
        <v>-14017.66397051801</v>
      </c>
      <c r="T106" s="15">
        <f>-T92*Ass!$I$52</f>
        <v>-14858.723808749093</v>
      </c>
      <c r="U106" s="15">
        <f>-U92*Ass!$I$52</f>
        <v>-15802.953533938928</v>
      </c>
      <c r="V106" s="15">
        <f>-V92*Ass!$I$52</f>
        <v>-16751.130745975261</v>
      </c>
      <c r="W106" s="15">
        <f>-W92*Ass!$I$52</f>
        <v>-18339.458336541666</v>
      </c>
      <c r="X106" s="15">
        <f>-X92*Ass!$I$52</f>
        <v>-19439.825836734166</v>
      </c>
      <c r="Y106" s="15">
        <f>-Y92*Ass!$I$52</f>
        <v>-20401.776716627184</v>
      </c>
      <c r="Z106" s="15">
        <f>-Z92*Ass!$I$52</f>
        <v>-21866.170912065092</v>
      </c>
      <c r="AA106" s="15">
        <f>-AA92*Ass!$I$52</f>
        <v>-24052.762576013152</v>
      </c>
      <c r="AB106" s="15">
        <f>-AB92*Ass!$I$52</f>
        <v>-25495.928330573937</v>
      </c>
      <c r="AC106" s="15">
        <f>-AC92*Ass!$I$52</f>
        <v>-26465.441070603752</v>
      </c>
      <c r="AD106" s="15">
        <f>-AD92*Ass!$I$52</f>
        <v>-28365.071618560418</v>
      </c>
      <c r="AE106" s="15">
        <f>-AE92*Ass!$I$52</f>
        <v>-31180.819931129521</v>
      </c>
      <c r="AF106" s="15">
        <f>-AF92*Ass!$I$52</f>
        <v>-33051.669126997287</v>
      </c>
      <c r="AG106" s="15">
        <f>-AG92*Ass!$I$52</f>
        <v>-34562.062224962174</v>
      </c>
      <c r="AH106" s="15">
        <f>-AH92*Ass!$I$52</f>
        <v>-36343.928544115784</v>
      </c>
      <c r="AI106" s="15">
        <f>-AI92*Ass!$I$52</f>
        <v>-39173.171624750328</v>
      </c>
      <c r="AJ106" s="15">
        <f>-AJ92*Ass!$I$52</f>
        <v>-40740.098489740332</v>
      </c>
      <c r="AK106" s="15">
        <f>-AK92*Ass!$I$52</f>
        <v>-42107.243301563052</v>
      </c>
      <c r="AL106" s="15">
        <f>-AL92*Ass!$I$52</f>
        <v>-43791.533033625579</v>
      </c>
      <c r="AM106" s="15">
        <f>-AM92*Ass!$I$52</f>
        <v>-47172.190317678003</v>
      </c>
      <c r="AN106" s="15">
        <f>-AN92*Ass!$I$52</f>
        <v>-49059.07793038513</v>
      </c>
      <c r="AO106" s="15">
        <f>-AO92*Ass!$I$52</f>
        <v>-50858.584794605318</v>
      </c>
      <c r="AP106" s="15">
        <f>-AP92*Ass!$I$52</f>
        <v>-53480.627388460525</v>
      </c>
      <c r="AQ106" s="15">
        <f>-AQ92*Ass!$I$52</f>
        <v>-57576.300315735389</v>
      </c>
      <c r="AR106" s="15">
        <f>-AR92*Ass!$I$52</f>
        <v>-59879.352328364803</v>
      </c>
      <c r="AS106" s="15">
        <f>-AS92*Ass!$I$52</f>
        <v>-63119.606032983087</v>
      </c>
      <c r="AT106" s="15">
        <f>-AT92*Ass!$I$52</f>
        <v>-66373.772388461352</v>
      </c>
      <c r="AU106" s="15">
        <f>-AU92*Ass!$I$52</f>
        <v>-71417.82462391023</v>
      </c>
      <c r="AV106" s="15">
        <f>-AV92*Ass!$I$52</f>
        <v>-74274.537608866653</v>
      </c>
      <c r="AW106" s="15">
        <f>-AW92*Ass!$I$52</f>
        <v>-78453.826629319767</v>
      </c>
      <c r="AX106" s="15">
        <f>-AX92*Ass!$I$52</f>
        <v>-82498.557246653581</v>
      </c>
      <c r="AY106" s="15">
        <f>-AY92*Ass!$I$52</f>
        <v>-89117.815264486853</v>
      </c>
      <c r="AZ106" s="15">
        <f>-AZ92*Ass!$I$52</f>
        <v>-92682.527875066327</v>
      </c>
      <c r="BA106" s="15">
        <f>-BA92*Ass!$I$52</f>
        <v>-96706.092190866766</v>
      </c>
      <c r="BB106" s="15">
        <f>-BB92*Ass!$I$52</f>
        <v>-100574.33587850144</v>
      </c>
      <c r="BC106" s="15">
        <f>-BC92*Ass!$I$52</f>
        <v>-108566.64310297968</v>
      </c>
      <c r="BD106" s="15">
        <f>-BD92*Ass!$I$52</f>
        <v>-112909.3088270989</v>
      </c>
      <c r="BE106" s="15">
        <f>-BE92*Ass!$I$52</f>
        <v>-116404.78468954861</v>
      </c>
      <c r="BF106" s="15">
        <f>-BF92*Ass!$I$52</f>
        <v>-122406.09803354314</v>
      </c>
      <c r="BG106" s="15">
        <f>-BG92*Ass!$I$52</f>
        <v>-131487.01053824555</v>
      </c>
      <c r="BH106" s="15">
        <f>-BH92*Ass!$I$52</f>
        <v>-136746.49095977537</v>
      </c>
      <c r="BI106" s="15">
        <f>-BI92*Ass!$I$52</f>
        <v>-142381.43732899622</v>
      </c>
      <c r="BJ106" s="15">
        <f>-BJ92*Ass!$I$52</f>
        <v>-149721.99143129116</v>
      </c>
      <c r="BK106" s="15">
        <f>-BK92*Ass!$I$52</f>
        <v>-161424.23327972234</v>
      </c>
      <c r="BL106" s="15">
        <f>-BL92*Ass!$I$52</f>
        <v>-167881.20261091125</v>
      </c>
      <c r="BM106" s="15">
        <f>-BM92*Ass!$I$52</f>
        <v>-173778.48740524569</v>
      </c>
      <c r="BN106" s="15">
        <f>-BN92*Ass!$I$52</f>
        <v>-182737.73386702721</v>
      </c>
      <c r="BO106" s="15">
        <f>-BO92*Ass!$I$52</f>
        <v>-196899.36887414847</v>
      </c>
      <c r="BP106" s="15">
        <f>-BP92*Ass!$I$52</f>
        <v>-204775.34362911442</v>
      </c>
      <c r="BQ106" s="15">
        <f>-BQ92*Ass!$I$52</f>
        <v>-214158.52429000151</v>
      </c>
      <c r="BR106" s="15">
        <f>-BR92*Ass!$I$52</f>
        <v>-222724.86526160155</v>
      </c>
      <c r="BS106" s="15">
        <f>-BS92*Ass!$I$52</f>
        <v>-240789.18613074531</v>
      </c>
      <c r="BT106" s="15">
        <f>-BT92*Ass!$I$52</f>
        <v>-250420.7535759751</v>
      </c>
      <c r="BU106" s="15">
        <f>-BU92*Ass!$I$52</f>
        <v>-263698.8397240187</v>
      </c>
      <c r="BV106" s="15">
        <f>-BV92*Ass!$I$52</f>
        <v>-277293.97990534594</v>
      </c>
      <c r="BW106" s="15">
        <f>-BW92*Ass!$I$52</f>
        <v>-298414.92640838842</v>
      </c>
      <c r="BX106" s="15">
        <f>-BX92*Ass!$I$52</f>
        <v>-310351.52346472396</v>
      </c>
      <c r="BY106" s="15">
        <f>-BY92*Ass!$I$52</f>
        <v>-319140.17022098327</v>
      </c>
      <c r="BZ106" s="15">
        <f>-BZ92*Ass!$I$52</f>
        <v>-335593.6189968207</v>
      </c>
      <c r="CA106" s="15">
        <f>-CA92*Ass!$I$52</f>
        <v>-362316.20229822065</v>
      </c>
      <c r="CB106" s="15">
        <f>-CB92*Ass!$I$52</f>
        <v>-376808.85039014946</v>
      </c>
      <c r="CC106" s="15">
        <f>-CC92*Ass!$I$52</f>
        <v>-389406.83327667328</v>
      </c>
      <c r="CD106" s="15">
        <f>-CD92*Ass!$I$52</f>
        <v>-409482.91890338185</v>
      </c>
      <c r="CE106" s="15">
        <f>-CE92*Ass!$I$52</f>
        <v>-440181.04135251383</v>
      </c>
      <c r="CF106" s="15">
        <f>-CF92*Ass!$I$52</f>
        <v>-457788.28300661448</v>
      </c>
      <c r="CG106" s="15">
        <f>-CG92*Ass!$I$52</f>
        <v>-470924.81634506502</v>
      </c>
      <c r="CH106" s="15">
        <f>-CH92*Ass!$I$52</f>
        <v>-489761.80899886775</v>
      </c>
      <c r="CI106" s="15">
        <f>-CI92*Ass!$I$52</f>
        <v>-528105.20484833082</v>
      </c>
      <c r="CJ106" s="15">
        <f>-CJ92*Ass!$I$52</f>
        <v>-549229.41304226394</v>
      </c>
      <c r="CK106" s="15">
        <f>-CK92*Ass!$I$52</f>
        <v>-558781.22892125999</v>
      </c>
      <c r="CL106" s="15">
        <f>-CL92*Ass!$I$52</f>
        <v>-587589.50561231154</v>
      </c>
      <c r="CM106" s="15">
        <f>-CM92*Ass!$I$52</f>
        <v>-633198.63917453203</v>
      </c>
      <c r="CN106" s="15">
        <f>-CN92*Ass!$I$52</f>
        <v>-658526.58474151324</v>
      </c>
    </row>
    <row r="107" spans="4:92" ht="12.75" customHeight="1" x14ac:dyDescent="0.3">
      <c r="D107" s="15" t="s">
        <v>32</v>
      </c>
      <c r="H107" s="16" t="s">
        <v>1</v>
      </c>
      <c r="J107" s="58">
        <f>SUM(L107:CN107)</f>
        <v>-9502846.8784758169</v>
      </c>
      <c r="L107" s="15">
        <f>-L93*Ass!$I$52</f>
        <v>0</v>
      </c>
      <c r="M107" s="15">
        <f>-M93*Ass!$I$52</f>
        <v>-89244.719999999987</v>
      </c>
      <c r="N107" s="15">
        <f>-N93*Ass!$I$52</f>
        <v>-90055.855343999996</v>
      </c>
      <c r="O107" s="15">
        <f>-O93*Ass!$I$52</f>
        <v>-93163.728134015983</v>
      </c>
      <c r="P107" s="15">
        <f>-P93*Ass!$I$52</f>
        <v>-92977.400677747966</v>
      </c>
      <c r="Q107" s="15">
        <f>-Q93*Ass!$I$52</f>
        <v>-95605.119488780372</v>
      </c>
      <c r="R107" s="15">
        <f>-R93*Ass!$I$52</f>
        <v>-96474.063797022856</v>
      </c>
      <c r="S107" s="15">
        <f>-S93*Ass!$I$52</f>
        <v>-99442.758295793785</v>
      </c>
      <c r="T107" s="15">
        <f>-T93*Ass!$I$52</f>
        <v>-98945.544504314836</v>
      </c>
      <c r="U107" s="15">
        <f>-U93*Ass!$I$52</f>
        <v>-98780.270528012654</v>
      </c>
      <c r="V107" s="15">
        <f>-V93*Ass!$I$52</f>
        <v>-98286.369175372572</v>
      </c>
      <c r="W107" s="15">
        <f>-W93*Ass!$I$52</f>
        <v>-101549.80715943797</v>
      </c>
      <c r="X107" s="15">
        <f>-X93*Ass!$I$52</f>
        <v>-101042.05812364076</v>
      </c>
      <c r="Y107" s="15">
        <f>-Y93*Ass!$I$52</f>
        <v>-99539.400261875009</v>
      </c>
      <c r="Z107" s="15">
        <f>-Z93*Ass!$I$52</f>
        <v>-100142.16663012744</v>
      </c>
      <c r="AA107" s="15">
        <f>-AA93*Ass!$I$52</f>
        <v>-103099.73454704428</v>
      </c>
      <c r="AB107" s="15">
        <f>-AB93*Ass!$I$52</f>
        <v>-102584.23587430906</v>
      </c>
      <c r="AC107" s="15">
        <f>-AC93*Ass!$I$52</f>
        <v>-99955.374340143971</v>
      </c>
      <c r="AD107" s="15">
        <f>-AD93*Ass!$I$52</f>
        <v>-100560.65966253704</v>
      </c>
      <c r="AE107" s="15">
        <f>-AE93*Ass!$I$52</f>
        <v>-103766.03662621914</v>
      </c>
      <c r="AF107" s="15">
        <f>-AF93*Ass!$I$52</f>
        <v>-103247.20644308804</v>
      </c>
      <c r="AG107" s="15">
        <f>-AG93*Ass!$I$52</f>
        <v>-103293.81138317597</v>
      </c>
      <c r="AH107" s="15">
        <f>-AH93*Ass!$I$52</f>
        <v>-103919.31279655185</v>
      </c>
      <c r="AI107" s="15">
        <f>-AI93*Ass!$I$52</f>
        <v>-107163.97626853897</v>
      </c>
      <c r="AJ107" s="15">
        <f>-AJ93*Ass!$I$52</f>
        <v>-106628.15638719627</v>
      </c>
      <c r="AK107" s="15">
        <f>-AK93*Ass!$I$52</f>
        <v>-105437.81001589801</v>
      </c>
      <c r="AL107" s="15">
        <f>-AL93*Ass!$I$52</f>
        <v>-104910.62096581853</v>
      </c>
      <c r="AM107" s="15">
        <f>-AM93*Ass!$I$52</f>
        <v>-108121.17434043017</v>
      </c>
      <c r="AN107" s="15">
        <f>-AN93*Ass!$I$52</f>
        <v>-107580.56846872802</v>
      </c>
      <c r="AO107" s="15">
        <f>-AO93*Ass!$I$52</f>
        <v>-106700.99422164552</v>
      </c>
      <c r="AP107" s="15">
        <f>-AP93*Ass!$I$52</f>
        <v>-107347.12801998772</v>
      </c>
      <c r="AQ107" s="15">
        <f>-AQ93*Ass!$I$52</f>
        <v>-110568.85954219154</v>
      </c>
      <c r="AR107" s="15">
        <f>-AR93*Ass!$I$52</f>
        <v>-110016.01524448056</v>
      </c>
      <c r="AS107" s="15">
        <f>-AS93*Ass!$I$52</f>
        <v>-110951.41302378713</v>
      </c>
      <c r="AT107" s="15">
        <f>-AT93*Ass!$I$52</f>
        <v>-111623.28546932006</v>
      </c>
      <c r="AU107" s="15">
        <f>-AU93*Ass!$I$52</f>
        <v>-115202.17619481421</v>
      </c>
      <c r="AV107" s="15">
        <f>-AV93*Ass!$I$52</f>
        <v>-114626.16531384015</v>
      </c>
      <c r="AW107" s="15">
        <f>-AW93*Ass!$I$52</f>
        <v>-115837.1009339319</v>
      </c>
      <c r="AX107" s="15">
        <f>-AX93*Ass!$I$52</f>
        <v>-116538.55893403183</v>
      </c>
      <c r="AY107" s="15">
        <f>-AY93*Ass!$I$52</f>
        <v>-120197.95722221768</v>
      </c>
      <c r="AZ107" s="15">
        <f>-AZ93*Ass!$I$52</f>
        <v>-119596.9674361066</v>
      </c>
      <c r="BA107" s="15">
        <f>-BA93*Ass!$I$52</f>
        <v>-119389.42834950725</v>
      </c>
      <c r="BB107" s="15">
        <f>-BB93*Ass!$I$52</f>
        <v>-118792.4812077597</v>
      </c>
      <c r="BC107" s="15">
        <f>-BC93*Ass!$I$52</f>
        <v>-122447.9567996121</v>
      </c>
      <c r="BD107" s="15">
        <f>-BD93*Ass!$I$52</f>
        <v>-121835.71701561405</v>
      </c>
      <c r="BE107" s="15">
        <f>-BE93*Ass!$I$52</f>
        <v>-120172.59736405354</v>
      </c>
      <c r="BF107" s="15">
        <f>-BF93*Ass!$I$52</f>
        <v>-120900.30920364696</v>
      </c>
      <c r="BG107" s="15">
        <f>-BG93*Ass!$I$52</f>
        <v>-124548.28755231785</v>
      </c>
      <c r="BH107" s="15">
        <f>-BH93*Ass!$I$52</f>
        <v>-123925.54611455626</v>
      </c>
      <c r="BI107" s="15">
        <f>-BI93*Ass!$I$52</f>
        <v>-123449.0536203495</v>
      </c>
      <c r="BJ107" s="15">
        <f>-BJ93*Ass!$I$52</f>
        <v>-124196.6062228283</v>
      </c>
      <c r="BK107" s="15">
        <f>-BK93*Ass!$I$52</f>
        <v>-128167.1725265944</v>
      </c>
      <c r="BL107" s="15">
        <f>-BL93*Ass!$I$52</f>
        <v>-127526.33666396141</v>
      </c>
      <c r="BM107" s="15">
        <f>-BM93*Ass!$I$52</f>
        <v>-126294.24670434055</v>
      </c>
      <c r="BN107" s="15">
        <f>-BN93*Ass!$I$52</f>
        <v>-127059.02853160574</v>
      </c>
      <c r="BO107" s="15">
        <f>-BO93*Ass!$I$52</f>
        <v>-131037.64522348737</v>
      </c>
      <c r="BP107" s="15">
        <f>-BP93*Ass!$I$52</f>
        <v>-130382.45699736994</v>
      </c>
      <c r="BQ107" s="15">
        <f>-BQ93*Ass!$I$52</f>
        <v>-130456.76487819524</v>
      </c>
      <c r="BR107" s="15">
        <f>-BR93*Ass!$I$52</f>
        <v>-129804.48105380428</v>
      </c>
      <c r="BS107" s="15">
        <f>-BS93*Ass!$I$52</f>
        <v>-133787.99826965318</v>
      </c>
      <c r="BT107" s="15">
        <f>-BT93*Ass!$I$52</f>
        <v>-133119.0582783049</v>
      </c>
      <c r="BU107" s="15">
        <f>-BU93*Ass!$I$52</f>
        <v>-134112.07402676917</v>
      </c>
      <c r="BV107" s="15">
        <f>-BV93*Ass!$I$52</f>
        <v>-134924.19714170901</v>
      </c>
      <c r="BW107" s="15">
        <f>-BW93*Ass!$I$52</f>
        <v>-139280.95573169203</v>
      </c>
      <c r="BX107" s="15">
        <f>-BX93*Ass!$I$52</f>
        <v>-138584.55095303355</v>
      </c>
      <c r="BY107" s="15">
        <f>-BY93*Ass!$I$52</f>
        <v>-136342.78194993403</v>
      </c>
      <c r="BZ107" s="15">
        <f>-BZ93*Ass!$I$52</f>
        <v>-137168.41324063088</v>
      </c>
      <c r="CA107" s="15">
        <f>-CA93*Ass!$I$52</f>
        <v>-141211.7544917179</v>
      </c>
      <c r="CB107" s="15">
        <f>-CB93*Ass!$I$52</f>
        <v>-140505.6957192593</v>
      </c>
      <c r="CC107" s="15">
        <f>-CC93*Ass!$I$52</f>
        <v>-138920.43819705123</v>
      </c>
      <c r="CD107" s="15">
        <f>-CD93*Ass!$I$52</f>
        <v>-139761.67862835558</v>
      </c>
      <c r="CE107" s="15">
        <f>-CE93*Ass!$I$52</f>
        <v>-144098.5022592209</v>
      </c>
      <c r="CF107" s="15">
        <f>-CF93*Ass!$I$52</f>
        <v>-143378.00974792478</v>
      </c>
      <c r="CG107" s="15">
        <f>-CG93*Ass!$I$52</f>
        <v>-141110.45535462879</v>
      </c>
      <c r="CH107" s="15">
        <f>-CH93*Ass!$I$52</f>
        <v>-140404.90307785565</v>
      </c>
      <c r="CI107" s="15">
        <f>-CI93*Ass!$I$52</f>
        <v>-144962.40560907507</v>
      </c>
      <c r="CJ107" s="15">
        <f>-CJ93*Ass!$I$52</f>
        <v>-144237.59358102965</v>
      </c>
      <c r="CK107" s="15">
        <f>-CK93*Ass!$I$52</f>
        <v>-140396.48375196964</v>
      </c>
      <c r="CL107" s="15">
        <f>-CL93*Ass!$I$52</f>
        <v>-141246.66245913436</v>
      </c>
      <c r="CM107" s="15">
        <f>-CM93*Ass!$I$52</f>
        <v>-145454.43016595894</v>
      </c>
      <c r="CN107" s="15">
        <f>-CN93*Ass!$I$52</f>
        <v>-144727.15801512913</v>
      </c>
    </row>
    <row r="108" spans="4:92" ht="12.75" customHeight="1" x14ac:dyDescent="0.3">
      <c r="D108" s="15" t="s">
        <v>33</v>
      </c>
      <c r="H108" s="16" t="s">
        <v>1</v>
      </c>
      <c r="J108" s="58">
        <f>SUM(L108:CN108)</f>
        <v>-5533208.8514753282</v>
      </c>
      <c r="L108" s="15">
        <f>-L94*Ass!$I$52</f>
        <v>0</v>
      </c>
      <c r="M108" s="15">
        <f>-M94*Ass!$I$52</f>
        <v>-38273.558399999994</v>
      </c>
      <c r="N108" s="15">
        <f>-N94*Ass!$I$52</f>
        <v>-38853.615440639995</v>
      </c>
      <c r="O108" s="15">
        <f>-O94*Ass!$I$52</f>
        <v>-40415.494789447679</v>
      </c>
      <c r="P108" s="15">
        <f>-P94*Ass!$I$52</f>
        <v>-40577.15676860547</v>
      </c>
      <c r="Q108" s="15">
        <f>-Q94*Ass!$I$52</f>
        <v>-41974.790028074458</v>
      </c>
      <c r="R108" s="15">
        <f>-R94*Ass!$I$52</f>
        <v>-42610.941290277719</v>
      </c>
      <c r="S108" s="15">
        <f>-S94*Ass!$I$52</f>
        <v>-44209.674806068419</v>
      </c>
      <c r="T108" s="15">
        <f>-T94*Ass!$I$52</f>
        <v>-44298.094155680556</v>
      </c>
      <c r="U108" s="15">
        <f>-U94*Ass!$I$52</f>
        <v>-44535.225032622497</v>
      </c>
      <c r="V108" s="15">
        <f>-V94*Ass!$I$52</f>
        <v>-44624.295482687739</v>
      </c>
      <c r="W108" s="15">
        <f>-W94*Ass!$I$52</f>
        <v>-46361.720051448065</v>
      </c>
      <c r="X108" s="15">
        <f>-X94*Ass!$I$52</f>
        <v>-46454.443491550948</v>
      </c>
      <c r="Y108" s="15">
        <f>-Y94*Ass!$I$52</f>
        <v>-46085.546139587408</v>
      </c>
      <c r="Z108" s="15">
        <f>-Z94*Ass!$I$52</f>
        <v>-46690.802978887325</v>
      </c>
      <c r="AA108" s="15">
        <f>-AA94*Ass!$I$52</f>
        <v>-48478.484323981145</v>
      </c>
      <c r="AB108" s="15">
        <f>-AB94*Ass!$I$52</f>
        <v>-48575.441292629104</v>
      </c>
      <c r="AC108" s="15">
        <f>-AC94*Ass!$I$52</f>
        <v>-47663.608385167681</v>
      </c>
      <c r="AD108" s="15">
        <f>-AD94*Ass!$I$52</f>
        <v>-48289.590441959539</v>
      </c>
      <c r="AE108" s="15">
        <f>-AE94*Ass!$I$52</f>
        <v>-50108.770632176282</v>
      </c>
      <c r="AF108" s="15">
        <f>-AF94*Ass!$I$52</f>
        <v>-50208.988173440637</v>
      </c>
      <c r="AG108" s="15">
        <f>-AG94*Ass!$I$52</f>
        <v>-50585.040605104165</v>
      </c>
      <c r="AH108" s="15">
        <f>-AH94*Ass!$I$52</f>
        <v>-51249.390805051204</v>
      </c>
      <c r="AI108" s="15">
        <f>-AI94*Ass!$I$52</f>
        <v>-53244.946970423349</v>
      </c>
      <c r="AJ108" s="15">
        <f>-AJ94*Ass!$I$52</f>
        <v>-53351.436864364216</v>
      </c>
      <c r="AK108" s="15">
        <f>-AK94*Ass!$I$52</f>
        <v>-53126.99328382875</v>
      </c>
      <c r="AL108" s="15">
        <f>-AL94*Ass!$I$52</f>
        <v>-53233.247270396416</v>
      </c>
      <c r="AM108" s="15">
        <f>-AM94*Ass!$I$52</f>
        <v>-55271.607963902345</v>
      </c>
      <c r="AN108" s="15">
        <f>-AN94*Ass!$I$52</f>
        <v>-55382.151179830144</v>
      </c>
      <c r="AO108" s="15">
        <f>-AO94*Ass!$I$52</f>
        <v>-55315.78664972938</v>
      </c>
      <c r="AP108" s="15">
        <f>-AP94*Ass!$I$52</f>
        <v>-56042.267314395824</v>
      </c>
      <c r="AQ108" s="15">
        <f>-AQ94*Ass!$I$52</f>
        <v>-58252.426533493672</v>
      </c>
      <c r="AR108" s="15">
        <f>-AR94*Ass!$I$52</f>
        <v>-58368.931386560653</v>
      </c>
      <c r="AS108" s="15">
        <f>-AS94*Ass!$I$52</f>
        <v>-59279.33319969548</v>
      </c>
      <c r="AT108" s="15">
        <f>-AT94*Ass!$I$52</f>
        <v>-60057.86844238481</v>
      </c>
      <c r="AU108" s="15">
        <f>-AU94*Ass!$I$52</f>
        <v>-62282.924657732372</v>
      </c>
      <c r="AV108" s="15">
        <f>-AV94*Ass!$I$52</f>
        <v>-62407.490507047849</v>
      </c>
      <c r="AW108" s="15">
        <f>-AW94*Ass!$I$52</f>
        <v>-63510.462610799914</v>
      </c>
      <c r="AX108" s="15">
        <f>-AX94*Ass!$I$52</f>
        <v>-64344.566686421756</v>
      </c>
      <c r="AY108" s="15">
        <f>-AY94*Ass!$I$52</f>
        <v>-66800.505283925173</v>
      </c>
      <c r="AZ108" s="15">
        <f>-AZ94*Ass!$I$52</f>
        <v>-66934.106294493031</v>
      </c>
      <c r="BA108" s="15">
        <f>-BA94*Ass!$I$52</f>
        <v>-67288.030217428997</v>
      </c>
      <c r="BB108" s="15">
        <f>-BB94*Ass!$I$52</f>
        <v>-67422.606277863844</v>
      </c>
      <c r="BC108" s="15">
        <f>-BC94*Ass!$I$52</f>
        <v>-70065.26506897535</v>
      </c>
      <c r="BD108" s="15">
        <f>-BD94*Ass!$I$52</f>
        <v>-70205.395599113297</v>
      </c>
      <c r="BE108" s="15">
        <f>-BE94*Ass!$I$52</f>
        <v>-69734.221376259055</v>
      </c>
      <c r="BF108" s="15">
        <f>-BF94*Ass!$I$52</f>
        <v>-70650.064150333899</v>
      </c>
      <c r="BG108" s="15">
        <f>-BG94*Ass!$I$52</f>
        <v>-73372.612085765897</v>
      </c>
      <c r="BH108" s="15">
        <f>-BH94*Ass!$I$52</f>
        <v>-73519.357309937433</v>
      </c>
      <c r="BI108" s="15">
        <f>-BI94*Ass!$I$52</f>
        <v>-73751.909008405928</v>
      </c>
      <c r="BJ108" s="15">
        <f>-BJ94*Ass!$I$52</f>
        <v>-74720.517413383001</v>
      </c>
      <c r="BK108" s="15">
        <f>-BK94*Ass!$I$52</f>
        <v>-77553.048230380038</v>
      </c>
      <c r="BL108" s="15">
        <f>-BL94*Ass!$I$52</f>
        <v>-77708.154326840799</v>
      </c>
      <c r="BM108" s="15">
        <f>-BM94*Ass!$I$52</f>
        <v>-77498.789199718289</v>
      </c>
      <c r="BN108" s="15">
        <f>-BN94*Ass!$I$52</f>
        <v>-78516.60663120792</v>
      </c>
      <c r="BO108" s="15">
        <f>-BO94*Ass!$I$52</f>
        <v>-81565.395458306506</v>
      </c>
      <c r="BP108" s="15">
        <f>-BP94*Ass!$I$52</f>
        <v>-81728.526249223112</v>
      </c>
      <c r="BQ108" s="15">
        <f>-BQ94*Ass!$I$52</f>
        <v>-82350.40741320519</v>
      </c>
      <c r="BR108" s="15">
        <f>-BR94*Ass!$I$52</f>
        <v>-82515.108228031619</v>
      </c>
      <c r="BS108" s="15">
        <f>-BS94*Ass!$I$52</f>
        <v>-85666.208607446504</v>
      </c>
      <c r="BT108" s="15">
        <f>-BT94*Ass!$I$52</f>
        <v>-85837.541024661376</v>
      </c>
      <c r="BU108" s="15">
        <f>-BU94*Ass!$I$52</f>
        <v>-87086.242196832827</v>
      </c>
      <c r="BV108" s="15">
        <f>-BV94*Ass!$I$52</f>
        <v>-88229.974844351222</v>
      </c>
      <c r="BW108" s="15">
        <f>-BW94*Ass!$I$52</f>
        <v>-91545.444604334523</v>
      </c>
      <c r="BX108" s="15">
        <f>-BX94*Ass!$I$52</f>
        <v>-91728.535493543153</v>
      </c>
      <c r="BY108" s="15">
        <f>-BY94*Ass!$I$52</f>
        <v>-90879.605415864353</v>
      </c>
      <c r="BZ108" s="15">
        <f>-BZ94*Ass!$I$52</f>
        <v>-92073.157566992697</v>
      </c>
      <c r="CA108" s="15">
        <f>-CA94*Ass!$I$52</f>
        <v>-95609.393621882569</v>
      </c>
      <c r="CB108" s="15">
        <f>-CB94*Ass!$I$52</f>
        <v>-95800.612409126348</v>
      </c>
      <c r="CC108" s="15">
        <f>-CC94*Ass!$I$52</f>
        <v>-95386.110663549029</v>
      </c>
      <c r="CD108" s="15">
        <f>-CD94*Ass!$I$52</f>
        <v>-96638.848250263633</v>
      </c>
      <c r="CE108" s="15">
        <f>-CE94*Ass!$I$52</f>
        <v>-100423.42732116338</v>
      </c>
      <c r="CF108" s="15">
        <f>-CF94*Ass!$I$52</f>
        <v>-100624.27417580571</v>
      </c>
      <c r="CG108" s="15">
        <f>-CG94*Ass!$I$52</f>
        <v>-99729.593129329514</v>
      </c>
      <c r="CH108" s="15">
        <f>-CH94*Ass!$I$52</f>
        <v>-99929.052315588182</v>
      </c>
      <c r="CI108" s="15">
        <f>-CI94*Ass!$I$52</f>
        <v>-103776.71862605312</v>
      </c>
      <c r="CJ108" s="15">
        <f>-CJ94*Ass!$I$52</f>
        <v>-103984.27206330524</v>
      </c>
      <c r="CK108" s="15">
        <f>-CK94*Ass!$I$52</f>
        <v>-101927.19189857465</v>
      </c>
      <c r="CL108" s="15">
        <f>-CL94*Ass!$I$52</f>
        <v>-103265.83568550926</v>
      </c>
      <c r="CM108" s="15">
        <f>-CM94*Ass!$I$52</f>
        <v>-107177.35799313622</v>
      </c>
      <c r="CN108" s="15">
        <f>-CN94*Ass!$I$52</f>
        <v>-107391.71270912248</v>
      </c>
    </row>
    <row r="109" spans="4:92" ht="12.75" customHeight="1" x14ac:dyDescent="0.3">
      <c r="D109" s="15" t="s">
        <v>34</v>
      </c>
      <c r="H109" s="16" t="s">
        <v>1</v>
      </c>
      <c r="J109" s="58">
        <f>SUM(L109:CN109)</f>
        <v>-7567373.5062054563</v>
      </c>
      <c r="L109" s="15">
        <f>-L95*Ass!$I$52</f>
        <v>0</v>
      </c>
      <c r="M109" s="15">
        <f>-M95*Ass!$I$52</f>
        <v>-40837.932000000001</v>
      </c>
      <c r="N109" s="15">
        <f>-N95*Ass!$I$52</f>
        <v>-41952.353788799999</v>
      </c>
      <c r="O109" s="15">
        <f>-O95*Ass!$I$52</f>
        <v>-44164.812005683205</v>
      </c>
      <c r="P109" s="15">
        <f>-P95*Ass!$I$52</f>
        <v>-44871.448997774132</v>
      </c>
      <c r="Q109" s="15">
        <f>-Q95*Ass!$I$52</f>
        <v>-46971.778980166404</v>
      </c>
      <c r="R109" s="15">
        <f>-R95*Ass!$I$52</f>
        <v>-48253.586637669614</v>
      </c>
      <c r="S109" s="15">
        <f>-S95*Ass!$I$52</f>
        <v>-50535.060810056471</v>
      </c>
      <c r="T109" s="15">
        <f>-T95*Ass!$I$52</f>
        <v>-51040.411418157033</v>
      </c>
      <c r="U109" s="15">
        <f>-U95*Ass!$I$52</f>
        <v>-51723.324099082507</v>
      </c>
      <c r="V109" s="15">
        <f>-V95*Ass!$I$52</f>
        <v>-52240.557340073341</v>
      </c>
      <c r="W109" s="15">
        <f>-W95*Ass!$I$52</f>
        <v>-54676.345085061606</v>
      </c>
      <c r="X109" s="15">
        <f>-X95*Ass!$I$52</f>
        <v>-55223.108535912237</v>
      </c>
      <c r="Y109" s="15">
        <f>-Y95*Ass!$I$52</f>
        <v>-55221.980547118073</v>
      </c>
      <c r="Z109" s="15">
        <f>-Z95*Ass!$I$52</f>
        <v>-56393.913689840258</v>
      </c>
      <c r="AA109" s="15">
        <f>-AA95*Ass!$I$52</f>
        <v>-58988.245329005149</v>
      </c>
      <c r="AB109" s="15">
        <f>-AB95*Ass!$I$52</f>
        <v>-59578.127782295196</v>
      </c>
      <c r="AC109" s="15">
        <f>-AC95*Ass!$I$52</f>
        <v>-58926.502745557402</v>
      </c>
      <c r="AD109" s="15">
        <f>-AD95*Ass!$I$52</f>
        <v>-60177.054081602007</v>
      </c>
      <c r="AE109" s="15">
        <f>-AE95*Ass!$I$52</f>
        <v>-62986.74193429578</v>
      </c>
      <c r="AF109" s="15">
        <f>-AF95*Ass!$I$52</f>
        <v>-63616.609353638742</v>
      </c>
      <c r="AG109" s="15">
        <f>-AG95*Ass!$I$52</f>
        <v>-64284.976879280628</v>
      </c>
      <c r="AH109" s="15">
        <f>-AH95*Ass!$I$52</f>
        <v>-65324.250672162336</v>
      </c>
      <c r="AI109" s="15">
        <f>-AI95*Ass!$I$52</f>
        <v>-67995.104945997096</v>
      </c>
      <c r="AJ109" s="15">
        <f>-AJ95*Ass!$I$52</f>
        <v>-68335.080470727073</v>
      </c>
      <c r="AK109" s="15">
        <f>-AK95*Ass!$I$52</f>
        <v>-68251.337698988631</v>
      </c>
      <c r="AL109" s="15">
        <f>-AL95*Ass!$I$52</f>
        <v>-68592.594387483579</v>
      </c>
      <c r="AM109" s="15">
        <f>-AM95*Ass!$I$52</f>
        <v>-71439.576529679791</v>
      </c>
      <c r="AN109" s="15">
        <f>-AN95*Ass!$I$52</f>
        <v>-71796.774412328188</v>
      </c>
      <c r="AO109" s="15">
        <f>-AO95*Ass!$I$52</f>
        <v>-71925.443025060682</v>
      </c>
      <c r="AP109" s="15">
        <f>-AP95*Ass!$I$52</f>
        <v>-73088.237687299144</v>
      </c>
      <c r="AQ109" s="15">
        <f>-AQ95*Ass!$I$52</f>
        <v>-76162.770154871148</v>
      </c>
      <c r="AR109" s="15">
        <f>-AR95*Ass!$I$52</f>
        <v>-76543.58400564552</v>
      </c>
      <c r="AS109" s="15">
        <f>-AS95*Ass!$I$52</f>
        <v>-77970.209492376351</v>
      </c>
      <c r="AT109" s="15">
        <f>-AT95*Ass!$I$52</f>
        <v>-79230.727879169775</v>
      </c>
      <c r="AU109" s="15">
        <f>-AU95*Ass!$I$52</f>
        <v>-82512.165359498526</v>
      </c>
      <c r="AV109" s="15">
        <f>-AV95*Ass!$I$52</f>
        <v>-82924.726186296015</v>
      </c>
      <c r="AW109" s="15">
        <f>-AW95*Ass!$I$52</f>
        <v>-84642.979644911276</v>
      </c>
      <c r="AX109" s="15">
        <f>-AX95*Ass!$I$52</f>
        <v>-86011.374482504005</v>
      </c>
      <c r="AY109" s="15">
        <f>-AY95*Ass!$I$52</f>
        <v>-89617.251651857048</v>
      </c>
      <c r="AZ109" s="15">
        <f>-AZ95*Ass!$I$52</f>
        <v>-90065.337910116315</v>
      </c>
      <c r="BA109" s="15">
        <f>-BA95*Ass!$I$52</f>
        <v>-90812.654169091067</v>
      </c>
      <c r="BB109" s="15">
        <f>-BB95*Ass!$I$52</f>
        <v>-91266.717439936518</v>
      </c>
      <c r="BC109" s="15">
        <f>-BC95*Ass!$I$52</f>
        <v>-95034.250339130929</v>
      </c>
      <c r="BD109" s="15">
        <f>-BD95*Ass!$I$52</f>
        <v>-95509.421590826576</v>
      </c>
      <c r="BE109" s="15">
        <f>-BE95*Ass!$I$52</f>
        <v>-95152.45993965464</v>
      </c>
      <c r="BF109" s="15">
        <f>-BF95*Ass!$I$52</f>
        <v>-96690.7580420124</v>
      </c>
      <c r="BG109" s="15">
        <f>-BG95*Ass!$I$52</f>
        <v>-100623.05861444272</v>
      </c>
      <c r="BH109" s="15">
        <f>-BH95*Ass!$I$52</f>
        <v>-101126.17390751494</v>
      </c>
      <c r="BI109" s="15">
        <f>-BI95*Ass!$I$52</f>
        <v>-101749.78039890196</v>
      </c>
      <c r="BJ109" s="15">
        <f>-BJ95*Ass!$I$52</f>
        <v>-103394.73518201754</v>
      </c>
      <c r="BK109" s="15">
        <f>-BK95*Ass!$I$52</f>
        <v>-107755.59154439191</v>
      </c>
      <c r="BL109" s="15">
        <f>-BL95*Ass!$I$52</f>
        <v>-108294.36950211386</v>
      </c>
      <c r="BM109" s="15">
        <f>-BM95*Ass!$I$52</f>
        <v>-108325.95856172503</v>
      </c>
      <c r="BN109" s="15">
        <f>-BN95*Ass!$I$52</f>
        <v>-110077.22822513957</v>
      </c>
      <c r="BO109" s="15">
        <f>-BO95*Ass!$I$52</f>
        <v>-114647.79848527699</v>
      </c>
      <c r="BP109" s="15">
        <f>-BP95*Ass!$I$52</f>
        <v>-115221.03747770334</v>
      </c>
      <c r="BQ109" s="15">
        <f>-BQ95*Ass!$I$52</f>
        <v>-116445.36487315594</v>
      </c>
      <c r="BR109" s="15">
        <f>-BR95*Ass!$I$52</f>
        <v>-117027.59169752174</v>
      </c>
      <c r="BS109" s="15">
        <f>-BS95*Ass!$I$52</f>
        <v>-121813.81659948645</v>
      </c>
      <c r="BT109" s="15">
        <f>-BT95*Ass!$I$52</f>
        <v>-122422.88568248387</v>
      </c>
      <c r="BU109" s="15">
        <f>-BU95*Ass!$I$52</f>
        <v>-124575.67111239929</v>
      </c>
      <c r="BV109" s="15">
        <f>-BV95*Ass!$I$52</f>
        <v>-126589.64446204974</v>
      </c>
      <c r="BW109" s="15">
        <f>-BW95*Ass!$I$52</f>
        <v>-131814.66103497465</v>
      </c>
      <c r="BX109" s="15">
        <f>-BX95*Ass!$I$52</f>
        <v>-132473.7343401495</v>
      </c>
      <c r="BY109" s="15">
        <f>-BY95*Ass!$I$52</f>
        <v>-131640.67245988612</v>
      </c>
      <c r="BZ109" s="15">
        <f>-BZ95*Ass!$I$52</f>
        <v>-133768.86333132093</v>
      </c>
      <c r="CA109" s="15">
        <f>-CA95*Ass!$I$52</f>
        <v>-139335.08816786995</v>
      </c>
      <c r="CB109" s="15">
        <f>-CB95*Ass!$I$52</f>
        <v>-140031.76360870927</v>
      </c>
      <c r="CC109" s="15">
        <f>-CC95*Ass!$I$52</f>
        <v>-139843.32914420177</v>
      </c>
      <c r="CD109" s="15">
        <f>-CD95*Ass!$I$52</f>
        <v>-142104.12963203297</v>
      </c>
      <c r="CE109" s="15">
        <f>-CE95*Ass!$I$52</f>
        <v>-148059.27220257066</v>
      </c>
      <c r="CF109" s="15">
        <f>-CF95*Ass!$I$52</f>
        <v>-148799.56856358348</v>
      </c>
      <c r="CG109" s="15">
        <f>-CG95*Ass!$I$52</f>
        <v>-147918.09285850573</v>
      </c>
      <c r="CH109" s="15">
        <f>-CH95*Ass!$I$52</f>
        <v>-148657.68332279823</v>
      </c>
      <c r="CI109" s="15">
        <f>-CI95*Ass!$I$52</f>
        <v>-154792.02854833967</v>
      </c>
      <c r="CJ109" s="15">
        <f>-CJ95*Ass!$I$52</f>
        <v>-155565.98869108132</v>
      </c>
      <c r="CK109" s="15">
        <f>-CK95*Ass!$I$52</f>
        <v>-152945.03996856857</v>
      </c>
      <c r="CL109" s="15">
        <f>-CL95*Ass!$I$52</f>
        <v>-155417.65144806038</v>
      </c>
      <c r="CM109" s="15">
        <f>-CM95*Ass!$I$52</f>
        <v>-161872.60468717321</v>
      </c>
      <c r="CN109" s="15">
        <f>-CN95*Ass!$I$52</f>
        <v>-162681.96771060908</v>
      </c>
    </row>
    <row r="110" spans="4:92" ht="12.75" customHeight="1" x14ac:dyDescent="0.3">
      <c r="D110" s="50" t="s">
        <v>104</v>
      </c>
      <c r="H110" s="16" t="s">
        <v>1</v>
      </c>
      <c r="J110" s="59">
        <f>SUM(L110:CN110)</f>
        <v>-36097480.545976132</v>
      </c>
      <c r="L110" s="50">
        <f>SUM(L106:L109)</f>
        <v>0</v>
      </c>
      <c r="M110" s="50">
        <f t="shared" ref="M110" si="936">SUM(M106:M109)</f>
        <v>-176309.15759999998</v>
      </c>
      <c r="N110" s="50">
        <f t="shared" ref="N110" si="937">SUM(N106:N109)</f>
        <v>-179546.44291584002</v>
      </c>
      <c r="O110" s="50">
        <f t="shared" ref="O110" si="938">SUM(O106:O109)</f>
        <v>-187442.00334386685</v>
      </c>
      <c r="P110" s="50">
        <f t="shared" ref="P110" si="939">SUM(P106:P109)</f>
        <v>-188899.81233202518</v>
      </c>
      <c r="Q110" s="50">
        <f t="shared" ref="Q110" si="940">SUM(Q106:Q109)</f>
        <v>-196206.39880219882</v>
      </c>
      <c r="R110" s="50">
        <f t="shared" ref="R110" si="941">SUM(R106:R109)</f>
        <v>-200065.53537822413</v>
      </c>
      <c r="S110" s="50">
        <f t="shared" ref="S110" si="942">SUM(S106:S109)</f>
        <v>-208205.1578824367</v>
      </c>
      <c r="T110" s="50">
        <f t="shared" ref="T110" si="943">SUM(T106:T109)</f>
        <v>-209142.7738869015</v>
      </c>
      <c r="U110" s="50">
        <f t="shared" ref="U110" si="944">SUM(U106:U109)</f>
        <v>-210841.77319365658</v>
      </c>
      <c r="V110" s="50">
        <f t="shared" ref="V110" si="945">SUM(V106:V109)</f>
        <v>-211902.35274410891</v>
      </c>
      <c r="W110" s="50">
        <f t="shared" ref="W110" si="946">SUM(W106:W109)</f>
        <v>-220927.33063248929</v>
      </c>
      <c r="X110" s="50">
        <f t="shared" ref="X110" si="947">SUM(X106:X109)</f>
        <v>-222159.43598783811</v>
      </c>
      <c r="Y110" s="50">
        <f t="shared" ref="Y110" si="948">SUM(Y106:Y109)</f>
        <v>-221248.70366520766</v>
      </c>
      <c r="Z110" s="50">
        <f t="shared" ref="Z110" si="949">SUM(Z106:Z109)</f>
        <v>-225093.05421092012</v>
      </c>
      <c r="AA110" s="50">
        <f t="shared" ref="AA110" si="950">SUM(AA106:AA109)</f>
        <v>-234619.22677604374</v>
      </c>
      <c r="AB110" s="50">
        <f t="shared" ref="AB110" si="951">SUM(AB106:AB109)</f>
        <v>-236233.73327980729</v>
      </c>
      <c r="AC110" s="50">
        <f t="shared" ref="AC110" si="952">SUM(AC106:AC109)</f>
        <v>-233010.92654147279</v>
      </c>
      <c r="AD110" s="50">
        <f t="shared" ref="AD110" si="953">SUM(AD106:AD109)</f>
        <v>-237392.37580465898</v>
      </c>
      <c r="AE110" s="50">
        <f t="shared" ref="AE110" si="954">SUM(AE106:AE109)</f>
        <v>-248042.36912382071</v>
      </c>
      <c r="AF110" s="50">
        <f t="shared" ref="AF110" si="955">SUM(AF106:AF109)</f>
        <v>-250124.47309716474</v>
      </c>
      <c r="AG110" s="50">
        <f t="shared" ref="AG110" si="956">SUM(AG106:AG109)</f>
        <v>-252725.89109252294</v>
      </c>
      <c r="AH110" s="50">
        <f t="shared" ref="AH110" si="957">SUM(AH106:AH109)</f>
        <v>-256836.88281788118</v>
      </c>
      <c r="AI110" s="50">
        <f t="shared" ref="AI110" si="958">SUM(AI106:AI109)</f>
        <v>-267577.1998097098</v>
      </c>
      <c r="AJ110" s="50">
        <f t="shared" ref="AJ110" si="959">SUM(AJ106:AJ109)</f>
        <v>-269054.77221202792</v>
      </c>
      <c r="AK110" s="50">
        <f t="shared" ref="AK110" si="960">SUM(AK106:AK109)</f>
        <v>-268923.38430027844</v>
      </c>
      <c r="AL110" s="50">
        <f t="shared" ref="AL110" si="961">SUM(AL106:AL109)</f>
        <v>-270527.99565732409</v>
      </c>
      <c r="AM110" s="50">
        <f t="shared" ref="AM110" si="962">SUM(AM106:AM109)</f>
        <v>-282004.54915169033</v>
      </c>
      <c r="AN110" s="50">
        <f t="shared" ref="AN110" si="963">SUM(AN106:AN109)</f>
        <v>-283818.57199127146</v>
      </c>
      <c r="AO110" s="50">
        <f t="shared" ref="AO110" si="964">SUM(AO106:AO109)</f>
        <v>-284800.8086910409</v>
      </c>
      <c r="AP110" s="50">
        <f t="shared" ref="AP110" si="965">SUM(AP106:AP109)</f>
        <v>-289958.26041014324</v>
      </c>
      <c r="AQ110" s="50">
        <f t="shared" ref="AQ110" si="966">SUM(AQ106:AQ109)</f>
        <v>-302560.35654629173</v>
      </c>
      <c r="AR110" s="50">
        <f t="shared" ref="AR110" si="967">SUM(AR106:AR109)</f>
        <v>-304807.88296505157</v>
      </c>
      <c r="AS110" s="50">
        <f t="shared" ref="AS110" si="968">SUM(AS106:AS109)</f>
        <v>-311320.56174884207</v>
      </c>
      <c r="AT110" s="50">
        <f t="shared" ref="AT110" si="969">SUM(AT106:AT109)</f>
        <v>-317285.65417933604</v>
      </c>
      <c r="AU110" s="50">
        <f t="shared" ref="AU110" si="970">SUM(AU106:AU109)</f>
        <v>-331415.09083595534</v>
      </c>
      <c r="AV110" s="50">
        <f t="shared" ref="AV110" si="971">SUM(AV106:AV109)</f>
        <v>-334232.91961605067</v>
      </c>
      <c r="AW110" s="50">
        <f t="shared" ref="AW110" si="972">SUM(AW106:AW109)</f>
        <v>-342444.36981896288</v>
      </c>
      <c r="AX110" s="50">
        <f t="shared" ref="AX110" si="973">SUM(AX106:AX109)</f>
        <v>-349393.05734961119</v>
      </c>
      <c r="AY110" s="50">
        <f t="shared" ref="AY110" si="974">SUM(AY106:AY109)</f>
        <v>-365733.52942248672</v>
      </c>
      <c r="AZ110" s="50">
        <f t="shared" ref="AZ110" si="975">SUM(AZ106:AZ109)</f>
        <v>-369278.93951578223</v>
      </c>
      <c r="BA110" s="50">
        <f t="shared" ref="BA110" si="976">SUM(BA106:BA109)</f>
        <v>-374196.2049268941</v>
      </c>
      <c r="BB110" s="50">
        <f t="shared" ref="BB110" si="977">SUM(BB106:BB109)</f>
        <v>-378056.14080406149</v>
      </c>
      <c r="BC110" s="50">
        <f t="shared" ref="BC110" si="978">SUM(BC106:BC109)</f>
        <v>-396114.11531069805</v>
      </c>
      <c r="BD110" s="50">
        <f t="shared" ref="BD110" si="979">SUM(BD106:BD109)</f>
        <v>-400459.84303265286</v>
      </c>
      <c r="BE110" s="50">
        <f t="shared" ref="BE110" si="980">SUM(BE106:BE109)</f>
        <v>-401464.06336951582</v>
      </c>
      <c r="BF110" s="50">
        <f t="shared" ref="BF110" si="981">SUM(BF106:BF109)</f>
        <v>-410647.22942953644</v>
      </c>
      <c r="BG110" s="50">
        <f t="shared" ref="BG110" si="982">SUM(BG106:BG109)</f>
        <v>-430030.96879077202</v>
      </c>
      <c r="BH110" s="50">
        <f t="shared" ref="BH110" si="983">SUM(BH106:BH109)</f>
        <v>-435317.56829178403</v>
      </c>
      <c r="BI110" s="50">
        <f t="shared" ref="BI110" si="984">SUM(BI106:BI109)</f>
        <v>-441332.18035665364</v>
      </c>
      <c r="BJ110" s="50">
        <f t="shared" ref="BJ110" si="985">SUM(BJ106:BJ109)</f>
        <v>-452033.85024952004</v>
      </c>
      <c r="BK110" s="50">
        <f t="shared" ref="BK110" si="986">SUM(BK106:BK109)</f>
        <v>-474900.04558108875</v>
      </c>
      <c r="BL110" s="50">
        <f t="shared" ref="BL110" si="987">SUM(BL106:BL109)</f>
        <v>-481410.06310382724</v>
      </c>
      <c r="BM110" s="50">
        <f t="shared" ref="BM110" si="988">SUM(BM106:BM109)</f>
        <v>-485897.48187102954</v>
      </c>
      <c r="BN110" s="50">
        <f t="shared" ref="BN110" si="989">SUM(BN106:BN109)</f>
        <v>-498390.59725498041</v>
      </c>
      <c r="BO110" s="50">
        <f t="shared" ref="BO110" si="990">SUM(BO106:BO109)</f>
        <v>-524150.20804121939</v>
      </c>
      <c r="BP110" s="50">
        <f t="shared" ref="BP110" si="991">SUM(BP106:BP109)</f>
        <v>-532107.36435341078</v>
      </c>
      <c r="BQ110" s="50">
        <f t="shared" ref="BQ110" si="992">SUM(BQ106:BQ109)</f>
        <v>-543411.06145455781</v>
      </c>
      <c r="BR110" s="50">
        <f t="shared" ref="BR110" si="993">SUM(BR106:BR109)</f>
        <v>-552072.04624095908</v>
      </c>
      <c r="BS110" s="50">
        <f t="shared" ref="BS110" si="994">SUM(BS106:BS109)</f>
        <v>-582057.20960733155</v>
      </c>
      <c r="BT110" s="50">
        <f t="shared" ref="BT110" si="995">SUM(BT106:BT109)</f>
        <v>-591800.23856142524</v>
      </c>
      <c r="BU110" s="50">
        <f t="shared" ref="BU110" si="996">SUM(BU106:BU109)</f>
        <v>-609472.82706001995</v>
      </c>
      <c r="BV110" s="50">
        <f t="shared" ref="BV110" si="997">SUM(BV106:BV109)</f>
        <v>-627037.79635345598</v>
      </c>
      <c r="BW110" s="50">
        <f t="shared" ref="BW110" si="998">SUM(BW106:BW109)</f>
        <v>-661055.9877793896</v>
      </c>
      <c r="BX110" s="50">
        <f t="shared" ref="BX110" si="999">SUM(BX106:BX109)</f>
        <v>-673138.34425145015</v>
      </c>
      <c r="BY110" s="50">
        <f t="shared" ref="BY110" si="1000">SUM(BY106:BY109)</f>
        <v>-678003.23004666786</v>
      </c>
      <c r="BZ110" s="50">
        <f t="shared" ref="BZ110" si="1001">SUM(BZ106:BZ109)</f>
        <v>-698604.05313576525</v>
      </c>
      <c r="CA110" s="50">
        <f t="shared" ref="CA110" si="1002">SUM(CA106:CA109)</f>
        <v>-738472.43857969111</v>
      </c>
      <c r="CB110" s="50">
        <f t="shared" ref="CB110" si="1003">SUM(CB106:CB109)</f>
        <v>-753146.9221272443</v>
      </c>
      <c r="CC110" s="50">
        <f t="shared" ref="CC110" si="1004">SUM(CC106:CC109)</f>
        <v>-763556.71128147538</v>
      </c>
      <c r="CD110" s="50">
        <f t="shared" ref="CD110" si="1005">SUM(CD106:CD109)</f>
        <v>-787987.57541403396</v>
      </c>
      <c r="CE110" s="50">
        <f t="shared" ref="CE110" si="1006">SUM(CE106:CE109)</f>
        <v>-832762.2431354688</v>
      </c>
      <c r="CF110" s="50">
        <f t="shared" ref="CF110" si="1007">SUM(CF106:CF109)</f>
        <v>-850590.13549392857</v>
      </c>
      <c r="CG110" s="50">
        <f t="shared" ref="CG110" si="1008">SUM(CG106:CG109)</f>
        <v>-859682.95768752904</v>
      </c>
      <c r="CH110" s="50">
        <f t="shared" ref="CH110" si="1009">SUM(CH106:CH109)</f>
        <v>-878753.4477151098</v>
      </c>
      <c r="CI110" s="50">
        <f t="shared" ref="CI110" si="1010">SUM(CI106:CI109)</f>
        <v>-931636.3576317986</v>
      </c>
      <c r="CJ110" s="50">
        <f t="shared" ref="CJ110" si="1011">SUM(CJ106:CJ109)</f>
        <v>-953017.26737768017</v>
      </c>
      <c r="CK110" s="50">
        <f t="shared" ref="CK110" si="1012">SUM(CK106:CK109)</f>
        <v>-954049.94454037282</v>
      </c>
      <c r="CL110" s="50">
        <f t="shared" ref="CL110" si="1013">SUM(CL106:CL109)</f>
        <v>-987519.65520501556</v>
      </c>
      <c r="CM110" s="50">
        <f t="shared" ref="CM110" si="1014">SUM(CM106:CM109)</f>
        <v>-1047703.0320208003</v>
      </c>
      <c r="CN110" s="50">
        <f t="shared" ref="CN110" si="1015">SUM(CN106:CN109)</f>
        <v>-1073327.4231763738</v>
      </c>
    </row>
    <row r="111" spans="4:92" ht="12.75" customHeight="1" x14ac:dyDescent="0.3">
      <c r="D111" s="15"/>
      <c r="H111" s="1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</row>
    <row r="112" spans="4:92" ht="12.75" customHeight="1" x14ac:dyDescent="0.3">
      <c r="D112" s="25" t="s">
        <v>162</v>
      </c>
      <c r="H112" s="1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</row>
    <row r="113" spans="1:92" ht="12.75" customHeight="1" x14ac:dyDescent="0.3">
      <c r="D113" s="15" t="s">
        <v>31</v>
      </c>
      <c r="H113" s="16" t="s">
        <v>1</v>
      </c>
      <c r="J113" s="58">
        <f>SUM(L113:CN113)</f>
        <v>804509498.59901774</v>
      </c>
      <c r="L113" s="15">
        <f>SUM(L92,L99,L106)</f>
        <v>0</v>
      </c>
      <c r="M113" s="15">
        <f t="shared" ref="M113:R113" si="1016">SUM(M92,M99,M106)</f>
        <v>671228.81279999996</v>
      </c>
      <c r="N113" s="15">
        <f t="shared" si="1016"/>
        <v>732981.8635776001</v>
      </c>
      <c r="O113" s="15">
        <f t="shared" si="1016"/>
        <v>810879.54812927998</v>
      </c>
      <c r="P113" s="15">
        <f t="shared" si="1016"/>
        <v>875749.91197962256</v>
      </c>
      <c r="Q113" s="15">
        <f t="shared" si="1016"/>
        <v>919752.35757834266</v>
      </c>
      <c r="R113" s="15">
        <f t="shared" si="1016"/>
        <v>1004369.5744755502</v>
      </c>
      <c r="S113" s="15">
        <f t="shared" ref="S113:CD113" si="1017">SUM(S92,S99,S106)</f>
        <v>1114324.9036199586</v>
      </c>
      <c r="T113" s="15">
        <f t="shared" si="1017"/>
        <v>1181184.3978371562</v>
      </c>
      <c r="U113" s="15">
        <f t="shared" si="1017"/>
        <v>1236104.2417454424</v>
      </c>
      <c r="V113" s="15">
        <f t="shared" si="1017"/>
        <v>1310270.4962501687</v>
      </c>
      <c r="W113" s="15">
        <f t="shared" si="1017"/>
        <v>1423167.9150541525</v>
      </c>
      <c r="X113" s="15">
        <f t="shared" si="1017"/>
        <v>1508557.9899574018</v>
      </c>
      <c r="Y113" s="15">
        <f t="shared" si="1017"/>
        <v>1562068.3811016721</v>
      </c>
      <c r="Z113" s="15">
        <f t="shared" si="1017"/>
        <v>1674190.1782340812</v>
      </c>
      <c r="AA113" s="15">
        <f t="shared" si="1017"/>
        <v>1853879.6786295215</v>
      </c>
      <c r="AB113" s="15">
        <f t="shared" si="1017"/>
        <v>1965112.459347293</v>
      </c>
      <c r="AC113" s="15">
        <f t="shared" si="1017"/>
        <v>2037455.8704164573</v>
      </c>
      <c r="AD113" s="15">
        <f t="shared" si="1017"/>
        <v>2183699.9251152384</v>
      </c>
      <c r="AE113" s="15">
        <f t="shared" si="1017"/>
        <v>2378546.8718932527</v>
      </c>
      <c r="AF113" s="15">
        <f t="shared" si="1017"/>
        <v>2521259.6842068476</v>
      </c>
      <c r="AG113" s="15">
        <f t="shared" si="1017"/>
        <v>2556884.9049698538</v>
      </c>
      <c r="AH113" s="15">
        <f t="shared" si="1017"/>
        <v>2688706.5267371889</v>
      </c>
      <c r="AI113" s="15">
        <f t="shared" si="1017"/>
        <v>2915530.9718441889</v>
      </c>
      <c r="AJ113" s="15">
        <f t="shared" si="1017"/>
        <v>3032152.2107179561</v>
      </c>
      <c r="AK113" s="15">
        <f t="shared" si="1017"/>
        <v>3117215.9402258433</v>
      </c>
      <c r="AL113" s="15">
        <f t="shared" si="1017"/>
        <v>3241904.5778348772</v>
      </c>
      <c r="AM113" s="15">
        <f t="shared" si="1017"/>
        <v>3463928.6426545032</v>
      </c>
      <c r="AN113" s="15">
        <f t="shared" si="1017"/>
        <v>3602485.7883606832</v>
      </c>
      <c r="AO113" s="15">
        <f t="shared" si="1017"/>
        <v>3657173.3543962613</v>
      </c>
      <c r="AP113" s="15">
        <f t="shared" si="1017"/>
        <v>3845720.9584451346</v>
      </c>
      <c r="AQ113" s="15">
        <f t="shared" si="1017"/>
        <v>4163091.8096349896</v>
      </c>
      <c r="AR113" s="15">
        <f t="shared" si="1017"/>
        <v>4329615.4820203902</v>
      </c>
      <c r="AS113" s="15">
        <f t="shared" si="1017"/>
        <v>4384219.0698690992</v>
      </c>
      <c r="AT113" s="15">
        <f t="shared" si="1017"/>
        <v>4610249.9196934635</v>
      </c>
      <c r="AU113" s="15">
        <f t="shared" si="1017"/>
        <v>4927245.1401100568</v>
      </c>
      <c r="AV113" s="15">
        <f t="shared" si="1017"/>
        <v>5124334.9457144598</v>
      </c>
      <c r="AW113" s="15">
        <f t="shared" si="1017"/>
        <v>5190129.2025501635</v>
      </c>
      <c r="AX113" s="15">
        <f t="shared" si="1017"/>
        <v>5457709.1969927512</v>
      </c>
      <c r="AY113" s="15">
        <f t="shared" si="1017"/>
        <v>5914361.29147569</v>
      </c>
      <c r="AZ113" s="15">
        <f t="shared" si="1017"/>
        <v>6150935.7431347165</v>
      </c>
      <c r="BA113" s="15">
        <f t="shared" si="1017"/>
        <v>6315468.1535492912</v>
      </c>
      <c r="BB113" s="15">
        <f t="shared" si="1017"/>
        <v>6568086.8796912618</v>
      </c>
      <c r="BC113" s="15">
        <f t="shared" si="1017"/>
        <v>7110368.5640747575</v>
      </c>
      <c r="BD113" s="15">
        <f t="shared" si="1017"/>
        <v>7394783.3066377481</v>
      </c>
      <c r="BE113" s="15">
        <f t="shared" si="1017"/>
        <v>7508925.3173409337</v>
      </c>
      <c r="BF113" s="15">
        <f t="shared" si="1017"/>
        <v>7896052.1337016234</v>
      </c>
      <c r="BG113" s="15">
        <f t="shared" si="1017"/>
        <v>8438636.1605493091</v>
      </c>
      <c r="BH113" s="15">
        <f t="shared" si="1017"/>
        <v>8776181.6069712825</v>
      </c>
      <c r="BI113" s="15">
        <f t="shared" si="1017"/>
        <v>8902094.4909743536</v>
      </c>
      <c r="BJ113" s="15">
        <f t="shared" si="1017"/>
        <v>9361046.9180645887</v>
      </c>
      <c r="BK113" s="15">
        <f t="shared" si="1017"/>
        <v>10117426.886584101</v>
      </c>
      <c r="BL113" s="15">
        <f t="shared" si="1017"/>
        <v>10522123.962047467</v>
      </c>
      <c r="BM113" s="15">
        <f t="shared" si="1017"/>
        <v>10678761.867409585</v>
      </c>
      <c r="BN113" s="15">
        <f t="shared" si="1017"/>
        <v>11229311.368129367</v>
      </c>
      <c r="BO113" s="15">
        <f t="shared" si="1017"/>
        <v>12040239.835922912</v>
      </c>
      <c r="BP113" s="15">
        <f t="shared" si="1017"/>
        <v>12521849.429359827</v>
      </c>
      <c r="BQ113" s="15">
        <f t="shared" si="1017"/>
        <v>12855039.119911168</v>
      </c>
      <c r="BR113" s="15">
        <f t="shared" si="1017"/>
        <v>13369240.684707614</v>
      </c>
      <c r="BS113" s="15">
        <f t="shared" si="1017"/>
        <v>14472901.574047424</v>
      </c>
      <c r="BT113" s="15">
        <f t="shared" si="1017"/>
        <v>15051817.637009321</v>
      </c>
      <c r="BU113" s="15">
        <f t="shared" si="1017"/>
        <v>15243429.555274602</v>
      </c>
      <c r="BV113" s="15">
        <f t="shared" si="1017"/>
        <v>16029313.034568762</v>
      </c>
      <c r="BW113" s="15">
        <f t="shared" si="1017"/>
        <v>17278357.456281297</v>
      </c>
      <c r="BX113" s="15">
        <f t="shared" si="1017"/>
        <v>17969491.75453255</v>
      </c>
      <c r="BY113" s="15">
        <f t="shared" si="1017"/>
        <v>18253276.657585915</v>
      </c>
      <c r="BZ113" s="15">
        <f t="shared" si="1017"/>
        <v>19194334.47637701</v>
      </c>
      <c r="CA113" s="15">
        <f t="shared" si="1017"/>
        <v>20645182.339915864</v>
      </c>
      <c r="CB113" s="15">
        <f t="shared" si="1017"/>
        <v>21470989.633512497</v>
      </c>
      <c r="CC113" s="15">
        <f t="shared" si="1017"/>
        <v>21802265.091816753</v>
      </c>
      <c r="CD113" s="15">
        <f t="shared" si="1017"/>
        <v>22926292.980994869</v>
      </c>
      <c r="CE113" s="15">
        <f t="shared" ref="CE113:CN113" si="1018">SUM(CE92,CE99,CE106)</f>
        <v>24677963.838039868</v>
      </c>
      <c r="CF113" s="15">
        <f t="shared" si="1018"/>
        <v>25665082.391561463</v>
      </c>
      <c r="CG113" s="15">
        <f t="shared" si="1018"/>
        <v>26401558.668884527</v>
      </c>
      <c r="CH113" s="15">
        <f t="shared" si="1018"/>
        <v>27457621.015639916</v>
      </c>
      <c r="CI113" s="15">
        <f t="shared" si="1018"/>
        <v>29631682.872076318</v>
      </c>
      <c r="CJ113" s="15">
        <f t="shared" si="1018"/>
        <v>30816950.186959371</v>
      </c>
      <c r="CK113" s="15">
        <f t="shared" si="1018"/>
        <v>31352897.146732576</v>
      </c>
      <c r="CL113" s="15">
        <f t="shared" si="1018"/>
        <v>32969313.177408572</v>
      </c>
      <c r="CM113" s="15">
        <f t="shared" si="1018"/>
        <v>35418999.845509648</v>
      </c>
      <c r="CN113" s="15">
        <f t="shared" si="1018"/>
        <v>36835759.839330032</v>
      </c>
    </row>
    <row r="114" spans="1:92" ht="12.75" customHeight="1" x14ac:dyDescent="0.3">
      <c r="D114" s="15" t="s">
        <v>32</v>
      </c>
      <c r="H114" s="16" t="s">
        <v>1</v>
      </c>
      <c r="J114" s="58">
        <f>SUM(L114:CN114)</f>
        <v>618926919.53866315</v>
      </c>
      <c r="L114" s="15">
        <f t="shared" ref="L114:R116" si="1019">SUM(L93,L100,L107)</f>
        <v>0</v>
      </c>
      <c r="M114" s="15">
        <f t="shared" si="1019"/>
        <v>7305641.2800000003</v>
      </c>
      <c r="N114" s="15">
        <f t="shared" si="1019"/>
        <v>7372041.4418559996</v>
      </c>
      <c r="O114" s="15">
        <f t="shared" si="1019"/>
        <v>7636173.1244547833</v>
      </c>
      <c r="P114" s="15">
        <f t="shared" si="1019"/>
        <v>7620900.7782058753</v>
      </c>
      <c r="Q114" s="15">
        <f t="shared" si="1019"/>
        <v>7408649.468725373</v>
      </c>
      <c r="R114" s="15">
        <f t="shared" si="1019"/>
        <v>7475985.8605633443</v>
      </c>
      <c r="S114" s="15">
        <f t="shared" ref="S114:CD114" si="1020">SUM(S93,S100,S107)</f>
        <v>7714570.6402081959</v>
      </c>
      <c r="T114" s="15">
        <f t="shared" si="1020"/>
        <v>7675997.7870071568</v>
      </c>
      <c r="U114" s="15">
        <f t="shared" si="1020"/>
        <v>7545191.0470872922</v>
      </c>
      <c r="V114" s="15">
        <f t="shared" si="1020"/>
        <v>7507465.0918518547</v>
      </c>
      <c r="W114" s="15">
        <f t="shared" si="1020"/>
        <v>7756517.7789136134</v>
      </c>
      <c r="X114" s="15">
        <f t="shared" si="1020"/>
        <v>7717735.1900190432</v>
      </c>
      <c r="Y114" s="15">
        <f t="shared" si="1020"/>
        <v>7504226.0837521069</v>
      </c>
      <c r="Z114" s="15">
        <f t="shared" si="1020"/>
        <v>7549668.3417037157</v>
      </c>
      <c r="AA114" s="15">
        <f t="shared" si="1020"/>
        <v>7710271.1385940351</v>
      </c>
      <c r="AB114" s="15">
        <f t="shared" si="1020"/>
        <v>7671719.7829010645</v>
      </c>
      <c r="AC114" s="15">
        <f t="shared" si="1020"/>
        <v>7466858.0927903252</v>
      </c>
      <c r="AD114" s="15">
        <f t="shared" si="1020"/>
        <v>7512074.0667966641</v>
      </c>
      <c r="AE114" s="15">
        <f t="shared" si="1020"/>
        <v>7752894.1809777077</v>
      </c>
      <c r="AF114" s="15">
        <f t="shared" si="1020"/>
        <v>7714129.7100728182</v>
      </c>
      <c r="AG114" s="15">
        <f t="shared" si="1020"/>
        <v>7493406.3201584173</v>
      </c>
      <c r="AH114" s="15">
        <f t="shared" si="1020"/>
        <v>7538783.0584304873</v>
      </c>
      <c r="AI114" s="15">
        <f t="shared" si="1020"/>
        <v>7775399.7894526366</v>
      </c>
      <c r="AJ114" s="15">
        <f t="shared" si="1020"/>
        <v>7736522.7905053739</v>
      </c>
      <c r="AK114" s="15">
        <f t="shared" si="1020"/>
        <v>7611442.0219122162</v>
      </c>
      <c r="AL114" s="15">
        <f t="shared" si="1020"/>
        <v>7573384.8118026545</v>
      </c>
      <c r="AM114" s="15">
        <f t="shared" si="1020"/>
        <v>7806318.1256365897</v>
      </c>
      <c r="AN114" s="15">
        <f t="shared" si="1020"/>
        <v>7767286.5350084072</v>
      </c>
      <c r="AO114" s="15">
        <f t="shared" si="1020"/>
        <v>7549478.6892985143</v>
      </c>
      <c r="AP114" s="15">
        <f t="shared" si="1020"/>
        <v>7595194.9769170443</v>
      </c>
      <c r="AQ114" s="15">
        <f t="shared" si="1020"/>
        <v>7824210.6954861702</v>
      </c>
      <c r="AR114" s="15">
        <f t="shared" si="1020"/>
        <v>7785089.6420087395</v>
      </c>
      <c r="AS114" s="15">
        <f t="shared" si="1020"/>
        <v>7556335.1838388843</v>
      </c>
      <c r="AT114" s="15">
        <f t="shared" si="1020"/>
        <v>7602092.9913410209</v>
      </c>
      <c r="AU114" s="15">
        <f t="shared" si="1020"/>
        <v>7841189.6912654275</v>
      </c>
      <c r="AV114" s="15">
        <f t="shared" si="1020"/>
        <v>7801983.7428091001</v>
      </c>
      <c r="AW114" s="15">
        <f t="shared" si="1020"/>
        <v>7571061.206825668</v>
      </c>
      <c r="AX114" s="15">
        <f t="shared" si="1020"/>
        <v>7616908.1885781111</v>
      </c>
      <c r="AY114" s="15">
        <f t="shared" si="1020"/>
        <v>7852132.8620161163</v>
      </c>
      <c r="AZ114" s="15">
        <f t="shared" si="1020"/>
        <v>7812872.1977060353</v>
      </c>
      <c r="BA114" s="15">
        <f t="shared" si="1020"/>
        <v>7680349.8454163391</v>
      </c>
      <c r="BB114" s="15">
        <f t="shared" si="1020"/>
        <v>7641948.0961892568</v>
      </c>
      <c r="BC114" s="15">
        <f t="shared" si="1020"/>
        <v>7873507.6425504489</v>
      </c>
      <c r="BD114" s="15">
        <f t="shared" si="1020"/>
        <v>7834140.1043376969</v>
      </c>
      <c r="BE114" s="15">
        <f t="shared" si="1020"/>
        <v>7617263.4966669912</v>
      </c>
      <c r="BF114" s="15">
        <f t="shared" si="1020"/>
        <v>7663390.2589523625</v>
      </c>
      <c r="BG114" s="15">
        <f t="shared" si="1020"/>
        <v>7891342.0841196943</v>
      </c>
      <c r="BH114" s="15">
        <f t="shared" si="1020"/>
        <v>7851885.373699096</v>
      </c>
      <c r="BI114" s="15">
        <f t="shared" si="1020"/>
        <v>7628335.5590921547</v>
      </c>
      <c r="BJ114" s="15">
        <f t="shared" si="1020"/>
        <v>7674529.3688666588</v>
      </c>
      <c r="BK114" s="15">
        <f t="shared" si="1020"/>
        <v>7913261.9092873354</v>
      </c>
      <c r="BL114" s="15">
        <f t="shared" si="1020"/>
        <v>7873695.5997408982</v>
      </c>
      <c r="BM114" s="15">
        <f t="shared" si="1020"/>
        <v>7653414.0879108207</v>
      </c>
      <c r="BN114" s="15">
        <f t="shared" si="1020"/>
        <v>7699759.7621098384</v>
      </c>
      <c r="BO114" s="15">
        <f t="shared" si="1020"/>
        <v>7935002.9718769034</v>
      </c>
      <c r="BP114" s="15">
        <f t="shared" si="1020"/>
        <v>7895327.9570175195</v>
      </c>
      <c r="BQ114" s="15">
        <f t="shared" si="1020"/>
        <v>7760439.4946875945</v>
      </c>
      <c r="BR114" s="15">
        <f t="shared" si="1020"/>
        <v>7721637.2972141551</v>
      </c>
      <c r="BS114" s="15">
        <f t="shared" si="1020"/>
        <v>7953434.1815522816</v>
      </c>
      <c r="BT114" s="15">
        <f t="shared" si="1020"/>
        <v>7913667.0106445206</v>
      </c>
      <c r="BU114" s="15">
        <f t="shared" si="1020"/>
        <v>7682531.1888735769</v>
      </c>
      <c r="BV114" s="15">
        <f t="shared" si="1020"/>
        <v>7729053.1832950879</v>
      </c>
      <c r="BW114" s="15">
        <f t="shared" si="1020"/>
        <v>7972114.2079282887</v>
      </c>
      <c r="BX114" s="15">
        <f t="shared" si="1020"/>
        <v>7932253.6368886465</v>
      </c>
      <c r="BY114" s="15">
        <f t="shared" si="1020"/>
        <v>7714941.652986465</v>
      </c>
      <c r="BZ114" s="15">
        <f t="shared" si="1020"/>
        <v>7761659.9107739944</v>
      </c>
      <c r="CA114" s="15">
        <f t="shared" si="1020"/>
        <v>8007820.740127678</v>
      </c>
      <c r="CB114" s="15">
        <f t="shared" si="1020"/>
        <v>7967781.6364270393</v>
      </c>
      <c r="CC114" s="15">
        <f t="shared" si="1020"/>
        <v>7744697.2300158115</v>
      </c>
      <c r="CD114" s="15">
        <f t="shared" si="1020"/>
        <v>7791595.6743531292</v>
      </c>
      <c r="CE114" s="15">
        <f t="shared" ref="CE114:CN114" si="1021">SUM(CE93,CE100,CE107)</f>
        <v>8027944.9956398858</v>
      </c>
      <c r="CF114" s="15">
        <f t="shared" si="1021"/>
        <v>7987805.2706616847</v>
      </c>
      <c r="CG114" s="15">
        <f t="shared" si="1021"/>
        <v>7861476.3938267641</v>
      </c>
      <c r="CH114" s="15">
        <f t="shared" si="1021"/>
        <v>7822169.0118576298</v>
      </c>
      <c r="CI114" s="15">
        <f t="shared" si="1021"/>
        <v>8068963.7712651305</v>
      </c>
      <c r="CJ114" s="15">
        <f t="shared" si="1021"/>
        <v>8028618.9524088055</v>
      </c>
      <c r="CK114" s="15">
        <f t="shared" si="1021"/>
        <v>7814813.3390022665</v>
      </c>
      <c r="CL114" s="15">
        <f t="shared" si="1021"/>
        <v>7862136.3753328919</v>
      </c>
      <c r="CM114" s="15">
        <f t="shared" si="1021"/>
        <v>8091431.5075624567</v>
      </c>
      <c r="CN114" s="15">
        <f t="shared" si="1021"/>
        <v>8050974.3500246443</v>
      </c>
    </row>
    <row r="115" spans="1:92" ht="12.75" customHeight="1" x14ac:dyDescent="0.3">
      <c r="D115" s="15" t="s">
        <v>33</v>
      </c>
      <c r="H115" s="16" t="s">
        <v>1</v>
      </c>
      <c r="J115" s="58">
        <f>SUM(L115:CN115)</f>
        <v>351233727.64842302</v>
      </c>
      <c r="L115" s="15">
        <f t="shared" si="1019"/>
        <v>0</v>
      </c>
      <c r="M115" s="15">
        <f t="shared" si="1019"/>
        <v>3095386.7615999999</v>
      </c>
      <c r="N115" s="15">
        <f t="shared" si="1019"/>
        <v>3142299.0676313597</v>
      </c>
      <c r="O115" s="15">
        <f t="shared" si="1019"/>
        <v>3261623.8673338164</v>
      </c>
      <c r="P115" s="15">
        <f t="shared" si="1019"/>
        <v>3274670.3628031514</v>
      </c>
      <c r="Q115" s="15">
        <f t="shared" si="1019"/>
        <v>3206905.4018531968</v>
      </c>
      <c r="R115" s="15">
        <f t="shared" si="1019"/>
        <v>3255507.834832394</v>
      </c>
      <c r="S115" s="15">
        <f t="shared" ref="S115:CD115" si="1022">SUM(S94,S101,S108)</f>
        <v>3371353.3223497253</v>
      </c>
      <c r="T115" s="15">
        <f t="shared" si="1022"/>
        <v>3378096.0289944243</v>
      </c>
      <c r="U115" s="15">
        <f t="shared" si="1022"/>
        <v>3345441.9528455921</v>
      </c>
      <c r="V115" s="15">
        <f t="shared" si="1022"/>
        <v>3352132.8367512831</v>
      </c>
      <c r="W115" s="15">
        <f t="shared" si="1022"/>
        <v>3496161.396356306</v>
      </c>
      <c r="X115" s="15">
        <f t="shared" si="1022"/>
        <v>3503153.7191490177</v>
      </c>
      <c r="Y115" s="15">
        <f t="shared" si="1022"/>
        <v>3431243.2188754226</v>
      </c>
      <c r="Z115" s="15">
        <f t="shared" si="1022"/>
        <v>3476306.8798166532</v>
      </c>
      <c r="AA115" s="15">
        <f t="shared" si="1022"/>
        <v>3600864.8547421461</v>
      </c>
      <c r="AB115" s="15">
        <f t="shared" si="1022"/>
        <v>3608066.5844516302</v>
      </c>
      <c r="AC115" s="15">
        <f t="shared" si="1022"/>
        <v>3536474.9393388308</v>
      </c>
      <c r="AD115" s="15">
        <f t="shared" si="1022"/>
        <v>3582920.6435421468</v>
      </c>
      <c r="AE115" s="15">
        <f t="shared" si="1022"/>
        <v>3709515.2301845877</v>
      </c>
      <c r="AF115" s="15">
        <f t="shared" si="1022"/>
        <v>3716934.260644957</v>
      </c>
      <c r="AG115" s="15">
        <f t="shared" si="1022"/>
        <v>3637903.8059292929</v>
      </c>
      <c r="AH115" s="15">
        <f t="shared" si="1022"/>
        <v>3685681.6092471643</v>
      </c>
      <c r="AI115" s="15">
        <f t="shared" si="1022"/>
        <v>3839770.3652889566</v>
      </c>
      <c r="AJ115" s="15">
        <f t="shared" si="1022"/>
        <v>3847449.9060195354</v>
      </c>
      <c r="AK115" s="15">
        <f t="shared" si="1022"/>
        <v>3812122.4307974465</v>
      </c>
      <c r="AL115" s="15">
        <f t="shared" si="1022"/>
        <v>3819746.6756590419</v>
      </c>
      <c r="AM115" s="15">
        <f t="shared" si="1022"/>
        <v>3955838.0890761944</v>
      </c>
      <c r="AN115" s="15">
        <f t="shared" si="1022"/>
        <v>3963749.7652543467</v>
      </c>
      <c r="AO115" s="15">
        <f t="shared" si="1022"/>
        <v>3881174.7495819912</v>
      </c>
      <c r="AP115" s="15">
        <f t="shared" si="1022"/>
        <v>3932147.5112931682</v>
      </c>
      <c r="AQ115" s="15">
        <f t="shared" si="1022"/>
        <v>4075574.1998763881</v>
      </c>
      <c r="AR115" s="15">
        <f t="shared" si="1022"/>
        <v>4083725.3482761397</v>
      </c>
      <c r="AS115" s="15">
        <f t="shared" si="1022"/>
        <v>3995623.2834121631</v>
      </c>
      <c r="AT115" s="15">
        <f t="shared" si="1022"/>
        <v>4048099.1358676427</v>
      </c>
      <c r="AU115" s="15">
        <f t="shared" si="1022"/>
        <v>4207625.0161131881</v>
      </c>
      <c r="AV115" s="15">
        <f t="shared" si="1022"/>
        <v>4216040.2661454156</v>
      </c>
      <c r="AW115" s="15">
        <f t="shared" si="1022"/>
        <v>4123332.2125340449</v>
      </c>
      <c r="AX115" s="15">
        <f t="shared" si="1022"/>
        <v>4177485.3089253251</v>
      </c>
      <c r="AY115" s="15">
        <f t="shared" si="1022"/>
        <v>4327375.0767955715</v>
      </c>
      <c r="AZ115" s="15">
        <f t="shared" si="1022"/>
        <v>4336029.8269491624</v>
      </c>
      <c r="BA115" s="15">
        <f t="shared" si="1022"/>
        <v>4294151.3390614176</v>
      </c>
      <c r="BB115" s="15">
        <f t="shared" si="1022"/>
        <v>4302739.6417395407</v>
      </c>
      <c r="BC115" s="15">
        <f t="shared" si="1022"/>
        <v>4476367.7107171593</v>
      </c>
      <c r="BD115" s="15">
        <f t="shared" si="1022"/>
        <v>4485320.4461385934</v>
      </c>
      <c r="BE115" s="15">
        <f t="shared" si="1022"/>
        <v>4393142.4188825041</v>
      </c>
      <c r="BF115" s="15">
        <f t="shared" si="1022"/>
        <v>4450839.0226504924</v>
      </c>
      <c r="BG115" s="15">
        <f t="shared" si="1022"/>
        <v>4627017.6324221557</v>
      </c>
      <c r="BH115" s="15">
        <f t="shared" si="1022"/>
        <v>4636271.6676869998</v>
      </c>
      <c r="BI115" s="15">
        <f t="shared" si="1022"/>
        <v>4537814.0679681757</v>
      </c>
      <c r="BJ115" s="15">
        <f t="shared" si="1022"/>
        <v>4597410.6927274922</v>
      </c>
      <c r="BK115" s="15">
        <f t="shared" si="1022"/>
        <v>4762127.6198534109</v>
      </c>
      <c r="BL115" s="15">
        <f t="shared" si="1022"/>
        <v>4771651.8750931164</v>
      </c>
      <c r="BM115" s="15">
        <f t="shared" si="1022"/>
        <v>4672643.3262110427</v>
      </c>
      <c r="BN115" s="15">
        <f t="shared" si="1022"/>
        <v>4734010.7085619485</v>
      </c>
      <c r="BO115" s="15">
        <f t="shared" si="1022"/>
        <v>4920601.9883239847</v>
      </c>
      <c r="BP115" s="15">
        <f t="shared" si="1022"/>
        <v>4930443.1923006317</v>
      </c>
      <c r="BQ115" s="15">
        <f t="shared" si="1022"/>
        <v>4881707.7396677639</v>
      </c>
      <c r="BR115" s="15">
        <f t="shared" si="1022"/>
        <v>4891471.1551470999</v>
      </c>
      <c r="BS115" s="15">
        <f t="shared" si="1022"/>
        <v>5080779.9286507759</v>
      </c>
      <c r="BT115" s="15">
        <f t="shared" si="1022"/>
        <v>5090941.4885080773</v>
      </c>
      <c r="BU115" s="15">
        <f t="shared" si="1022"/>
        <v>4979085.3841720624</v>
      </c>
      <c r="BV115" s="15">
        <f t="shared" si="1022"/>
        <v>5044477.372217522</v>
      </c>
      <c r="BW115" s="15">
        <f t="shared" si="1022"/>
        <v>5226191.8958251337</v>
      </c>
      <c r="BX115" s="15">
        <f t="shared" si="1022"/>
        <v>5236644.2796167824</v>
      </c>
      <c r="BY115" s="15">
        <f t="shared" si="1022"/>
        <v>5129932.1183810849</v>
      </c>
      <c r="BZ115" s="15">
        <f t="shared" si="1022"/>
        <v>5197305.2268691566</v>
      </c>
      <c r="CA115" s="15">
        <f t="shared" si="1022"/>
        <v>5398026.4930762164</v>
      </c>
      <c r="CB115" s="15">
        <f t="shared" si="1022"/>
        <v>5408822.5460623689</v>
      </c>
      <c r="CC115" s="15">
        <f t="shared" si="1022"/>
        <v>5296921.1830421546</v>
      </c>
      <c r="CD115" s="15">
        <f t="shared" si="1022"/>
        <v>5366487.4145794408</v>
      </c>
      <c r="CE115" s="15">
        <f t="shared" ref="CE115:CN115" si="1023">SUM(CE94,CE101,CE108)</f>
        <v>5576751.8080888949</v>
      </c>
      <c r="CF115" s="15">
        <f t="shared" si="1023"/>
        <v>5587905.3117050724</v>
      </c>
      <c r="CG115" s="15">
        <f t="shared" si="1023"/>
        <v>5538221.5449118689</v>
      </c>
      <c r="CH115" s="15">
        <f t="shared" si="1023"/>
        <v>5549297.988001693</v>
      </c>
      <c r="CI115" s="15">
        <f t="shared" si="1023"/>
        <v>5763067.8316332763</v>
      </c>
      <c r="CJ115" s="15">
        <f t="shared" si="1023"/>
        <v>5774593.9672965445</v>
      </c>
      <c r="CK115" s="15">
        <f t="shared" si="1023"/>
        <v>5660357.4344652425</v>
      </c>
      <c r="CL115" s="15">
        <f t="shared" si="1023"/>
        <v>5734696.7954378873</v>
      </c>
      <c r="CM115" s="15">
        <f t="shared" si="1023"/>
        <v>5952014.8069877671</v>
      </c>
      <c r="CN115" s="15">
        <f t="shared" si="1023"/>
        <v>5963918.8366017416</v>
      </c>
    </row>
    <row r="116" spans="1:92" ht="12.75" customHeight="1" x14ac:dyDescent="0.3">
      <c r="D116" s="15" t="s">
        <v>34</v>
      </c>
      <c r="H116" s="16" t="s">
        <v>1</v>
      </c>
      <c r="J116" s="58">
        <f>SUM(L116:CN116)</f>
        <v>473925384.68667305</v>
      </c>
      <c r="L116" s="15">
        <f t="shared" si="1019"/>
        <v>0</v>
      </c>
      <c r="M116" s="15">
        <f t="shared" si="1019"/>
        <v>3274666.6680000001</v>
      </c>
      <c r="N116" s="15">
        <f t="shared" si="1019"/>
        <v>3364028.6828512</v>
      </c>
      <c r="O116" s="15">
        <f t="shared" si="1019"/>
        <v>3543346.5265056775</v>
      </c>
      <c r="P116" s="15">
        <f t="shared" si="1019"/>
        <v>3600040.070929768</v>
      </c>
      <c r="Q116" s="15">
        <f t="shared" si="1019"/>
        <v>3569507.3742065453</v>
      </c>
      <c r="R116" s="15">
        <f t="shared" si="1019"/>
        <v>3666915.264329337</v>
      </c>
      <c r="S116" s="15">
        <f t="shared" ref="S116:CD116" si="1024">SUM(S95,S102,S109)</f>
        <v>3823239.5016631894</v>
      </c>
      <c r="T116" s="15">
        <f t="shared" si="1024"/>
        <v>3861471.896679821</v>
      </c>
      <c r="U116" s="15">
        <f t="shared" si="1024"/>
        <v>3855515.1246255673</v>
      </c>
      <c r="V116" s="15">
        <f t="shared" si="1024"/>
        <v>3894070.2758718235</v>
      </c>
      <c r="W116" s="15">
        <f t="shared" si="1024"/>
        <v>4076067.8017574707</v>
      </c>
      <c r="X116" s="15">
        <f t="shared" si="1024"/>
        <v>4116828.4797750455</v>
      </c>
      <c r="Y116" s="15">
        <f t="shared" si="1024"/>
        <v>4065634.8548074942</v>
      </c>
      <c r="Z116" s="15">
        <f t="shared" si="1024"/>
        <v>4151916.6611706312</v>
      </c>
      <c r="AA116" s="15">
        <f t="shared" si="1024"/>
        <v>4343347.3606792623</v>
      </c>
      <c r="AB116" s="15">
        <f t="shared" si="1024"/>
        <v>4386780.8342860537</v>
      </c>
      <c r="AC116" s="15">
        <f t="shared" si="1024"/>
        <v>4334147.7230746625</v>
      </c>
      <c r="AD116" s="15">
        <f t="shared" si="1024"/>
        <v>4426127.9691976914</v>
      </c>
      <c r="AE116" s="15">
        <f t="shared" si="1024"/>
        <v>4631327.7025229884</v>
      </c>
      <c r="AF116" s="15">
        <f t="shared" si="1024"/>
        <v>4677640.9795482177</v>
      </c>
      <c r="AG116" s="15">
        <f t="shared" si="1024"/>
        <v>4593688.9749977514</v>
      </c>
      <c r="AH116" s="15">
        <f t="shared" si="1024"/>
        <v>4667953.6134268818</v>
      </c>
      <c r="AI116" s="15">
        <f t="shared" si="1024"/>
        <v>4857436.0130423689</v>
      </c>
      <c r="AJ116" s="15">
        <f t="shared" si="1024"/>
        <v>4881723.1931075808</v>
      </c>
      <c r="AK116" s="15">
        <f t="shared" si="1024"/>
        <v>4851870.2028672732</v>
      </c>
      <c r="AL116" s="15">
        <f t="shared" si="1024"/>
        <v>4876129.5538816098</v>
      </c>
      <c r="AM116" s="15">
        <f t="shared" si="1024"/>
        <v>5075328.2725424767</v>
      </c>
      <c r="AN116" s="15">
        <f t="shared" si="1024"/>
        <v>5100704.9139051884</v>
      </c>
      <c r="AO116" s="15">
        <f t="shared" si="1024"/>
        <v>5011015.997435852</v>
      </c>
      <c r="AP116" s="15">
        <f t="shared" si="1024"/>
        <v>5092027.4227277311</v>
      </c>
      <c r="AQ116" s="15">
        <f t="shared" si="1024"/>
        <v>5318656.7777529359</v>
      </c>
      <c r="AR116" s="15">
        <f t="shared" si="1024"/>
        <v>5345250.0616417015</v>
      </c>
      <c r="AS116" s="15">
        <f t="shared" si="1024"/>
        <v>5246465.938403029</v>
      </c>
      <c r="AT116" s="15">
        <f t="shared" si="1024"/>
        <v>5331283.804407211</v>
      </c>
      <c r="AU116" s="15">
        <f t="shared" si="1024"/>
        <v>5547326.4842399973</v>
      </c>
      <c r="AV116" s="15">
        <f t="shared" si="1024"/>
        <v>5575063.1166611975</v>
      </c>
      <c r="AW116" s="15">
        <f t="shared" si="1024"/>
        <v>5471637.5581417084</v>
      </c>
      <c r="AX116" s="15">
        <f t="shared" si="1024"/>
        <v>5560095.6986649996</v>
      </c>
      <c r="AY116" s="15">
        <f t="shared" si="1024"/>
        <v>5787459.2276042886</v>
      </c>
      <c r="AZ116" s="15">
        <f t="shared" si="1024"/>
        <v>5816396.5237423088</v>
      </c>
      <c r="BA116" s="15">
        <f t="shared" si="1024"/>
        <v>5778308.3784595113</v>
      </c>
      <c r="BB116" s="15">
        <f t="shared" si="1024"/>
        <v>5807199.9203518089</v>
      </c>
      <c r="BC116" s="15">
        <f t="shared" si="1024"/>
        <v>6041491.3022548957</v>
      </c>
      <c r="BD116" s="15">
        <f t="shared" si="1024"/>
        <v>6071698.7587661697</v>
      </c>
      <c r="BE116" s="15">
        <f t="shared" si="1024"/>
        <v>5966106.5115612093</v>
      </c>
      <c r="BF116" s="15">
        <f t="shared" si="1024"/>
        <v>6062558.566831449</v>
      </c>
      <c r="BG116" s="15">
        <f t="shared" si="1024"/>
        <v>6317697.9179820223</v>
      </c>
      <c r="BH116" s="15">
        <f t="shared" si="1024"/>
        <v>6349286.4075719332</v>
      </c>
      <c r="BI116" s="15">
        <f t="shared" si="1024"/>
        <v>6235438.0002204953</v>
      </c>
      <c r="BJ116" s="15">
        <f t="shared" si="1024"/>
        <v>6336244.2478907267</v>
      </c>
      <c r="BK116" s="15">
        <f t="shared" si="1024"/>
        <v>6595850.4944043076</v>
      </c>
      <c r="BL116" s="15">
        <f t="shared" si="1024"/>
        <v>6628829.7468763283</v>
      </c>
      <c r="BM116" s="15">
        <f t="shared" si="1024"/>
        <v>6512220.4592591301</v>
      </c>
      <c r="BN116" s="15">
        <f t="shared" si="1024"/>
        <v>6617501.3566838186</v>
      </c>
      <c r="BO116" s="15">
        <f t="shared" si="1024"/>
        <v>6897306.6544077601</v>
      </c>
      <c r="BP116" s="15">
        <f t="shared" si="1024"/>
        <v>6931793.1876797974</v>
      </c>
      <c r="BQ116" s="15">
        <f t="shared" si="1024"/>
        <v>6885277.8679174623</v>
      </c>
      <c r="BR116" s="15">
        <f t="shared" si="1024"/>
        <v>6919704.2572570499</v>
      </c>
      <c r="BS116" s="15">
        <f t="shared" si="1024"/>
        <v>7195970.9794087624</v>
      </c>
      <c r="BT116" s="15">
        <f t="shared" si="1024"/>
        <v>7231950.8343058042</v>
      </c>
      <c r="BU116" s="15">
        <f t="shared" si="1024"/>
        <v>7099249.7457543714</v>
      </c>
      <c r="BV116" s="15">
        <f t="shared" si="1024"/>
        <v>7214020.9499773998</v>
      </c>
      <c r="BW116" s="15">
        <f t="shared" si="1024"/>
        <v>7514806.7853752887</v>
      </c>
      <c r="BX116" s="15">
        <f t="shared" si="1024"/>
        <v>7552380.8193021631</v>
      </c>
      <c r="BY116" s="15">
        <f t="shared" si="1024"/>
        <v>7421329.0078884326</v>
      </c>
      <c r="BZ116" s="15">
        <f t="shared" si="1024"/>
        <v>7541307.1601826288</v>
      </c>
      <c r="CA116" s="15">
        <f t="shared" si="1024"/>
        <v>7847944.056067083</v>
      </c>
      <c r="CB116" s="15">
        <f t="shared" si="1024"/>
        <v>7887183.7763474174</v>
      </c>
      <c r="CC116" s="15">
        <f t="shared" si="1024"/>
        <v>7749170.9026111988</v>
      </c>
      <c r="CD116" s="15">
        <f t="shared" si="1024"/>
        <v>7874449.1655367445</v>
      </c>
      <c r="CE116" s="15">
        <f t="shared" ref="CE116:CN116" si="1025">SUM(CE95,CE102,CE109)</f>
        <v>8205455.9921475267</v>
      </c>
      <c r="CF116" s="15">
        <f t="shared" si="1025"/>
        <v>8246483.2721082615</v>
      </c>
      <c r="CG116" s="15">
        <f t="shared" si="1025"/>
        <v>8197631.8222897947</v>
      </c>
      <c r="CH116" s="15">
        <f t="shared" si="1025"/>
        <v>8238619.9814012423</v>
      </c>
      <c r="CI116" s="15">
        <f t="shared" si="1025"/>
        <v>8579593.7416700404</v>
      </c>
      <c r="CJ116" s="15">
        <f t="shared" si="1025"/>
        <v>8622491.7103783879</v>
      </c>
      <c r="CK116" s="15">
        <f t="shared" si="1025"/>
        <v>8477221.4696057085</v>
      </c>
      <c r="CL116" s="15">
        <f t="shared" si="1025"/>
        <v>8614269.8833643328</v>
      </c>
      <c r="CM116" s="15">
        <f t="shared" si="1025"/>
        <v>8972171.3181536403</v>
      </c>
      <c r="CN116" s="15">
        <f t="shared" si="1025"/>
        <v>9017032.1747444086</v>
      </c>
    </row>
    <row r="117" spans="1:92" ht="12.75" customHeight="1" x14ac:dyDescent="0.3">
      <c r="D117" s="50" t="s">
        <v>163</v>
      </c>
      <c r="H117" s="16" t="s">
        <v>1</v>
      </c>
      <c r="J117" s="59">
        <f>SUM(L117:CN117)</f>
        <v>2248595530.4727769</v>
      </c>
      <c r="L117" s="50">
        <f>SUM(L113:L116)</f>
        <v>0</v>
      </c>
      <c r="M117" s="50">
        <f t="shared" ref="M117" si="1026">SUM(M113:M116)</f>
        <v>14346923.522400001</v>
      </c>
      <c r="N117" s="50">
        <f t="shared" ref="N117" si="1027">SUM(N113:N116)</f>
        <v>14611351.05591616</v>
      </c>
      <c r="O117" s="50">
        <f t="shared" ref="O117" si="1028">SUM(O113:O116)</f>
        <v>15252023.066423556</v>
      </c>
      <c r="P117" s="50">
        <f t="shared" ref="P117" si="1029">SUM(P113:P116)</f>
        <v>15371361.123918418</v>
      </c>
      <c r="Q117" s="50">
        <f t="shared" ref="Q117" si="1030">SUM(Q113:Q116)</f>
        <v>15104814.602363458</v>
      </c>
      <c r="R117" s="50">
        <f t="shared" ref="R117" si="1031">SUM(R113:R116)</f>
        <v>15402778.534200625</v>
      </c>
      <c r="S117" s="50">
        <f t="shared" ref="S117" si="1032">SUM(S113:S116)</f>
        <v>16023488.367841069</v>
      </c>
      <c r="T117" s="50">
        <f t="shared" ref="T117" si="1033">SUM(T113:T116)</f>
        <v>16096750.110518558</v>
      </c>
      <c r="U117" s="50">
        <f t="shared" ref="U117" si="1034">SUM(U113:U116)</f>
        <v>15982252.366303895</v>
      </c>
      <c r="V117" s="50">
        <f t="shared" ref="V117" si="1035">SUM(V113:V116)</f>
        <v>16063938.700725131</v>
      </c>
      <c r="W117" s="50">
        <f t="shared" ref="W117" si="1036">SUM(W113:W116)</f>
        <v>16751914.89208154</v>
      </c>
      <c r="X117" s="50">
        <f t="shared" ref="X117" si="1037">SUM(X113:X116)</f>
        <v>16846275.378900509</v>
      </c>
      <c r="Y117" s="50">
        <f t="shared" ref="Y117" si="1038">SUM(Y113:Y116)</f>
        <v>16563172.538536696</v>
      </c>
      <c r="Z117" s="50">
        <f t="shared" ref="Z117" si="1039">SUM(Z113:Z116)</f>
        <v>16852082.060925081</v>
      </c>
      <c r="AA117" s="50">
        <f t="shared" ref="AA117" si="1040">SUM(AA113:AA116)</f>
        <v>17508363.032644965</v>
      </c>
      <c r="AB117" s="50">
        <f t="shared" ref="AB117" si="1041">SUM(AB113:AB116)</f>
        <v>17631679.660986044</v>
      </c>
      <c r="AC117" s="50">
        <f t="shared" ref="AC117" si="1042">SUM(AC113:AC116)</f>
        <v>17374936.625620276</v>
      </c>
      <c r="AD117" s="50">
        <f t="shared" ref="AD117" si="1043">SUM(AD113:AD116)</f>
        <v>17704822.604651742</v>
      </c>
      <c r="AE117" s="50">
        <f t="shared" ref="AE117" si="1044">SUM(AE113:AE116)</f>
        <v>18472283.985578537</v>
      </c>
      <c r="AF117" s="50">
        <f t="shared" ref="AF117" si="1045">SUM(AF113:AF116)</f>
        <v>18629964.63447284</v>
      </c>
      <c r="AG117" s="50">
        <f t="shared" ref="AG117" si="1046">SUM(AG113:AG116)</f>
        <v>18281884.006055314</v>
      </c>
      <c r="AH117" s="50">
        <f t="shared" ref="AH117" si="1047">SUM(AH113:AH116)</f>
        <v>18581124.807841722</v>
      </c>
      <c r="AI117" s="50">
        <f t="shared" ref="AI117" si="1048">SUM(AI113:AI116)</f>
        <v>19388137.13962815</v>
      </c>
      <c r="AJ117" s="50">
        <f t="shared" ref="AJ117" si="1049">SUM(AJ113:AJ116)</f>
        <v>19497848.100350447</v>
      </c>
      <c r="AK117" s="50">
        <f t="shared" ref="AK117" si="1050">SUM(AK113:AK116)</f>
        <v>19392650.59580278</v>
      </c>
      <c r="AL117" s="50">
        <f t="shared" ref="AL117" si="1051">SUM(AL113:AL116)</f>
        <v>19511165.619178183</v>
      </c>
      <c r="AM117" s="50">
        <f t="shared" ref="AM117" si="1052">SUM(AM113:AM116)</f>
        <v>20301413.129909765</v>
      </c>
      <c r="AN117" s="50">
        <f t="shared" ref="AN117" si="1053">SUM(AN113:AN116)</f>
        <v>20434227.002528623</v>
      </c>
      <c r="AO117" s="50">
        <f t="shared" ref="AO117" si="1054">SUM(AO113:AO116)</f>
        <v>20098842.790712617</v>
      </c>
      <c r="AP117" s="50">
        <f t="shared" ref="AP117" si="1055">SUM(AP113:AP116)</f>
        <v>20465090.869383078</v>
      </c>
      <c r="AQ117" s="50">
        <f t="shared" ref="AQ117" si="1056">SUM(AQ113:AQ116)</f>
        <v>21381533.482750483</v>
      </c>
      <c r="AR117" s="50">
        <f t="shared" ref="AR117" si="1057">SUM(AR113:AR116)</f>
        <v>21543680.533946972</v>
      </c>
      <c r="AS117" s="50">
        <f t="shared" ref="AS117" si="1058">SUM(AS113:AS116)</f>
        <v>21182643.475523174</v>
      </c>
      <c r="AT117" s="50">
        <f t="shared" ref="AT117" si="1059">SUM(AT113:AT116)</f>
        <v>21591725.851309337</v>
      </c>
      <c r="AU117" s="50">
        <f t="shared" ref="AU117" si="1060">SUM(AU113:AU116)</f>
        <v>22523386.331728667</v>
      </c>
      <c r="AV117" s="50">
        <f t="shared" ref="AV117" si="1061">SUM(AV113:AV116)</f>
        <v>22717422.071330175</v>
      </c>
      <c r="AW117" s="50">
        <f t="shared" ref="AW117" si="1062">SUM(AW113:AW116)</f>
        <v>22356160.180051584</v>
      </c>
      <c r="AX117" s="50">
        <f t="shared" ref="AX117" si="1063">SUM(AX113:AX116)</f>
        <v>22812198.393161185</v>
      </c>
      <c r="AY117" s="50">
        <f t="shared" ref="AY117" si="1064">SUM(AY113:AY116)</f>
        <v>23881328.457891665</v>
      </c>
      <c r="AZ117" s="50">
        <f t="shared" ref="AZ117" si="1065">SUM(AZ113:AZ116)</f>
        <v>24116234.291532226</v>
      </c>
      <c r="BA117" s="50">
        <f t="shared" ref="BA117" si="1066">SUM(BA113:BA116)</f>
        <v>24068277.716486558</v>
      </c>
      <c r="BB117" s="50">
        <f t="shared" ref="BB117" si="1067">SUM(BB113:BB116)</f>
        <v>24319974.537971869</v>
      </c>
      <c r="BC117" s="50">
        <f t="shared" ref="BC117" si="1068">SUM(BC113:BC116)</f>
        <v>25501735.219597261</v>
      </c>
      <c r="BD117" s="50">
        <f t="shared" ref="BD117" si="1069">SUM(BD113:BD116)</f>
        <v>25785942.61588021</v>
      </c>
      <c r="BE117" s="50">
        <f t="shared" ref="BE117" si="1070">SUM(BE113:BE116)</f>
        <v>25485437.744451635</v>
      </c>
      <c r="BF117" s="50">
        <f t="shared" ref="BF117" si="1071">SUM(BF113:BF116)</f>
        <v>26072839.982135929</v>
      </c>
      <c r="BG117" s="50">
        <f t="shared" ref="BG117" si="1072">SUM(BG113:BG116)</f>
        <v>27274693.795073181</v>
      </c>
      <c r="BH117" s="50">
        <f t="shared" ref="BH117" si="1073">SUM(BH113:BH116)</f>
        <v>27613625.055929311</v>
      </c>
      <c r="BI117" s="50">
        <f t="shared" ref="BI117" si="1074">SUM(BI113:BI116)</f>
        <v>27303682.118255179</v>
      </c>
      <c r="BJ117" s="50">
        <f t="shared" ref="BJ117" si="1075">SUM(BJ113:BJ116)</f>
        <v>27969231.227549464</v>
      </c>
      <c r="BK117" s="50">
        <f t="shared" ref="BK117" si="1076">SUM(BK113:BK116)</f>
        <v>29388666.910129156</v>
      </c>
      <c r="BL117" s="50">
        <f t="shared" ref="BL117" si="1077">SUM(BL113:BL116)</f>
        <v>29796301.183757812</v>
      </c>
      <c r="BM117" s="50">
        <f t="shared" ref="BM117" si="1078">SUM(BM113:BM116)</f>
        <v>29517039.740790579</v>
      </c>
      <c r="BN117" s="50">
        <f t="shared" ref="BN117" si="1079">SUM(BN113:BN116)</f>
        <v>30280583.195484973</v>
      </c>
      <c r="BO117" s="50">
        <f t="shared" ref="BO117" si="1080">SUM(BO113:BO116)</f>
        <v>31793151.450531565</v>
      </c>
      <c r="BP117" s="50">
        <f t="shared" ref="BP117" si="1081">SUM(BP113:BP116)</f>
        <v>32279413.766357776</v>
      </c>
      <c r="BQ117" s="50">
        <f t="shared" ref="BQ117" si="1082">SUM(BQ113:BQ116)</f>
        <v>32382464.222183987</v>
      </c>
      <c r="BR117" s="50">
        <f t="shared" ref="BR117" si="1083">SUM(BR113:BR116)</f>
        <v>32902053.394325919</v>
      </c>
      <c r="BS117" s="50">
        <f t="shared" ref="BS117" si="1084">SUM(BS113:BS116)</f>
        <v>34703086.663659245</v>
      </c>
      <c r="BT117" s="50">
        <f t="shared" ref="BT117" si="1085">SUM(BT113:BT116)</f>
        <v>35288376.970467716</v>
      </c>
      <c r="BU117" s="50">
        <f t="shared" ref="BU117" si="1086">SUM(BU113:BU116)</f>
        <v>35004295.874074616</v>
      </c>
      <c r="BV117" s="50">
        <f t="shared" ref="BV117" si="1087">SUM(BV113:BV116)</f>
        <v>36016864.540058769</v>
      </c>
      <c r="BW117" s="50">
        <f t="shared" ref="BW117" si="1088">SUM(BW113:BW116)</f>
        <v>37991470.345410004</v>
      </c>
      <c r="BX117" s="50">
        <f t="shared" ref="BX117" si="1089">SUM(BX113:BX116)</f>
        <v>38690770.490340143</v>
      </c>
      <c r="BY117" s="50">
        <f t="shared" ref="BY117" si="1090">SUM(BY113:BY116)</f>
        <v>38519479.43684189</v>
      </c>
      <c r="BZ117" s="50">
        <f t="shared" ref="BZ117" si="1091">SUM(BZ113:BZ116)</f>
        <v>39694606.774202794</v>
      </c>
      <c r="CA117" s="50">
        <f t="shared" ref="CA117" si="1092">SUM(CA113:CA116)</f>
        <v>41898973.629186839</v>
      </c>
      <c r="CB117" s="50">
        <f t="shared" ref="CB117" si="1093">SUM(CB113:CB116)</f>
        <v>42734777.592349321</v>
      </c>
      <c r="CC117" s="50">
        <f t="shared" ref="CC117" si="1094">SUM(CC113:CC116)</f>
        <v>42593054.407485917</v>
      </c>
      <c r="CD117" s="50">
        <f t="shared" ref="CD117" si="1095">SUM(CD113:CD116)</f>
        <v>43958825.235464185</v>
      </c>
      <c r="CE117" s="50">
        <f t="shared" ref="CE117" si="1096">SUM(CE113:CE116)</f>
        <v>46488116.633916177</v>
      </c>
      <c r="CF117" s="50">
        <f t="shared" ref="CF117" si="1097">SUM(CF113:CF116)</f>
        <v>47487276.246036485</v>
      </c>
      <c r="CG117" s="50">
        <f t="shared" ref="CG117" si="1098">SUM(CG113:CG116)</f>
        <v>47998888.429912955</v>
      </c>
      <c r="CH117" s="50">
        <f t="shared" ref="CH117" si="1099">SUM(CH113:CH116)</f>
        <v>49067707.996900477</v>
      </c>
      <c r="CI117" s="50">
        <f t="shared" ref="CI117" si="1100">SUM(CI113:CI116)</f>
        <v>52043308.216644771</v>
      </c>
      <c r="CJ117" s="50">
        <f t="shared" ref="CJ117" si="1101">SUM(CJ113:CJ116)</f>
        <v>53242654.817043103</v>
      </c>
      <c r="CK117" s="50">
        <f t="shared" ref="CK117" si="1102">SUM(CK113:CK116)</f>
        <v>53305289.389805794</v>
      </c>
      <c r="CL117" s="50">
        <f t="shared" ref="CL117" si="1103">SUM(CL113:CL116)</f>
        <v>55180416.23154369</v>
      </c>
      <c r="CM117" s="50">
        <f t="shared" ref="CM117" si="1104">SUM(CM113:CM116)</f>
        <v>58434617.478213519</v>
      </c>
      <c r="CN117" s="50">
        <f t="shared" ref="CN117" si="1105">SUM(CN113:CN116)</f>
        <v>59867685.200700819</v>
      </c>
    </row>
    <row r="118" spans="1:92" ht="12.75" customHeight="1" x14ac:dyDescent="0.3">
      <c r="D118" s="15"/>
      <c r="H118" s="16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</row>
    <row r="119" spans="1:92" ht="13.2" x14ac:dyDescent="0.25">
      <c r="A119" s="14">
        <f>MAX(A$3:A118)+0.01</f>
        <v>2.0299999999999994</v>
      </c>
      <c r="B119" s="14"/>
      <c r="C119" s="14" t="s">
        <v>165</v>
      </c>
      <c r="D119" s="20"/>
      <c r="E119" s="14"/>
      <c r="F119" s="14"/>
      <c r="G119" s="14"/>
      <c r="H119" s="57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</row>
    <row r="120" spans="1:92" ht="12.75" customHeight="1" x14ac:dyDescent="0.3">
      <c r="D120" s="15"/>
      <c r="H120" s="16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</row>
    <row r="121" spans="1:92" ht="12.75" customHeight="1" x14ac:dyDescent="0.3">
      <c r="C121" s="17" t="s">
        <v>3</v>
      </c>
      <c r="D121" s="15"/>
      <c r="H121" s="16"/>
      <c r="J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</row>
    <row r="122" spans="1:92" ht="12.75" customHeight="1" x14ac:dyDescent="0.3">
      <c r="D122" s="15" t="s">
        <v>166</v>
      </c>
      <c r="H122" s="16" t="s">
        <v>1</v>
      </c>
      <c r="J122" s="58">
        <f>SUM(L122:CN122)</f>
        <v>534048972.84156197</v>
      </c>
      <c r="L122" s="15">
        <f>Ass!$I$80*CPI*L62</f>
        <v>0</v>
      </c>
      <c r="M122" s="15">
        <f>Ass!$I$80*CPI*M62</f>
        <v>1852675.2000000002</v>
      </c>
      <c r="N122" s="15">
        <f>Ass!$I$80*CPI*N62</f>
        <v>1903628.0177949674</v>
      </c>
      <c r="O122" s="15">
        <f>Ass!$I$80*CPI*O62</f>
        <v>1956851.5550935012</v>
      </c>
      <c r="P122" s="15">
        <f>Ass!$I$80*CPI*P62</f>
        <v>1990886.4922111141</v>
      </c>
      <c r="Q122" s="15">
        <f>Ass!$I$80*CPI*Q62</f>
        <v>2088247.2410923685</v>
      </c>
      <c r="R122" s="15">
        <f>Ass!$I$80*CPI*R62</f>
        <v>2150955.4865599922</v>
      </c>
      <c r="S122" s="15">
        <f>Ass!$I$80*CPI*S62</f>
        <v>2204732.2625176865</v>
      </c>
      <c r="T122" s="15">
        <f>Ass!$I$80*CPI*T62</f>
        <v>2236326.3997714808</v>
      </c>
      <c r="U122" s="15">
        <f>Ass!$I$80*CPI*U62</f>
        <v>2277061.2644973951</v>
      </c>
      <c r="V122" s="15">
        <f>Ass!$I$80*CPI*V62</f>
        <v>2311962.3767911908</v>
      </c>
      <c r="W122" s="15">
        <f>Ass!$I$80*CPI*W62</f>
        <v>2374427.3068930008</v>
      </c>
      <c r="X122" s="15">
        <f>Ass!$I$80*CPI*X62</f>
        <v>2413373.362644095</v>
      </c>
      <c r="Y122" s="15">
        <f>Ass!$I$80*CPI*Y62</f>
        <v>2429977.5477650575</v>
      </c>
      <c r="Z122" s="15">
        <f>Ass!$I$80*CPI*Z62</f>
        <v>2500114.7240348742</v>
      </c>
      <c r="AA122" s="15">
        <f>Ass!$I$80*CPI*AA62</f>
        <v>2573501.6115762265</v>
      </c>
      <c r="AB122" s="15">
        <f>Ass!$I$80*CPI*AB62</f>
        <v>2621864.627913889</v>
      </c>
      <c r="AC122" s="15">
        <f>Ass!$I$80*CPI*AC62</f>
        <v>2617427.795975423</v>
      </c>
      <c r="AD122" s="15">
        <f>Ass!$I$80*CPI*AD62</f>
        <v>2699728.8722662576</v>
      </c>
      <c r="AE122" s="15">
        <f>Ass!$I$80*CPI*AE62</f>
        <v>2786159.4455701071</v>
      </c>
      <c r="AF122" s="15">
        <f>Ass!$I$80*CPI*AF62</f>
        <v>2846074.7396279429</v>
      </c>
      <c r="AG122" s="15">
        <f>Ass!$I$80*CPI*AG62</f>
        <v>2908153.3466617339</v>
      </c>
      <c r="AH122" s="15">
        <f>Ass!$I$80*CPI*AH62</f>
        <v>2989274.6364932181</v>
      </c>
      <c r="AI122" s="15">
        <f>Ass!$I$80*CPI*AI62</f>
        <v>3073377.7188758352</v>
      </c>
      <c r="AJ122" s="15">
        <f>Ass!$I$80*CPI*AJ62</f>
        <v>3126627.4174511414</v>
      </c>
      <c r="AK122" s="15">
        <f>Ass!$I$80*CPI*AK62</f>
        <v>3162252.9973752708</v>
      </c>
      <c r="AL122" s="15">
        <f>Ass!$I$80*CPI*AL62</f>
        <v>3219414.5307975393</v>
      </c>
      <c r="AM122" s="15">
        <f>Ass!$I$80*CPI*AM62</f>
        <v>3314874.2165484061</v>
      </c>
      <c r="AN122" s="15">
        <f>Ass!$I$80*CPI*AN62</f>
        <v>3377352.1618905789</v>
      </c>
      <c r="AO122" s="15">
        <f>Ass!$I$80*CPI*AO62</f>
        <v>3431348.4158165543</v>
      </c>
      <c r="AP122" s="15">
        <f>Ass!$I$80*CPI*AP62</f>
        <v>3537612.0109126624</v>
      </c>
      <c r="AQ122" s="15">
        <f>Ass!$I$80*CPI*AQ62</f>
        <v>3648165.7423769427</v>
      </c>
      <c r="AR122" s="15">
        <f>Ass!$I$80*CPI*AR62</f>
        <v>3722765.2665695203</v>
      </c>
      <c r="AS122" s="15">
        <f>Ass!$I$80*CPI*AS62</f>
        <v>3851992.0518854549</v>
      </c>
      <c r="AT122" s="15">
        <f>Ass!$I$80*CPI*AT62</f>
        <v>3977648.8750724951</v>
      </c>
      <c r="AU122" s="15">
        <f>Ass!$I$80*CPI*AU62</f>
        <v>4108589.3064568317</v>
      </c>
      <c r="AV122" s="15">
        <f>Ass!$I$80*CPI*AV62</f>
        <v>4199441.2557395678</v>
      </c>
      <c r="AW122" s="15">
        <f>Ass!$I$80*CPI*AW62</f>
        <v>4361251.870277782</v>
      </c>
      <c r="AX122" s="15">
        <f>Ass!$I$80*CPI*AX62</f>
        <v>4510969.5950836549</v>
      </c>
      <c r="AY122" s="15">
        <f>Ass!$I$80*CPI*AY62</f>
        <v>4667217.6061888468</v>
      </c>
      <c r="AZ122" s="15">
        <f>Ass!$I$80*CPI*AZ62</f>
        <v>4778398.1216170955</v>
      </c>
      <c r="BA122" s="15">
        <f>Ass!$I$80*CPI*BA62</f>
        <v>4910348.9493926354</v>
      </c>
      <c r="BB122" s="15">
        <f>Ass!$I$80*CPI*BB62</f>
        <v>5031567.2641856289</v>
      </c>
      <c r="BC122" s="15">
        <f>Ass!$I$80*CPI*BC62</f>
        <v>5214641.1776319798</v>
      </c>
      <c r="BD122" s="15">
        <f>Ass!$I$80*CPI*BD62</f>
        <v>5347897.0162865594</v>
      </c>
      <c r="BE122" s="15">
        <f>Ass!$I$80*CPI*BE62</f>
        <v>5439177.5824421551</v>
      </c>
      <c r="BF122" s="15">
        <f>Ass!$I$80*CPI*BF62</f>
        <v>5644925.8671682859</v>
      </c>
      <c r="BG122" s="15">
        <f>Ass!$I$80*CPI*BG62</f>
        <v>5860222.730629446</v>
      </c>
      <c r="BH122" s="15">
        <f>Ass!$I$80*CPI*BH62</f>
        <v>6020137.3864779407</v>
      </c>
      <c r="BI122" s="15">
        <f>Ass!$I$80*CPI*BI62</f>
        <v>6194192.8913628012</v>
      </c>
      <c r="BJ122" s="15">
        <f>Ass!$I$80*CPI*BJ62</f>
        <v>6439312.6145525929</v>
      </c>
      <c r="BK122" s="15">
        <f>Ass!$I$80*CPI*BK62</f>
        <v>6696106.3928368408</v>
      </c>
      <c r="BL122" s="15">
        <f>Ass!$I$80*CPI*BL62</f>
        <v>6890300.847203414</v>
      </c>
      <c r="BM122" s="15">
        <f>Ass!$I$80*CPI*BM62</f>
        <v>7059807.6277742712</v>
      </c>
      <c r="BN122" s="15">
        <f>Ass!$I$80*CPI*BN62</f>
        <v>7351276.2419742513</v>
      </c>
      <c r="BO122" s="15">
        <f>Ass!$I$80*CPI*BO62</f>
        <v>7656946.7153894836</v>
      </c>
      <c r="BP122" s="15">
        <f>Ass!$I$80*CPI*BP62</f>
        <v>7891797.7189352764</v>
      </c>
      <c r="BQ122" s="15">
        <f>Ass!$I$80*CPI*BQ62</f>
        <v>8182627.8660607487</v>
      </c>
      <c r="BR122" s="15">
        <f>Ass!$I$80*CPI*BR62</f>
        <v>8440256.6229690909</v>
      </c>
      <c r="BS122" s="15">
        <f>Ass!$I$80*CPI*BS62</f>
        <v>8805081.3422358055</v>
      </c>
      <c r="BT122" s="15">
        <f>Ass!$I$80*CPI*BT62</f>
        <v>9089313.1724647284</v>
      </c>
      <c r="BU122" s="15">
        <f>Ass!$I$80*CPI*BU62</f>
        <v>9503807.0212032106</v>
      </c>
      <c r="BV122" s="15">
        <f>Ass!$I$80*CPI*BV62</f>
        <v>9927057.6272649579</v>
      </c>
      <c r="BW122" s="15">
        <f>Ass!$I$80*CPI*BW62</f>
        <v>10371720.364906643</v>
      </c>
      <c r="BX122" s="15">
        <f>Ass!$I$80*CPI*BX62</f>
        <v>10722400.151886655</v>
      </c>
      <c r="BY122" s="15">
        <f>Ass!$I$80*CPI*BY62</f>
        <v>10964337.910530278</v>
      </c>
      <c r="BZ122" s="15">
        <f>Ass!$I$80*CPI*BZ62</f>
        <v>11469113.806407081</v>
      </c>
      <c r="CA122" s="15">
        <f>Ass!$I$80*CPI*CA62</f>
        <v>11999819.21051389</v>
      </c>
      <c r="CB122" s="15">
        <f>Ass!$I$80*CPI*CB62</f>
        <v>12422823.424277395</v>
      </c>
      <c r="CC122" s="15">
        <f>Ass!$I$80*CPI*CC62</f>
        <v>12783788.482512053</v>
      </c>
      <c r="CD122" s="15">
        <f>Ass!$I$80*CPI*CD62</f>
        <v>13390302.392769225</v>
      </c>
      <c r="CE122" s="15">
        <f>Ass!$I$80*CPI*CE62</f>
        <v>14028388.345653646</v>
      </c>
      <c r="CF122" s="15">
        <f>Ass!$I$80*CPI*CF62</f>
        <v>14541693.375005253</v>
      </c>
      <c r="CG122" s="15">
        <f>Ass!$I$80*CPI*CG62</f>
        <v>14914516.457766313</v>
      </c>
      <c r="CH122" s="15">
        <f>Ass!$I$80*CPI*CH62</f>
        <v>15469646.836036218</v>
      </c>
      <c r="CI122" s="15">
        <f>Ass!$I$80*CPI*CI62</f>
        <v>16226535.272299062</v>
      </c>
      <c r="CJ122" s="15">
        <f>Ass!$I$80*CPI*CJ62</f>
        <v>16840293.153436694</v>
      </c>
      <c r="CK122" s="15">
        <f>Ass!$I$80*CPI*CK62</f>
        <v>17102129.979926508</v>
      </c>
      <c r="CL122" s="15">
        <f>Ass!$I$80*CPI*CL62</f>
        <v>17956187.160397518</v>
      </c>
      <c r="CM122" s="15">
        <f>Ass!$I$80*CPI*CM62</f>
        <v>18855667.29666774</v>
      </c>
      <c r="CN122" s="15">
        <f>Ass!$I$80*CPI*CN62</f>
        <v>19590103.069439948</v>
      </c>
    </row>
    <row r="123" spans="1:92" ht="12.75" customHeight="1" x14ac:dyDescent="0.3">
      <c r="D123" s="15" t="s">
        <v>167</v>
      </c>
      <c r="H123" s="16" t="s">
        <v>1</v>
      </c>
      <c r="J123" s="58">
        <f>SUM(L123:CN123)</f>
        <v>156750203.66309747</v>
      </c>
      <c r="L123" s="15">
        <f>Ass!$I$81*CPI*L69</f>
        <v>0</v>
      </c>
      <c r="M123" s="15">
        <f>Ass!$I$81*CPI*M69</f>
        <v>1442863.8000000003</v>
      </c>
      <c r="N123" s="15">
        <f>Ass!$I$81*CPI*N69</f>
        <v>1482545.8642411339</v>
      </c>
      <c r="O123" s="15">
        <f>Ass!$I$81*CPI*O69</f>
        <v>1523996.3652658165</v>
      </c>
      <c r="P123" s="15">
        <f>Ass!$I$81*CPI*P69</f>
        <v>1550502.7808006497</v>
      </c>
      <c r="Q123" s="15">
        <f>Ass!$I$81*CPI*Q69</f>
        <v>1405657.3477058036</v>
      </c>
      <c r="R123" s="15">
        <f>Ass!$I$81*CPI*R69</f>
        <v>1447868.0133151086</v>
      </c>
      <c r="S123" s="15">
        <f>Ass!$I$81*CPI*S69</f>
        <v>1484066.6581754361</v>
      </c>
      <c r="T123" s="15">
        <f>Ass!$I$81*CPI*T69</f>
        <v>1505333.5514346801</v>
      </c>
      <c r="U123" s="15">
        <f>Ass!$I$81*CPI*U69</f>
        <v>1468691.7803588493</v>
      </c>
      <c r="V123" s="15">
        <f>Ass!$I$81*CPI*V69</f>
        <v>1491202.80259197</v>
      </c>
      <c r="W123" s="15">
        <f>Ass!$I$81*CPI*W69</f>
        <v>1531492.333151205</v>
      </c>
      <c r="X123" s="15">
        <f>Ass!$I$81*CPI*X69</f>
        <v>1556612.321291557</v>
      </c>
      <c r="Y123" s="15">
        <f>Ass!$I$81*CPI*Y69</f>
        <v>1510544.7300402939</v>
      </c>
      <c r="Z123" s="15">
        <f>Ass!$I$81*CPI*Z69</f>
        <v>1554144.0390510787</v>
      </c>
      <c r="AA123" s="15">
        <f>Ass!$I$81*CPI*AA69</f>
        <v>1599763.4631200812</v>
      </c>
      <c r="AB123" s="15">
        <f>Ass!$I$81*CPI*AB69</f>
        <v>1629827.3209219358</v>
      </c>
      <c r="AC123" s="15">
        <f>Ass!$I$81*CPI*AC69</f>
        <v>1621852.5483545277</v>
      </c>
      <c r="AD123" s="15">
        <f>Ass!$I$81*CPI*AD69</f>
        <v>1672849.2599046424</v>
      </c>
      <c r="AE123" s="15">
        <f>Ass!$I$81*CPI*AE69</f>
        <v>1726404.7565583144</v>
      </c>
      <c r="AF123" s="15">
        <f>Ass!$I$81*CPI*AF69</f>
        <v>1763530.4310477988</v>
      </c>
      <c r="AG123" s="15">
        <f>Ass!$I$81*CPI*AG69</f>
        <v>1649893.8592517134</v>
      </c>
      <c r="AH123" s="15">
        <f>Ass!$I$81*CPI*AH69</f>
        <v>1695916.7136177602</v>
      </c>
      <c r="AI123" s="15">
        <f>Ass!$I$81*CPI*AI69</f>
        <v>1743631.2398570683</v>
      </c>
      <c r="AJ123" s="15">
        <f>Ass!$I$81*CPI*AJ69</f>
        <v>1773841.5968133996</v>
      </c>
      <c r="AK123" s="15">
        <f>Ass!$I$81*CPI*AK69</f>
        <v>1766088.9980440927</v>
      </c>
      <c r="AL123" s="15">
        <f>Ass!$I$81*CPI*AL69</f>
        <v>1798013.1848097276</v>
      </c>
      <c r="AM123" s="15">
        <f>Ass!$I$81*CPI*AM69</f>
        <v>1851326.5347856102</v>
      </c>
      <c r="AN123" s="15">
        <f>Ass!$I$81*CPI*AN69</f>
        <v>1886219.8883473899</v>
      </c>
      <c r="AO123" s="15">
        <f>Ass!$I$81*CPI*AO69</f>
        <v>1796921.5105631405</v>
      </c>
      <c r="AP123" s="15">
        <f>Ass!$I$81*CPI*AP69</f>
        <v>1852569.4124019074</v>
      </c>
      <c r="AQ123" s="15">
        <f>Ass!$I$81*CPI*AQ69</f>
        <v>1910463.9640672212</v>
      </c>
      <c r="AR123" s="15">
        <f>Ass!$I$81*CPI*AR69</f>
        <v>1949530.0901072142</v>
      </c>
      <c r="AS123" s="15">
        <f>Ass!$I$81*CPI*AS69</f>
        <v>1770805.8924723903</v>
      </c>
      <c r="AT123" s="15">
        <f>Ass!$I$81*CPI*AT69</f>
        <v>1828571.8068179449</v>
      </c>
      <c r="AU123" s="15">
        <f>Ass!$I$81*CPI*AU69</f>
        <v>1888766.6577768836</v>
      </c>
      <c r="AV123" s="15">
        <f>Ass!$I$81*CPI*AV69</f>
        <v>1930532.3636676115</v>
      </c>
      <c r="AW123" s="15">
        <f>Ass!$I$81*CPI*AW69</f>
        <v>1720444.0964076207</v>
      </c>
      <c r="AX123" s="15">
        <f>Ass!$I$81*CPI*AX69</f>
        <v>1779505.3438272607</v>
      </c>
      <c r="AY123" s="15">
        <f>Ass!$I$81*CPI*AY69</f>
        <v>1841142.6847277852</v>
      </c>
      <c r="AZ123" s="15">
        <f>Ass!$I$81*CPI*AZ69</f>
        <v>1885001.6195230149</v>
      </c>
      <c r="BA123" s="15">
        <f>Ass!$I$81*CPI*BA69</f>
        <v>1818832.8534898479</v>
      </c>
      <c r="BB123" s="15">
        <f>Ass!$I$81*CPI*BB69</f>
        <v>1863733.0949314348</v>
      </c>
      <c r="BC123" s="15">
        <f>Ass!$I$81*CPI*BC69</f>
        <v>1931545.1489880739</v>
      </c>
      <c r="BD123" s="15">
        <f>Ass!$I$81*CPI*BD69</f>
        <v>1980904.186352266</v>
      </c>
      <c r="BE123" s="15">
        <f>Ass!$I$81*CPI*BE69</f>
        <v>1894257.4275433801</v>
      </c>
      <c r="BF123" s="15">
        <f>Ass!$I$81*CPI*BF69</f>
        <v>1965911.6823713302</v>
      </c>
      <c r="BG123" s="15">
        <f>Ass!$I$81*CPI*BG69</f>
        <v>2040891.3418063482</v>
      </c>
      <c r="BH123" s="15">
        <f>Ass!$I$81*CPI*BH69</f>
        <v>2096583.4974719197</v>
      </c>
      <c r="BI123" s="15">
        <f>Ass!$I$81*CPI*BI69</f>
        <v>1921899.9827985866</v>
      </c>
      <c r="BJ123" s="15">
        <f>Ass!$I$81*CPI*BJ69</f>
        <v>1997954.3776236088</v>
      </c>
      <c r="BK123" s="15">
        <f>Ass!$I$81*CPI*BK69</f>
        <v>2077630.9338308685</v>
      </c>
      <c r="BL123" s="15">
        <f>Ass!$I$81*CPI*BL69</f>
        <v>2137884.5173166404</v>
      </c>
      <c r="BM123" s="15">
        <f>Ass!$I$81*CPI*BM69</f>
        <v>1994176.8857436595</v>
      </c>
      <c r="BN123" s="15">
        <f>Ass!$I$81*CPI*BN69</f>
        <v>2076507.7372346625</v>
      </c>
      <c r="BO123" s="15">
        <f>Ass!$I$81*CPI*BO69</f>
        <v>2162850.1738671968</v>
      </c>
      <c r="BP123" s="15">
        <f>Ass!$I$81*CPI*BP69</f>
        <v>2229188.3048131773</v>
      </c>
      <c r="BQ123" s="15">
        <f>Ass!$I$81*CPI*BQ69</f>
        <v>2097617.5337378136</v>
      </c>
      <c r="BR123" s="15">
        <f>Ass!$I$81*CPI*BR69</f>
        <v>2163660.6932865283</v>
      </c>
      <c r="BS123" s="15">
        <f>Ass!$I$81*CPI*BS69</f>
        <v>2257183.5493177706</v>
      </c>
      <c r="BT123" s="15">
        <f>Ass!$I$81*CPI*BT69</f>
        <v>2330046.4095741306</v>
      </c>
      <c r="BU123" s="15">
        <f>Ass!$I$81*CPI*BU69</f>
        <v>1931781.3079173679</v>
      </c>
      <c r="BV123" s="15">
        <f>Ass!$I$81*CPI*BV69</f>
        <v>2017812.8958410944</v>
      </c>
      <c r="BW123" s="15">
        <f>Ass!$I$81*CPI*BW69</f>
        <v>2108196.7981012249</v>
      </c>
      <c r="BX123" s="15">
        <f>Ass!$I$81*CPI*BX69</f>
        <v>2179477.3550444646</v>
      </c>
      <c r="BY123" s="15">
        <f>Ass!$I$81*CPI*BY69</f>
        <v>2052055.0157048239</v>
      </c>
      <c r="BZ123" s="15">
        <f>Ass!$I$81*CPI*BZ69</f>
        <v>2146527.4697091901</v>
      </c>
      <c r="CA123" s="15">
        <f>Ass!$I$81*CPI*CA69</f>
        <v>2245852.8184211338</v>
      </c>
      <c r="CB123" s="15">
        <f>Ass!$I$81*CPI*CB69</f>
        <v>2325021.1116277869</v>
      </c>
      <c r="CC123" s="15">
        <f>Ass!$I$81*CPI*CC69</f>
        <v>2094981.0849786012</v>
      </c>
      <c r="CD123" s="15">
        <f>Ass!$I$81*CPI*CD69</f>
        <v>2194375.3429095251</v>
      </c>
      <c r="CE123" s="15">
        <f>Ass!$I$81*CPI*CE69</f>
        <v>2298943.5625505261</v>
      </c>
      <c r="CF123" s="15">
        <f>Ass!$I$81*CPI*CF69</f>
        <v>2383062.9398999764</v>
      </c>
      <c r="CG123" s="15">
        <f>Ass!$I$81*CPI*CG69</f>
        <v>2444160.4234430068</v>
      </c>
      <c r="CH123" s="15">
        <f>Ass!$I$81*CPI*CH69</f>
        <v>2535134.0533464896</v>
      </c>
      <c r="CI123" s="15">
        <f>Ass!$I$81*CPI*CI69</f>
        <v>2659171.3807458617</v>
      </c>
      <c r="CJ123" s="15">
        <f>Ass!$I$81*CPI*CJ69</f>
        <v>2759752.7657945007</v>
      </c>
      <c r="CK123" s="15">
        <f>Ass!$I$81*CPI*CK69</f>
        <v>2802662.0488757528</v>
      </c>
      <c r="CL123" s="15">
        <f>Ass!$I$81*CPI*CL69</f>
        <v>2942623.1911478247</v>
      </c>
      <c r="CM123" s="15">
        <f>Ass!$I$81*CPI*CM69</f>
        <v>3090028.1544243935</v>
      </c>
      <c r="CN123" s="15">
        <f>Ass!$I$81*CPI*CN69</f>
        <v>3210385.9852970042</v>
      </c>
    </row>
    <row r="124" spans="1:92" ht="12.75" customHeight="1" x14ac:dyDescent="0.3">
      <c r="D124" s="51" t="s">
        <v>168</v>
      </c>
      <c r="H124" s="16" t="s">
        <v>1</v>
      </c>
      <c r="J124" s="77">
        <f>SUM(L124:CN124)</f>
        <v>690799176.5046593</v>
      </c>
      <c r="L124" s="51">
        <f t="shared" ref="L124:AQ124" si="1106">SUM(L122,L123)</f>
        <v>0</v>
      </c>
      <c r="M124" s="51">
        <f t="shared" si="1106"/>
        <v>3295539.0000000005</v>
      </c>
      <c r="N124" s="51">
        <f t="shared" si="1106"/>
        <v>3386173.8820361011</v>
      </c>
      <c r="O124" s="51">
        <f t="shared" si="1106"/>
        <v>3480847.9203593177</v>
      </c>
      <c r="P124" s="51">
        <f t="shared" si="1106"/>
        <v>3541389.2730117636</v>
      </c>
      <c r="Q124" s="51">
        <f t="shared" si="1106"/>
        <v>3493904.5887981718</v>
      </c>
      <c r="R124" s="51">
        <f t="shared" si="1106"/>
        <v>3598823.4998751008</v>
      </c>
      <c r="S124" s="51">
        <f t="shared" si="1106"/>
        <v>3688798.9206931228</v>
      </c>
      <c r="T124" s="51">
        <f t="shared" si="1106"/>
        <v>3741659.9512061607</v>
      </c>
      <c r="U124" s="51">
        <f t="shared" si="1106"/>
        <v>3745753.0448562447</v>
      </c>
      <c r="V124" s="51">
        <f t="shared" si="1106"/>
        <v>3803165.1793831605</v>
      </c>
      <c r="W124" s="51">
        <f t="shared" si="1106"/>
        <v>3905919.6400442058</v>
      </c>
      <c r="X124" s="51">
        <f t="shared" si="1106"/>
        <v>3969985.683935652</v>
      </c>
      <c r="Y124" s="51">
        <f t="shared" si="1106"/>
        <v>3940522.2778053517</v>
      </c>
      <c r="Z124" s="51">
        <f t="shared" si="1106"/>
        <v>4054258.763085953</v>
      </c>
      <c r="AA124" s="51">
        <f t="shared" si="1106"/>
        <v>4173265.074696308</v>
      </c>
      <c r="AB124" s="51">
        <f t="shared" si="1106"/>
        <v>4251691.9488358246</v>
      </c>
      <c r="AC124" s="51">
        <f t="shared" si="1106"/>
        <v>4239280.3443299504</v>
      </c>
      <c r="AD124" s="51">
        <f t="shared" si="1106"/>
        <v>4372578.1321708998</v>
      </c>
      <c r="AE124" s="51">
        <f t="shared" si="1106"/>
        <v>4512564.2021284215</v>
      </c>
      <c r="AF124" s="51">
        <f t="shared" si="1106"/>
        <v>4609605.1706757415</v>
      </c>
      <c r="AG124" s="51">
        <f t="shared" si="1106"/>
        <v>4558047.2059134468</v>
      </c>
      <c r="AH124" s="51">
        <f t="shared" si="1106"/>
        <v>4685191.3501109779</v>
      </c>
      <c r="AI124" s="51">
        <f t="shared" si="1106"/>
        <v>4817008.958732903</v>
      </c>
      <c r="AJ124" s="51">
        <f t="shared" si="1106"/>
        <v>4900469.0142645407</v>
      </c>
      <c r="AK124" s="51">
        <f t="shared" si="1106"/>
        <v>4928341.9954193635</v>
      </c>
      <c r="AL124" s="51">
        <f t="shared" si="1106"/>
        <v>5017427.7156072669</v>
      </c>
      <c r="AM124" s="51">
        <f t="shared" si="1106"/>
        <v>5166200.7513340162</v>
      </c>
      <c r="AN124" s="51">
        <f t="shared" si="1106"/>
        <v>5263572.0502379686</v>
      </c>
      <c r="AO124" s="51">
        <f t="shared" si="1106"/>
        <v>5228269.9263796946</v>
      </c>
      <c r="AP124" s="51">
        <f t="shared" si="1106"/>
        <v>5390181.4233145695</v>
      </c>
      <c r="AQ124" s="51">
        <f t="shared" si="1106"/>
        <v>5558629.7064441638</v>
      </c>
      <c r="AR124" s="51">
        <f t="shared" ref="AR124:BW124" si="1107">SUM(AR122,AR123)</f>
        <v>5672295.356676735</v>
      </c>
      <c r="AS124" s="51">
        <f t="shared" si="1107"/>
        <v>5622797.944357845</v>
      </c>
      <c r="AT124" s="51">
        <f t="shared" si="1107"/>
        <v>5806220.6818904402</v>
      </c>
      <c r="AU124" s="51">
        <f t="shared" si="1107"/>
        <v>5997355.9642337151</v>
      </c>
      <c r="AV124" s="51">
        <f t="shared" si="1107"/>
        <v>6129973.6194071788</v>
      </c>
      <c r="AW124" s="51">
        <f t="shared" si="1107"/>
        <v>6081695.9666854031</v>
      </c>
      <c r="AX124" s="51">
        <f t="shared" si="1107"/>
        <v>6290474.9389109155</v>
      </c>
      <c r="AY124" s="51">
        <f t="shared" si="1107"/>
        <v>6508360.2909166319</v>
      </c>
      <c r="AZ124" s="51">
        <f t="shared" si="1107"/>
        <v>6663399.7411401104</v>
      </c>
      <c r="BA124" s="51">
        <f t="shared" si="1107"/>
        <v>6729181.8028824832</v>
      </c>
      <c r="BB124" s="51">
        <f t="shared" si="1107"/>
        <v>6895300.3591170637</v>
      </c>
      <c r="BC124" s="51">
        <f t="shared" si="1107"/>
        <v>7146186.3266200535</v>
      </c>
      <c r="BD124" s="51">
        <f t="shared" si="1107"/>
        <v>7328801.2026388254</v>
      </c>
      <c r="BE124" s="51">
        <f t="shared" si="1107"/>
        <v>7333435.0099855354</v>
      </c>
      <c r="BF124" s="51">
        <f t="shared" si="1107"/>
        <v>7610837.5495396163</v>
      </c>
      <c r="BG124" s="51">
        <f t="shared" si="1107"/>
        <v>7901114.0724357944</v>
      </c>
      <c r="BH124" s="51">
        <f t="shared" si="1107"/>
        <v>8116720.8839498609</v>
      </c>
      <c r="BI124" s="51">
        <f t="shared" si="1107"/>
        <v>8116092.8741613878</v>
      </c>
      <c r="BJ124" s="51">
        <f t="shared" si="1107"/>
        <v>8437266.9921762012</v>
      </c>
      <c r="BK124" s="51">
        <f t="shared" si="1107"/>
        <v>8773737.3266677093</v>
      </c>
      <c r="BL124" s="51">
        <f t="shared" si="1107"/>
        <v>9028185.3645200543</v>
      </c>
      <c r="BM124" s="51">
        <f t="shared" si="1107"/>
        <v>9053984.5135179311</v>
      </c>
      <c r="BN124" s="51">
        <f t="shared" si="1107"/>
        <v>9427783.9792089146</v>
      </c>
      <c r="BO124" s="51">
        <f t="shared" si="1107"/>
        <v>9819796.8892566804</v>
      </c>
      <c r="BP124" s="51">
        <f t="shared" si="1107"/>
        <v>10120986.023748454</v>
      </c>
      <c r="BQ124" s="51">
        <f t="shared" si="1107"/>
        <v>10280245.399798563</v>
      </c>
      <c r="BR124" s="51">
        <f t="shared" si="1107"/>
        <v>10603917.31625562</v>
      </c>
      <c r="BS124" s="51">
        <f t="shared" si="1107"/>
        <v>11062264.891553577</v>
      </c>
      <c r="BT124" s="51">
        <f t="shared" si="1107"/>
        <v>11419359.582038859</v>
      </c>
      <c r="BU124" s="51">
        <f t="shared" si="1107"/>
        <v>11435588.329120578</v>
      </c>
      <c r="BV124" s="51">
        <f t="shared" si="1107"/>
        <v>11944870.523106052</v>
      </c>
      <c r="BW124" s="51">
        <f t="shared" si="1107"/>
        <v>12479917.163007867</v>
      </c>
      <c r="BX124" s="51">
        <f t="shared" ref="BX124:CN124" si="1108">SUM(BX122,BX123)</f>
        <v>12901877.506931119</v>
      </c>
      <c r="BY124" s="51">
        <f t="shared" si="1108"/>
        <v>13016392.926235102</v>
      </c>
      <c r="BZ124" s="51">
        <f t="shared" si="1108"/>
        <v>13615641.276116271</v>
      </c>
      <c r="CA124" s="51">
        <f t="shared" si="1108"/>
        <v>14245672.028935023</v>
      </c>
      <c r="CB124" s="51">
        <f t="shared" si="1108"/>
        <v>14747844.535905182</v>
      </c>
      <c r="CC124" s="51">
        <f t="shared" si="1108"/>
        <v>14878769.567490654</v>
      </c>
      <c r="CD124" s="51">
        <f t="shared" si="1108"/>
        <v>15584677.735678751</v>
      </c>
      <c r="CE124" s="51">
        <f t="shared" si="1108"/>
        <v>16327331.908204172</v>
      </c>
      <c r="CF124" s="51">
        <f t="shared" si="1108"/>
        <v>16924756.31490523</v>
      </c>
      <c r="CG124" s="51">
        <f t="shared" si="1108"/>
        <v>17358676.881209321</v>
      </c>
      <c r="CH124" s="51">
        <f t="shared" si="1108"/>
        <v>18004780.889382709</v>
      </c>
      <c r="CI124" s="51">
        <f t="shared" si="1108"/>
        <v>18885706.653044924</v>
      </c>
      <c r="CJ124" s="51">
        <f t="shared" si="1108"/>
        <v>19600045.919231195</v>
      </c>
      <c r="CK124" s="51">
        <f t="shared" si="1108"/>
        <v>19904792.028802261</v>
      </c>
      <c r="CL124" s="51">
        <f t="shared" si="1108"/>
        <v>20898810.351545341</v>
      </c>
      <c r="CM124" s="51">
        <f t="shared" si="1108"/>
        <v>21945695.451092131</v>
      </c>
      <c r="CN124" s="51">
        <f t="shared" si="1108"/>
        <v>22800489.054736953</v>
      </c>
    </row>
    <row r="125" spans="1:92" ht="12.75" customHeight="1" x14ac:dyDescent="0.3">
      <c r="D125" s="15"/>
      <c r="H125" s="16"/>
      <c r="J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</row>
    <row r="126" spans="1:92" ht="12.75" customHeight="1" x14ac:dyDescent="0.3">
      <c r="C126" s="17" t="s">
        <v>4</v>
      </c>
      <c r="D126" s="15"/>
      <c r="H126" s="16" t="s">
        <v>1</v>
      </c>
      <c r="J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</row>
    <row r="127" spans="1:92" ht="12.75" customHeight="1" x14ac:dyDescent="0.3">
      <c r="D127" s="15" t="s">
        <v>5</v>
      </c>
      <c r="H127" s="16" t="s">
        <v>1</v>
      </c>
      <c r="J127" s="58">
        <f>SUM(L127:CN127)</f>
        <v>5108204.4333798531</v>
      </c>
      <c r="L127" s="15">
        <f>Ass!$I84*CPI*L$36</f>
        <v>0</v>
      </c>
      <c r="M127" s="15">
        <f>Ass!$I84*CPI*M$36</f>
        <v>48000</v>
      </c>
      <c r="N127" s="15">
        <f>Ass!$I84*CPI*N$36</f>
        <v>48332.528537527738</v>
      </c>
      <c r="O127" s="15">
        <f>Ass!$I84*CPI*O$36</f>
        <v>48667.360725644445</v>
      </c>
      <c r="P127" s="15">
        <f>Ass!$I84*CPI*P$36</f>
        <v>49004.512523299309</v>
      </c>
      <c r="Q127" s="15">
        <f>Ass!$I84*CPI*Q$36</f>
        <v>49343.999999999993</v>
      </c>
      <c r="R127" s="15">
        <f>Ass!$I84*CPI*R$36</f>
        <v>49685.839336578501</v>
      </c>
      <c r="S127" s="15">
        <f>Ass!$I84*CPI*S$36</f>
        <v>50030.046825962476</v>
      </c>
      <c r="T127" s="15">
        <f>Ass!$I84*CPI*T$36</f>
        <v>50376.638873951677</v>
      </c>
      <c r="U127" s="15">
        <f>Ass!$I84*CPI*U$36</f>
        <v>50725.631999999976</v>
      </c>
      <c r="V127" s="15">
        <f>Ass!$I84*CPI*V$36</f>
        <v>51077.042838002693</v>
      </c>
      <c r="W127" s="15">
        <f>Ass!$I84*CPI*W$36</f>
        <v>51430.888137089409</v>
      </c>
      <c r="X127" s="15">
        <f>Ass!$I84*CPI*X$36</f>
        <v>51787.184762422316</v>
      </c>
      <c r="Y127" s="15">
        <f>Ass!$I84*CPI*Y$36</f>
        <v>52145.949695999967</v>
      </c>
      <c r="Z127" s="15">
        <f>Ass!$I84*CPI*Z$36</f>
        <v>52507.200037466762</v>
      </c>
      <c r="AA127" s="15">
        <f>Ass!$I84*CPI*AA$36</f>
        <v>52870.953004927913</v>
      </c>
      <c r="AB127" s="15">
        <f>Ass!$I84*CPI*AB$36</f>
        <v>53237.225935770133</v>
      </c>
      <c r="AC127" s="15">
        <f>Ass!$I84*CPI*AC$36</f>
        <v>53606.036287487957</v>
      </c>
      <c r="AD127" s="15">
        <f>Ass!$I84*CPI*AD$36</f>
        <v>53977.401638515817</v>
      </c>
      <c r="AE127" s="15">
        <f>Ass!$I84*CPI*AE$36</f>
        <v>54351.339689065884</v>
      </c>
      <c r="AF127" s="15">
        <f>Ass!$I84*CPI*AF$36</f>
        <v>54727.868261971678</v>
      </c>
      <c r="AG127" s="15">
        <f>Ass!$I84*CPI*AG$36</f>
        <v>55107.005303537597</v>
      </c>
      <c r="AH127" s="15">
        <f>Ass!$I84*CPI*AH$36</f>
        <v>55488.768884394238</v>
      </c>
      <c r="AI127" s="15">
        <f>Ass!$I84*CPI*AI$36</f>
        <v>55873.177200359707</v>
      </c>
      <c r="AJ127" s="15">
        <f>Ass!$I84*CPI*AJ$36</f>
        <v>56260.248573306868</v>
      </c>
      <c r="AK127" s="15">
        <f>Ass!$I84*CPI*AK$36</f>
        <v>56650.001452036631</v>
      </c>
      <c r="AL127" s="15">
        <f>Ass!$I84*CPI*AL$36</f>
        <v>57042.454413157255</v>
      </c>
      <c r="AM127" s="15">
        <f>Ass!$I84*CPI*AM$36</f>
        <v>57437.626161969754</v>
      </c>
      <c r="AN127" s="15">
        <f>Ass!$I84*CPI*AN$36</f>
        <v>57835.535533359434</v>
      </c>
      <c r="AO127" s="15">
        <f>Ass!$I84*CPI*AO$36</f>
        <v>58236.201492693639</v>
      </c>
      <c r="AP127" s="15">
        <f>Ass!$I84*CPI*AP$36</f>
        <v>58639.643136725645</v>
      </c>
      <c r="AQ127" s="15">
        <f>Ass!$I84*CPI*AQ$36</f>
        <v>59045.879694504896</v>
      </c>
      <c r="AR127" s="15">
        <f>Ass!$I84*CPI*AR$36</f>
        <v>59454.930528293487</v>
      </c>
      <c r="AS127" s="15">
        <f>Ass!$I84*CPI*AS$36</f>
        <v>59866.815134489043</v>
      </c>
      <c r="AT127" s="15">
        <f>Ass!$I84*CPI*AT$36</f>
        <v>60281.553144553938</v>
      </c>
      <c r="AU127" s="15">
        <f>Ass!$I84*CPI*AU$36</f>
        <v>60699.164325951002</v>
      </c>
      <c r="AV127" s="15">
        <f>Ass!$I84*CPI*AV$36</f>
        <v>61119.668583085673</v>
      </c>
      <c r="AW127" s="15">
        <f>Ass!$I84*CPI*AW$36</f>
        <v>61543.085958254713</v>
      </c>
      <c r="AX127" s="15">
        <f>Ass!$I84*CPI*AX$36</f>
        <v>61969.436632601435</v>
      </c>
      <c r="AY127" s="15">
        <f>Ass!$I84*CPI*AY$36</f>
        <v>62398.740927077619</v>
      </c>
      <c r="AZ127" s="15">
        <f>Ass!$I84*CPI*AZ$36</f>
        <v>62831.019303412068</v>
      </c>
      <c r="BA127" s="15">
        <f>Ass!$I84*CPI*BA$36</f>
        <v>63266.292365085828</v>
      </c>
      <c r="BB127" s="15">
        <f>Ass!$I84*CPI*BB$36</f>
        <v>63704.580858314257</v>
      </c>
      <c r="BC127" s="15">
        <f>Ass!$I84*CPI*BC$36</f>
        <v>64145.90567303577</v>
      </c>
      <c r="BD127" s="15">
        <f>Ass!$I84*CPI*BD$36</f>
        <v>64590.287843907579</v>
      </c>
      <c r="BE127" s="15">
        <f>Ass!$I84*CPI*BE$36</f>
        <v>65037.748551308207</v>
      </c>
      <c r="BF127" s="15">
        <f>Ass!$I84*CPI*BF$36</f>
        <v>65488.309122347033</v>
      </c>
      <c r="BG127" s="15">
        <f>Ass!$I84*CPI*BG$36</f>
        <v>65941.991031880752</v>
      </c>
      <c r="BH127" s="15">
        <f>Ass!$I84*CPI*BH$36</f>
        <v>66398.815903536975</v>
      </c>
      <c r="BI127" s="15">
        <f>Ass!$I84*CPI*BI$36</f>
        <v>66858.805510744816</v>
      </c>
      <c r="BJ127" s="15">
        <f>Ass!$I84*CPI*BJ$36</f>
        <v>67321.981777772729</v>
      </c>
      <c r="BK127" s="15">
        <f>Ass!$I84*CPI*BK$36</f>
        <v>67788.366780773387</v>
      </c>
      <c r="BL127" s="15">
        <f>Ass!$I84*CPI*BL$36</f>
        <v>68257.982748835988</v>
      </c>
      <c r="BM127" s="15">
        <f>Ass!$I84*CPI*BM$36</f>
        <v>68730.852065045648</v>
      </c>
      <c r="BN127" s="15">
        <f>Ass!$I84*CPI*BN$36</f>
        <v>69206.997267550338</v>
      </c>
      <c r="BO127" s="15">
        <f>Ass!$I84*CPI*BO$36</f>
        <v>69686.441050635025</v>
      </c>
      <c r="BP127" s="15">
        <f>Ass!$I84*CPI*BP$36</f>
        <v>70169.206265803368</v>
      </c>
      <c r="BQ127" s="15">
        <f>Ass!$I84*CPI*BQ$36</f>
        <v>70655.31592286691</v>
      </c>
      <c r="BR127" s="15">
        <f>Ass!$I84*CPI*BR$36</f>
        <v>71144.793191041725</v>
      </c>
      <c r="BS127" s="15">
        <f>Ass!$I84*CPI*BS$36</f>
        <v>71637.661400052792</v>
      </c>
      <c r="BT127" s="15">
        <f>Ass!$I84*CPI*BT$36</f>
        <v>72133.94404124585</v>
      </c>
      <c r="BU127" s="15">
        <f>Ass!$I84*CPI*BU$36</f>
        <v>72633.664768707167</v>
      </c>
      <c r="BV127" s="15">
        <f>Ass!$I84*CPI*BV$36</f>
        <v>73136.847400390878</v>
      </c>
      <c r="BW127" s="15">
        <f>Ass!$I84*CPI*BW$36</f>
        <v>73643.515919254249</v>
      </c>
      <c r="BX127" s="15">
        <f>Ass!$I84*CPI*BX$36</f>
        <v>74153.69447440072</v>
      </c>
      <c r="BY127" s="15">
        <f>Ass!$I84*CPI*BY$36</f>
        <v>74667.407382230958</v>
      </c>
      <c r="BZ127" s="15">
        <f>Ass!$I84*CPI*BZ$36</f>
        <v>75184.679127601819</v>
      </c>
      <c r="CA127" s="15">
        <f>Ass!$I84*CPI*CA$36</f>
        <v>75705.534364993349</v>
      </c>
      <c r="CB127" s="15">
        <f>Ass!$I84*CPI*CB$36</f>
        <v>76229.997919683927</v>
      </c>
      <c r="CC127" s="15">
        <f>Ass!$I84*CPI*CC$36</f>
        <v>76758.094788933406</v>
      </c>
      <c r="CD127" s="15">
        <f>Ass!$I84*CPI*CD$36</f>
        <v>77289.850143174641</v>
      </c>
      <c r="CE127" s="15">
        <f>Ass!$I84*CPI*CE$36</f>
        <v>77825.289327213148</v>
      </c>
      <c r="CF127" s="15">
        <f>Ass!$I84*CPI*CF$36</f>
        <v>78364.437861435057</v>
      </c>
      <c r="CG127" s="15">
        <f>Ass!$I84*CPI*CG$36</f>
        <v>78907.321443023509</v>
      </c>
      <c r="CH127" s="15">
        <f>Ass!$I84*CPI*CH$36</f>
        <v>79453.965947183518</v>
      </c>
      <c r="CI127" s="15">
        <f>Ass!$I84*CPI*CI$36</f>
        <v>80004.397428375087</v>
      </c>
      <c r="CJ127" s="15">
        <f>Ass!$I84*CPI*CJ$36</f>
        <v>80558.642121555211</v>
      </c>
      <c r="CK127" s="15">
        <f>Ass!$I84*CPI*CK$36</f>
        <v>81116.726443428139</v>
      </c>
      <c r="CL127" s="15">
        <f>Ass!$I84*CPI*CL$36</f>
        <v>81678.676993704619</v>
      </c>
      <c r="CM127" s="15">
        <f>Ass!$I84*CPI*CM$36</f>
        <v>82244.520556369564</v>
      </c>
      <c r="CN127" s="15">
        <f>Ass!$I84*CPI*CN$36</f>
        <v>82814.284100958728</v>
      </c>
    </row>
    <row r="128" spans="1:92" ht="12.75" customHeight="1" x14ac:dyDescent="0.3">
      <c r="D128" s="15" t="s">
        <v>6</v>
      </c>
      <c r="H128" s="16" t="s">
        <v>1</v>
      </c>
      <c r="J128" s="58">
        <f>SUM(L128:CN128)</f>
        <v>106420925.69541359</v>
      </c>
      <c r="L128" s="15">
        <f>Ass!$I85*CPI*L$36</f>
        <v>0</v>
      </c>
      <c r="M128" s="15">
        <f>Ass!$I85*CPI*M$36</f>
        <v>1000000</v>
      </c>
      <c r="N128" s="15">
        <f>Ass!$I85*CPI*N$36</f>
        <v>1006927.6778651612</v>
      </c>
      <c r="O128" s="15">
        <f>Ass!$I85*CPI*O$36</f>
        <v>1013903.3484509259</v>
      </c>
      <c r="P128" s="15">
        <f>Ass!$I85*CPI*P$36</f>
        <v>1020927.3442354023</v>
      </c>
      <c r="Q128" s="15">
        <f>Ass!$I85*CPI*Q$36</f>
        <v>1027999.9999999998</v>
      </c>
      <c r="R128" s="15">
        <f>Ass!$I85*CPI*R$36</f>
        <v>1035121.6528453855</v>
      </c>
      <c r="S128" s="15">
        <f>Ass!$I85*CPI*S$36</f>
        <v>1042292.6422075516</v>
      </c>
      <c r="T128" s="15">
        <f>Ass!$I85*CPI*T$36</f>
        <v>1049513.3098739933</v>
      </c>
      <c r="U128" s="15">
        <f>Ass!$I85*CPI*U$36</f>
        <v>1056783.9999999995</v>
      </c>
      <c r="V128" s="15">
        <f>Ass!$I85*CPI*V$36</f>
        <v>1064105.059125056</v>
      </c>
      <c r="W128" s="15">
        <f>Ass!$I85*CPI*W$36</f>
        <v>1071476.8361893627</v>
      </c>
      <c r="X128" s="15">
        <f>Ass!$I85*CPI*X$36</f>
        <v>1078899.6825504648</v>
      </c>
      <c r="Y128" s="15">
        <f>Ass!$I85*CPI*Y$36</f>
        <v>1086373.9519999993</v>
      </c>
      <c r="Z128" s="15">
        <f>Ass!$I85*CPI*Z$36</f>
        <v>1093900.0007805575</v>
      </c>
      <c r="AA128" s="15">
        <f>Ass!$I85*CPI*AA$36</f>
        <v>1101478.1876026648</v>
      </c>
      <c r="AB128" s="15">
        <f>Ass!$I85*CPI*AB$36</f>
        <v>1109108.8736618778</v>
      </c>
      <c r="AC128" s="15">
        <f>Ass!$I85*CPI*AC$36</f>
        <v>1116792.4226559992</v>
      </c>
      <c r="AD128" s="15">
        <f>Ass!$I85*CPI*AD$36</f>
        <v>1124529.2008024128</v>
      </c>
      <c r="AE128" s="15">
        <f>Ass!$I85*CPI*AE$36</f>
        <v>1132319.5768555391</v>
      </c>
      <c r="AF128" s="15">
        <f>Ass!$I85*CPI*AF$36</f>
        <v>1140163.92212441</v>
      </c>
      <c r="AG128" s="15">
        <f>Ass!$I85*CPI*AG$36</f>
        <v>1148062.6104903666</v>
      </c>
      <c r="AH128" s="15">
        <f>Ass!$I85*CPI*AH$36</f>
        <v>1156016.01842488</v>
      </c>
      <c r="AI128" s="15">
        <f>Ass!$I85*CPI*AI$36</f>
        <v>1164024.5250074938</v>
      </c>
      <c r="AJ128" s="15">
        <f>Ass!$I85*CPI*AJ$36</f>
        <v>1172088.511943893</v>
      </c>
      <c r="AK128" s="15">
        <f>Ass!$I85*CPI*AK$36</f>
        <v>1180208.3635840965</v>
      </c>
      <c r="AL128" s="15">
        <f>Ass!$I85*CPI*AL$36</f>
        <v>1188384.4669407762</v>
      </c>
      <c r="AM128" s="15">
        <f>Ass!$I85*CPI*AM$36</f>
        <v>1196617.2117077033</v>
      </c>
      <c r="AN128" s="15">
        <f>Ass!$I85*CPI*AN$36</f>
        <v>1204906.9902783216</v>
      </c>
      <c r="AO128" s="15">
        <f>Ass!$I85*CPI*AO$36</f>
        <v>1213254.1977644509</v>
      </c>
      <c r="AP128" s="15">
        <f>Ass!$I85*CPI*AP$36</f>
        <v>1221659.2320151175</v>
      </c>
      <c r="AQ128" s="15">
        <f>Ass!$I85*CPI*AQ$36</f>
        <v>1230122.4936355187</v>
      </c>
      <c r="AR128" s="15">
        <f>Ass!$I85*CPI*AR$36</f>
        <v>1238644.3860061143</v>
      </c>
      <c r="AS128" s="15">
        <f>Ass!$I85*CPI*AS$36</f>
        <v>1247225.3153018551</v>
      </c>
      <c r="AT128" s="15">
        <f>Ass!$I85*CPI*AT$36</f>
        <v>1255865.6905115405</v>
      </c>
      <c r="AU128" s="15">
        <f>Ass!$I85*CPI*AU$36</f>
        <v>1264565.9234573126</v>
      </c>
      <c r="AV128" s="15">
        <f>Ass!$I85*CPI*AV$36</f>
        <v>1273326.428814285</v>
      </c>
      <c r="AW128" s="15">
        <f>Ass!$I85*CPI*AW$36</f>
        <v>1282147.6241303065</v>
      </c>
      <c r="AX128" s="15">
        <f>Ass!$I85*CPI*AX$36</f>
        <v>1291029.9298458633</v>
      </c>
      <c r="AY128" s="15">
        <f>Ass!$I85*CPI*AY$36</f>
        <v>1299973.769314117</v>
      </c>
      <c r="AZ128" s="15">
        <f>Ass!$I85*CPI*AZ$36</f>
        <v>1308979.5688210847</v>
      </c>
      <c r="BA128" s="15">
        <f>Ass!$I85*CPI*BA$36</f>
        <v>1318047.7576059548</v>
      </c>
      <c r="BB128" s="15">
        <f>Ass!$I85*CPI*BB$36</f>
        <v>1327178.7678815469</v>
      </c>
      <c r="BC128" s="15">
        <f>Ass!$I85*CPI*BC$36</f>
        <v>1336373.034854912</v>
      </c>
      <c r="BD128" s="15">
        <f>Ass!$I85*CPI*BD$36</f>
        <v>1345630.9967480747</v>
      </c>
      <c r="BE128" s="15">
        <f>Ass!$I85*CPI*BE$36</f>
        <v>1354953.0948189211</v>
      </c>
      <c r="BF128" s="15">
        <f>Ass!$I85*CPI*BF$36</f>
        <v>1364339.7733822297</v>
      </c>
      <c r="BG128" s="15">
        <f>Ass!$I85*CPI*BG$36</f>
        <v>1373791.479830849</v>
      </c>
      <c r="BH128" s="15">
        <f>Ass!$I85*CPI*BH$36</f>
        <v>1383308.6646570202</v>
      </c>
      <c r="BI128" s="15">
        <f>Ass!$I85*CPI*BI$36</f>
        <v>1392891.7814738504</v>
      </c>
      <c r="BJ128" s="15">
        <f>Ass!$I85*CPI*BJ$36</f>
        <v>1402541.2870369318</v>
      </c>
      <c r="BK128" s="15">
        <f>Ass!$I85*CPI*BK$36</f>
        <v>1412257.6412661122</v>
      </c>
      <c r="BL128" s="15">
        <f>Ass!$I85*CPI*BL$36</f>
        <v>1422041.3072674163</v>
      </c>
      <c r="BM128" s="15">
        <f>Ass!$I85*CPI*BM$36</f>
        <v>1431892.7513551177</v>
      </c>
      <c r="BN128" s="15">
        <f>Ass!$I85*CPI*BN$36</f>
        <v>1441812.4430739654</v>
      </c>
      <c r="BO128" s="15">
        <f>Ass!$I85*CPI*BO$36</f>
        <v>1451800.8552215628</v>
      </c>
      <c r="BP128" s="15">
        <f>Ass!$I85*CPI*BP$36</f>
        <v>1461858.4638709035</v>
      </c>
      <c r="BQ128" s="15">
        <f>Ass!$I85*CPI*BQ$36</f>
        <v>1471985.7483930606</v>
      </c>
      <c r="BR128" s="15">
        <f>Ass!$I85*CPI*BR$36</f>
        <v>1482183.1914800361</v>
      </c>
      <c r="BS128" s="15">
        <f>Ass!$I85*CPI*BS$36</f>
        <v>1492451.2791677664</v>
      </c>
      <c r="BT128" s="15">
        <f>Ass!$I85*CPI*BT$36</f>
        <v>1502790.5008592885</v>
      </c>
      <c r="BU128" s="15">
        <f>Ass!$I85*CPI*BU$36</f>
        <v>1513201.3493480661</v>
      </c>
      <c r="BV128" s="15">
        <f>Ass!$I85*CPI*BV$36</f>
        <v>1523684.3208414768</v>
      </c>
      <c r="BW128" s="15">
        <f>Ass!$I85*CPI*BW$36</f>
        <v>1534239.9149844635</v>
      </c>
      <c r="BX128" s="15">
        <f>Ass!$I85*CPI*BX$36</f>
        <v>1544868.6348833481</v>
      </c>
      <c r="BY128" s="15">
        <f>Ass!$I85*CPI*BY$36</f>
        <v>1555570.9871298117</v>
      </c>
      <c r="BZ128" s="15">
        <f>Ass!$I85*CPI*BZ$36</f>
        <v>1566347.4818250379</v>
      </c>
      <c r="CA128" s="15">
        <f>Ass!$I85*CPI*CA$36</f>
        <v>1577198.6326040281</v>
      </c>
      <c r="CB128" s="15">
        <f>Ass!$I85*CPI*CB$36</f>
        <v>1588124.9566600816</v>
      </c>
      <c r="CC128" s="15">
        <f>Ass!$I85*CPI*CC$36</f>
        <v>1599126.9747694458</v>
      </c>
      <c r="CD128" s="15">
        <f>Ass!$I85*CPI*CD$36</f>
        <v>1610205.2113161385</v>
      </c>
      <c r="CE128" s="15">
        <f>Ass!$I85*CPI*CE$36</f>
        <v>1621360.1943169406</v>
      </c>
      <c r="CF128" s="15">
        <f>Ass!$I85*CPI*CF$36</f>
        <v>1632592.4554465637</v>
      </c>
      <c r="CG128" s="15">
        <f>Ass!$I85*CPI*CG$36</f>
        <v>1643902.53006299</v>
      </c>
      <c r="CH128" s="15">
        <f>Ass!$I85*CPI*CH$36</f>
        <v>1655290.9572329898</v>
      </c>
      <c r="CI128" s="15">
        <f>Ass!$I85*CPI*CI$36</f>
        <v>1666758.2797578145</v>
      </c>
      <c r="CJ128" s="15">
        <f>Ass!$I85*CPI*CJ$36</f>
        <v>1678305.0441990667</v>
      </c>
      <c r="CK128" s="15">
        <f>Ass!$I85*CPI*CK$36</f>
        <v>1689931.8009047529</v>
      </c>
      <c r="CL128" s="15">
        <f>Ass!$I85*CPI*CL$36</f>
        <v>1701639.104035513</v>
      </c>
      <c r="CM128" s="15">
        <f>Ass!$I85*CPI*CM$36</f>
        <v>1713427.5115910326</v>
      </c>
      <c r="CN128" s="15">
        <f>Ass!$I85*CPI*CN$36</f>
        <v>1725297.5854366401</v>
      </c>
    </row>
    <row r="129" spans="1:92" ht="12.75" customHeight="1" x14ac:dyDescent="0.3">
      <c r="D129" s="15" t="s">
        <v>7</v>
      </c>
      <c r="H129" s="16" t="s">
        <v>1</v>
      </c>
      <c r="J129" s="58">
        <f>SUM(L129:CN129)</f>
        <v>127705110.83449632</v>
      </c>
      <c r="L129" s="15">
        <f>Ass!$I86*CPI*L$36</f>
        <v>0</v>
      </c>
      <c r="M129" s="15">
        <f>Ass!$I86*CPI*M$36</f>
        <v>1200000</v>
      </c>
      <c r="N129" s="15">
        <f>Ass!$I86*CPI*N$36</f>
        <v>1208313.2134381935</v>
      </c>
      <c r="O129" s="15">
        <f>Ass!$I86*CPI*O$36</f>
        <v>1216684.0181411111</v>
      </c>
      <c r="P129" s="15">
        <f>Ass!$I86*CPI*P$36</f>
        <v>1225112.8130824829</v>
      </c>
      <c r="Q129" s="15">
        <f>Ass!$I86*CPI*Q$36</f>
        <v>1233599.9999999998</v>
      </c>
      <c r="R129" s="15">
        <f>Ass!$I86*CPI*R$36</f>
        <v>1242145.9834144625</v>
      </c>
      <c r="S129" s="15">
        <f>Ass!$I86*CPI*S$36</f>
        <v>1250751.1706490619</v>
      </c>
      <c r="T129" s="15">
        <f>Ass!$I86*CPI*T$36</f>
        <v>1259415.9718487919</v>
      </c>
      <c r="U129" s="15">
        <f>Ass!$I86*CPI*U$36</f>
        <v>1268140.7999999993</v>
      </c>
      <c r="V129" s="15">
        <f>Ass!$I86*CPI*V$36</f>
        <v>1276926.0709500671</v>
      </c>
      <c r="W129" s="15">
        <f>Ass!$I86*CPI*W$36</f>
        <v>1285772.2034272354</v>
      </c>
      <c r="X129" s="15">
        <f>Ass!$I86*CPI*X$36</f>
        <v>1294679.6190605578</v>
      </c>
      <c r="Y129" s="15">
        <f>Ass!$I86*CPI*Y$36</f>
        <v>1303648.7423999992</v>
      </c>
      <c r="Z129" s="15">
        <f>Ass!$I86*CPI*Z$36</f>
        <v>1312680.0009366691</v>
      </c>
      <c r="AA129" s="15">
        <f>Ass!$I86*CPI*AA$36</f>
        <v>1321773.8251231979</v>
      </c>
      <c r="AB129" s="15">
        <f>Ass!$I86*CPI*AB$36</f>
        <v>1330930.6483942533</v>
      </c>
      <c r="AC129" s="15">
        <f>Ass!$I86*CPI*AC$36</f>
        <v>1340150.907187199</v>
      </c>
      <c r="AD129" s="15">
        <f>Ass!$I86*CPI*AD$36</f>
        <v>1349435.0409628954</v>
      </c>
      <c r="AE129" s="15">
        <f>Ass!$I86*CPI*AE$36</f>
        <v>1358783.492226647</v>
      </c>
      <c r="AF129" s="15">
        <f>Ass!$I86*CPI*AF$36</f>
        <v>1368196.706549292</v>
      </c>
      <c r="AG129" s="15">
        <f>Ass!$I86*CPI*AG$36</f>
        <v>1377675.1325884399</v>
      </c>
      <c r="AH129" s="15">
        <f>Ass!$I86*CPI*AH$36</f>
        <v>1387219.2221098561</v>
      </c>
      <c r="AI129" s="15">
        <f>Ass!$I86*CPI*AI$36</f>
        <v>1396829.4300089926</v>
      </c>
      <c r="AJ129" s="15">
        <f>Ass!$I86*CPI*AJ$36</f>
        <v>1406506.2143326716</v>
      </c>
      <c r="AK129" s="15">
        <f>Ass!$I86*CPI*AK$36</f>
        <v>1416250.0363009158</v>
      </c>
      <c r="AL129" s="15">
        <f>Ass!$I86*CPI*AL$36</f>
        <v>1426061.3603289314</v>
      </c>
      <c r="AM129" s="15">
        <f>Ass!$I86*CPI*AM$36</f>
        <v>1435940.6540492438</v>
      </c>
      <c r="AN129" s="15">
        <f>Ass!$I86*CPI*AN$36</f>
        <v>1445888.3883339858</v>
      </c>
      <c r="AO129" s="15">
        <f>Ass!$I86*CPI*AO$36</f>
        <v>1455905.037317341</v>
      </c>
      <c r="AP129" s="15">
        <f>Ass!$I86*CPI*AP$36</f>
        <v>1465991.0784181412</v>
      </c>
      <c r="AQ129" s="15">
        <f>Ass!$I86*CPI*AQ$36</f>
        <v>1476146.9923626224</v>
      </c>
      <c r="AR129" s="15">
        <f>Ass!$I86*CPI*AR$36</f>
        <v>1486373.2632073371</v>
      </c>
      <c r="AS129" s="15">
        <f>Ass!$I86*CPI*AS$36</f>
        <v>1496670.3783622261</v>
      </c>
      <c r="AT129" s="15">
        <f>Ass!$I86*CPI*AT$36</f>
        <v>1507038.8286138484</v>
      </c>
      <c r="AU129" s="15">
        <f>Ass!$I86*CPI*AU$36</f>
        <v>1517479.1081487751</v>
      </c>
      <c r="AV129" s="15">
        <f>Ass!$I86*CPI*AV$36</f>
        <v>1527991.7145771419</v>
      </c>
      <c r="AW129" s="15">
        <f>Ass!$I86*CPI*AW$36</f>
        <v>1538577.1489563677</v>
      </c>
      <c r="AX129" s="15">
        <f>Ass!$I86*CPI*AX$36</f>
        <v>1549235.9158150358</v>
      </c>
      <c r="AY129" s="15">
        <f>Ass!$I86*CPI*AY$36</f>
        <v>1559968.5231769406</v>
      </c>
      <c r="AZ129" s="15">
        <f>Ass!$I86*CPI*AZ$36</f>
        <v>1570775.4825853019</v>
      </c>
      <c r="BA129" s="15">
        <f>Ass!$I86*CPI*BA$36</f>
        <v>1581657.3091271457</v>
      </c>
      <c r="BB129" s="15">
        <f>Ass!$I86*CPI*BB$36</f>
        <v>1592614.5214578563</v>
      </c>
      <c r="BC129" s="15">
        <f>Ass!$I86*CPI*BC$36</f>
        <v>1603647.6418258944</v>
      </c>
      <c r="BD129" s="15">
        <f>Ass!$I86*CPI*BD$36</f>
        <v>1614757.1960976894</v>
      </c>
      <c r="BE129" s="15">
        <f>Ass!$I86*CPI*BE$36</f>
        <v>1625943.7137827051</v>
      </c>
      <c r="BF129" s="15">
        <f>Ass!$I86*CPI*BF$36</f>
        <v>1637207.7280586758</v>
      </c>
      <c r="BG129" s="15">
        <f>Ass!$I86*CPI*BG$36</f>
        <v>1648549.7757970188</v>
      </c>
      <c r="BH129" s="15">
        <f>Ass!$I86*CPI*BH$36</f>
        <v>1659970.3975884244</v>
      </c>
      <c r="BI129" s="15">
        <f>Ass!$I86*CPI*BI$36</f>
        <v>1671470.1377686204</v>
      </c>
      <c r="BJ129" s="15">
        <f>Ass!$I86*CPI*BJ$36</f>
        <v>1683049.5444443182</v>
      </c>
      <c r="BK129" s="15">
        <f>Ass!$I86*CPI*BK$36</f>
        <v>1694709.1695193348</v>
      </c>
      <c r="BL129" s="15">
        <f>Ass!$I86*CPI*BL$36</f>
        <v>1706449.5687208995</v>
      </c>
      <c r="BM129" s="15">
        <f>Ass!$I86*CPI*BM$36</f>
        <v>1718271.3016261412</v>
      </c>
      <c r="BN129" s="15">
        <f>Ass!$I86*CPI*BN$36</f>
        <v>1730174.9316887585</v>
      </c>
      <c r="BO129" s="15">
        <f>Ass!$I86*CPI*BO$36</f>
        <v>1742161.0262658754</v>
      </c>
      <c r="BP129" s="15">
        <f>Ass!$I86*CPI*BP$36</f>
        <v>1754230.1566450843</v>
      </c>
      <c r="BQ129" s="15">
        <f>Ass!$I86*CPI*BQ$36</f>
        <v>1766382.8980716728</v>
      </c>
      <c r="BR129" s="15">
        <f>Ass!$I86*CPI*BR$36</f>
        <v>1778619.8297760433</v>
      </c>
      <c r="BS129" s="15">
        <f>Ass!$I86*CPI*BS$36</f>
        <v>1790941.5350013198</v>
      </c>
      <c r="BT129" s="15">
        <f>Ass!$I86*CPI*BT$36</f>
        <v>1803348.6010311462</v>
      </c>
      <c r="BU129" s="15">
        <f>Ass!$I86*CPI*BU$36</f>
        <v>1815841.6192176794</v>
      </c>
      <c r="BV129" s="15">
        <f>Ass!$I86*CPI*BV$36</f>
        <v>1828421.1850097722</v>
      </c>
      <c r="BW129" s="15">
        <f>Ass!$I86*CPI*BW$36</f>
        <v>1841087.8979813561</v>
      </c>
      <c r="BX129" s="15">
        <f>Ass!$I86*CPI*BX$36</f>
        <v>1853842.361860018</v>
      </c>
      <c r="BY129" s="15">
        <f>Ass!$I86*CPI*BY$36</f>
        <v>1866685.1845557739</v>
      </c>
      <c r="BZ129" s="15">
        <f>Ass!$I86*CPI*BZ$36</f>
        <v>1879616.9781900453</v>
      </c>
      <c r="CA129" s="15">
        <f>Ass!$I86*CPI*CA$36</f>
        <v>1892638.3591248337</v>
      </c>
      <c r="CB129" s="15">
        <f>Ass!$I86*CPI*CB$36</f>
        <v>1905749.9479920981</v>
      </c>
      <c r="CC129" s="15">
        <f>Ass!$I86*CPI*CC$36</f>
        <v>1918952.3697233351</v>
      </c>
      <c r="CD129" s="15">
        <f>Ass!$I86*CPI*CD$36</f>
        <v>1932246.2535793663</v>
      </c>
      <c r="CE129" s="15">
        <f>Ass!$I86*CPI*CE$36</f>
        <v>1945632.2331803287</v>
      </c>
      <c r="CF129" s="15">
        <f>Ass!$I86*CPI*CF$36</f>
        <v>1959110.9465358763</v>
      </c>
      <c r="CG129" s="15">
        <f>Ass!$I86*CPI*CG$36</f>
        <v>1972683.0360755879</v>
      </c>
      <c r="CH129" s="15">
        <f>Ass!$I86*CPI*CH$36</f>
        <v>1986349.148679588</v>
      </c>
      <c r="CI129" s="15">
        <f>Ass!$I86*CPI*CI$36</f>
        <v>2000109.9357093773</v>
      </c>
      <c r="CJ129" s="15">
        <f>Ass!$I86*CPI*CJ$36</f>
        <v>2013966.0530388802</v>
      </c>
      <c r="CK129" s="15">
        <f>Ass!$I86*CPI*CK$36</f>
        <v>2027918.1610857036</v>
      </c>
      <c r="CL129" s="15">
        <f>Ass!$I86*CPI*CL$36</f>
        <v>2041966.9248426156</v>
      </c>
      <c r="CM129" s="15">
        <f>Ass!$I86*CPI*CM$36</f>
        <v>2056113.0139092393</v>
      </c>
      <c r="CN129" s="15">
        <f>Ass!$I86*CPI*CN$36</f>
        <v>2070357.1025239681</v>
      </c>
    </row>
    <row r="130" spans="1:92" ht="12.75" customHeight="1" x14ac:dyDescent="0.3">
      <c r="D130" s="15" t="s">
        <v>8</v>
      </c>
      <c r="H130" s="16" t="s">
        <v>1</v>
      </c>
      <c r="J130" s="58">
        <f>SUM(L130:CN130)</f>
        <v>31926277.70862408</v>
      </c>
      <c r="L130" s="15">
        <f>Ass!$I87*CPI*L$36</f>
        <v>0</v>
      </c>
      <c r="M130" s="15">
        <f>Ass!$I87*CPI*M$36</f>
        <v>300000</v>
      </c>
      <c r="N130" s="15">
        <f>Ass!$I87*CPI*N$36</f>
        <v>302078.30335954839</v>
      </c>
      <c r="O130" s="15">
        <f>Ass!$I87*CPI*O$36</f>
        <v>304171.00453527778</v>
      </c>
      <c r="P130" s="15">
        <f>Ass!$I87*CPI*P$36</f>
        <v>306278.20327062072</v>
      </c>
      <c r="Q130" s="15">
        <f>Ass!$I87*CPI*Q$36</f>
        <v>308399.99999999994</v>
      </c>
      <c r="R130" s="15">
        <f>Ass!$I87*CPI*R$36</f>
        <v>310536.49585361563</v>
      </c>
      <c r="S130" s="15">
        <f>Ass!$I87*CPI*S$36</f>
        <v>312687.79266226548</v>
      </c>
      <c r="T130" s="15">
        <f>Ass!$I87*CPI*T$36</f>
        <v>314853.99296219798</v>
      </c>
      <c r="U130" s="15">
        <f>Ass!$I87*CPI*U$36</f>
        <v>317035.19999999984</v>
      </c>
      <c r="V130" s="15">
        <f>Ass!$I87*CPI*V$36</f>
        <v>319231.51773751678</v>
      </c>
      <c r="W130" s="15">
        <f>Ass!$I87*CPI*W$36</f>
        <v>321443.05085680884</v>
      </c>
      <c r="X130" s="15">
        <f>Ass!$I87*CPI*X$36</f>
        <v>323669.90476513945</v>
      </c>
      <c r="Y130" s="15">
        <f>Ass!$I87*CPI*Y$36</f>
        <v>325912.18559999979</v>
      </c>
      <c r="Z130" s="15">
        <f>Ass!$I87*CPI*Z$36</f>
        <v>328170.00023416727</v>
      </c>
      <c r="AA130" s="15">
        <f>Ass!$I87*CPI*AA$36</f>
        <v>330443.45628079947</v>
      </c>
      <c r="AB130" s="15">
        <f>Ass!$I87*CPI*AB$36</f>
        <v>332732.66209856333</v>
      </c>
      <c r="AC130" s="15">
        <f>Ass!$I87*CPI*AC$36</f>
        <v>335037.72679679975</v>
      </c>
      <c r="AD130" s="15">
        <f>Ass!$I87*CPI*AD$36</f>
        <v>337358.76024072384</v>
      </c>
      <c r="AE130" s="15">
        <f>Ass!$I87*CPI*AE$36</f>
        <v>339695.87305666175</v>
      </c>
      <c r="AF130" s="15">
        <f>Ass!$I87*CPI*AF$36</f>
        <v>342049.17663732299</v>
      </c>
      <c r="AG130" s="15">
        <f>Ass!$I87*CPI*AG$36</f>
        <v>344418.78314710996</v>
      </c>
      <c r="AH130" s="15">
        <f>Ass!$I87*CPI*AH$36</f>
        <v>346804.80552746402</v>
      </c>
      <c r="AI130" s="15">
        <f>Ass!$I87*CPI*AI$36</f>
        <v>349207.35750224814</v>
      </c>
      <c r="AJ130" s="15">
        <f>Ass!$I87*CPI*AJ$36</f>
        <v>351626.5535831679</v>
      </c>
      <c r="AK130" s="15">
        <f>Ass!$I87*CPI*AK$36</f>
        <v>354062.50907522894</v>
      </c>
      <c r="AL130" s="15">
        <f>Ass!$I87*CPI*AL$36</f>
        <v>356515.34008223284</v>
      </c>
      <c r="AM130" s="15">
        <f>Ass!$I87*CPI*AM$36</f>
        <v>358985.16351231094</v>
      </c>
      <c r="AN130" s="15">
        <f>Ass!$I87*CPI*AN$36</f>
        <v>361472.09708349645</v>
      </c>
      <c r="AO130" s="15">
        <f>Ass!$I87*CPI*AO$36</f>
        <v>363976.25932933524</v>
      </c>
      <c r="AP130" s="15">
        <f>Ass!$I87*CPI*AP$36</f>
        <v>366497.76960453531</v>
      </c>
      <c r="AQ130" s="15">
        <f>Ass!$I87*CPI*AQ$36</f>
        <v>369036.7480906556</v>
      </c>
      <c r="AR130" s="15">
        <f>Ass!$I87*CPI*AR$36</f>
        <v>371593.31580183428</v>
      </c>
      <c r="AS130" s="15">
        <f>Ass!$I87*CPI*AS$36</f>
        <v>374167.59459055652</v>
      </c>
      <c r="AT130" s="15">
        <f>Ass!$I87*CPI*AT$36</f>
        <v>376759.70715346211</v>
      </c>
      <c r="AU130" s="15">
        <f>Ass!$I87*CPI*AU$36</f>
        <v>379369.77703719377</v>
      </c>
      <c r="AV130" s="15">
        <f>Ass!$I87*CPI*AV$36</f>
        <v>381997.92864428548</v>
      </c>
      <c r="AW130" s="15">
        <f>Ass!$I87*CPI*AW$36</f>
        <v>384644.28723909194</v>
      </c>
      <c r="AX130" s="15">
        <f>Ass!$I87*CPI*AX$36</f>
        <v>387308.97895375895</v>
      </c>
      <c r="AY130" s="15">
        <f>Ass!$I87*CPI*AY$36</f>
        <v>389992.13079423516</v>
      </c>
      <c r="AZ130" s="15">
        <f>Ass!$I87*CPI*AZ$36</f>
        <v>392693.87064632546</v>
      </c>
      <c r="BA130" s="15">
        <f>Ass!$I87*CPI*BA$36</f>
        <v>395414.32728178642</v>
      </c>
      <c r="BB130" s="15">
        <f>Ass!$I87*CPI*BB$36</f>
        <v>398153.63036446407</v>
      </c>
      <c r="BC130" s="15">
        <f>Ass!$I87*CPI*BC$36</f>
        <v>400911.91045647359</v>
      </c>
      <c r="BD130" s="15">
        <f>Ass!$I87*CPI*BD$36</f>
        <v>403689.29902442236</v>
      </c>
      <c r="BE130" s="15">
        <f>Ass!$I87*CPI*BE$36</f>
        <v>406485.92844567628</v>
      </c>
      <c r="BF130" s="15">
        <f>Ass!$I87*CPI*BF$36</f>
        <v>409301.93201466894</v>
      </c>
      <c r="BG130" s="15">
        <f>Ass!$I87*CPI*BG$36</f>
        <v>412137.4439492547</v>
      </c>
      <c r="BH130" s="15">
        <f>Ass!$I87*CPI*BH$36</f>
        <v>414992.5993971061</v>
      </c>
      <c r="BI130" s="15">
        <f>Ass!$I87*CPI*BI$36</f>
        <v>417867.5344421551</v>
      </c>
      <c r="BJ130" s="15">
        <f>Ass!$I87*CPI*BJ$36</f>
        <v>420762.38611107954</v>
      </c>
      <c r="BK130" s="15">
        <f>Ass!$I87*CPI*BK$36</f>
        <v>423677.2923798337</v>
      </c>
      <c r="BL130" s="15">
        <f>Ass!$I87*CPI*BL$36</f>
        <v>426612.39218022488</v>
      </c>
      <c r="BM130" s="15">
        <f>Ass!$I87*CPI*BM$36</f>
        <v>429567.8254065353</v>
      </c>
      <c r="BN130" s="15">
        <f>Ass!$I87*CPI*BN$36</f>
        <v>432543.73292218964</v>
      </c>
      <c r="BO130" s="15">
        <f>Ass!$I87*CPI*BO$36</f>
        <v>435540.25656646886</v>
      </c>
      <c r="BP130" s="15">
        <f>Ass!$I87*CPI*BP$36</f>
        <v>438557.53916127107</v>
      </c>
      <c r="BQ130" s="15">
        <f>Ass!$I87*CPI*BQ$36</f>
        <v>441595.72451791819</v>
      </c>
      <c r="BR130" s="15">
        <f>Ass!$I87*CPI*BR$36</f>
        <v>444654.95744401083</v>
      </c>
      <c r="BS130" s="15">
        <f>Ass!$I87*CPI*BS$36</f>
        <v>447735.38375032996</v>
      </c>
      <c r="BT130" s="15">
        <f>Ass!$I87*CPI*BT$36</f>
        <v>450837.15025778656</v>
      </c>
      <c r="BU130" s="15">
        <f>Ass!$I87*CPI*BU$36</f>
        <v>453960.40480441984</v>
      </c>
      <c r="BV130" s="15">
        <f>Ass!$I87*CPI*BV$36</f>
        <v>457105.29625244305</v>
      </c>
      <c r="BW130" s="15">
        <f>Ass!$I87*CPI*BW$36</f>
        <v>460271.97449533903</v>
      </c>
      <c r="BX130" s="15">
        <f>Ass!$I87*CPI*BX$36</f>
        <v>463460.5904650045</v>
      </c>
      <c r="BY130" s="15">
        <f>Ass!$I87*CPI*BY$36</f>
        <v>466671.29613894346</v>
      </c>
      <c r="BZ130" s="15">
        <f>Ass!$I87*CPI*BZ$36</f>
        <v>469904.24454751133</v>
      </c>
      <c r="CA130" s="15">
        <f>Ass!$I87*CPI*CA$36</f>
        <v>473159.58978120843</v>
      </c>
      <c r="CB130" s="15">
        <f>Ass!$I87*CPI*CB$36</f>
        <v>476437.48699802451</v>
      </c>
      <c r="CC130" s="15">
        <f>Ass!$I87*CPI*CC$36</f>
        <v>479738.09243083379</v>
      </c>
      <c r="CD130" s="15">
        <f>Ass!$I87*CPI*CD$36</f>
        <v>483061.56339484156</v>
      </c>
      <c r="CE130" s="15">
        <f>Ass!$I87*CPI*CE$36</f>
        <v>486408.05829508218</v>
      </c>
      <c r="CF130" s="15">
        <f>Ass!$I87*CPI*CF$36</f>
        <v>489777.73663396906</v>
      </c>
      <c r="CG130" s="15">
        <f>Ass!$I87*CPI*CG$36</f>
        <v>493170.75901889696</v>
      </c>
      <c r="CH130" s="15">
        <f>Ass!$I87*CPI*CH$36</f>
        <v>496587.287169897</v>
      </c>
      <c r="CI130" s="15">
        <f>Ass!$I87*CPI*CI$36</f>
        <v>500027.48392734432</v>
      </c>
      <c r="CJ130" s="15">
        <f>Ass!$I87*CPI*CJ$36</f>
        <v>503491.51325972006</v>
      </c>
      <c r="CK130" s="15">
        <f>Ass!$I87*CPI*CK$36</f>
        <v>506979.54027142591</v>
      </c>
      <c r="CL130" s="15">
        <f>Ass!$I87*CPI*CL$36</f>
        <v>510491.7312106539</v>
      </c>
      <c r="CM130" s="15">
        <f>Ass!$I87*CPI*CM$36</f>
        <v>514028.25347730983</v>
      </c>
      <c r="CN130" s="15">
        <f>Ass!$I87*CPI*CN$36</f>
        <v>517589.27563099202</v>
      </c>
    </row>
    <row r="131" spans="1:92" ht="12.75" customHeight="1" x14ac:dyDescent="0.3">
      <c r="D131" s="51" t="s">
        <v>169</v>
      </c>
      <c r="H131" s="16"/>
      <c r="J131" s="79">
        <f>SUM(L131:CN131)</f>
        <v>271160518.6719138</v>
      </c>
      <c r="L131" s="51">
        <f>SUM(L127:L130)</f>
        <v>0</v>
      </c>
      <c r="M131" s="51">
        <f t="shared" ref="M131:R131" si="1109">SUM(M127:M130)</f>
        <v>2548000</v>
      </c>
      <c r="N131" s="51">
        <f t="shared" si="1109"/>
        <v>2565651.7232004311</v>
      </c>
      <c r="O131" s="51">
        <f t="shared" si="1109"/>
        <v>2583425.7318529594</v>
      </c>
      <c r="P131" s="51">
        <f t="shared" si="1109"/>
        <v>2601322.8731118049</v>
      </c>
      <c r="Q131" s="51">
        <f t="shared" si="1109"/>
        <v>2619343.9999999995</v>
      </c>
      <c r="R131" s="51">
        <f t="shared" si="1109"/>
        <v>2637489.971450042</v>
      </c>
      <c r="S131" s="51">
        <f t="shared" ref="S131" si="1110">SUM(S127:S130)</f>
        <v>2655761.6523448415</v>
      </c>
      <c r="T131" s="51">
        <f t="shared" ref="T131" si="1111">SUM(T127:T130)</f>
        <v>2674159.9135589348</v>
      </c>
      <c r="U131" s="51">
        <f t="shared" ref="U131" si="1112">SUM(U127:U130)</f>
        <v>2692685.6319999988</v>
      </c>
      <c r="V131" s="51">
        <f t="shared" ref="V131" si="1113">SUM(V127:V130)</f>
        <v>2711339.6906506424</v>
      </c>
      <c r="W131" s="51">
        <f t="shared" ref="W131" si="1114">SUM(W127:W130)</f>
        <v>2730122.978610496</v>
      </c>
      <c r="X131" s="51">
        <f t="shared" ref="X131" si="1115">SUM(X127:X130)</f>
        <v>2749036.3911385844</v>
      </c>
      <c r="Y131" s="51">
        <f t="shared" ref="Y131" si="1116">SUM(Y127:Y130)</f>
        <v>2768080.8296959982</v>
      </c>
      <c r="Z131" s="51">
        <f t="shared" ref="Z131" si="1117">SUM(Z127:Z130)</f>
        <v>2787257.2019888605</v>
      </c>
      <c r="AA131" s="51">
        <f t="shared" ref="AA131" si="1118">SUM(AA127:AA130)</f>
        <v>2806566.4220115901</v>
      </c>
      <c r="AB131" s="51">
        <f t="shared" ref="AB131" si="1119">SUM(AB127:AB130)</f>
        <v>2826009.4100904646</v>
      </c>
      <c r="AC131" s="51">
        <f t="shared" ref="AC131" si="1120">SUM(AC127:AC130)</f>
        <v>2845587.0929274862</v>
      </c>
      <c r="AD131" s="51">
        <f t="shared" ref="AD131" si="1121">SUM(AD127:AD130)</f>
        <v>2865300.4036445478</v>
      </c>
      <c r="AE131" s="51">
        <f t="shared" ref="AE131" si="1122">SUM(AE127:AE130)</f>
        <v>2885150.2818279141</v>
      </c>
      <c r="AF131" s="51">
        <f t="shared" ref="AF131" si="1123">SUM(AF127:AF130)</f>
        <v>2905137.6735729971</v>
      </c>
      <c r="AG131" s="51">
        <f t="shared" ref="AG131" si="1124">SUM(AG127:AG130)</f>
        <v>2925263.531529454</v>
      </c>
      <c r="AH131" s="51">
        <f t="shared" ref="AH131" si="1125">SUM(AH127:AH130)</f>
        <v>2945528.8149465942</v>
      </c>
      <c r="AI131" s="51">
        <f t="shared" ref="AI131" si="1126">SUM(AI127:AI130)</f>
        <v>2965934.4897190942</v>
      </c>
      <c r="AJ131" s="51">
        <f t="shared" ref="AJ131" si="1127">SUM(AJ127:AJ130)</f>
        <v>2986481.5284330393</v>
      </c>
      <c r="AK131" s="51">
        <f t="shared" ref="AK131" si="1128">SUM(AK127:AK130)</f>
        <v>3007170.910412278</v>
      </c>
      <c r="AL131" s="51">
        <f t="shared" ref="AL131" si="1129">SUM(AL127:AL130)</f>
        <v>3028003.6217650976</v>
      </c>
      <c r="AM131" s="51">
        <f t="shared" ref="AM131" si="1130">SUM(AM127:AM130)</f>
        <v>3048980.6554312278</v>
      </c>
      <c r="AN131" s="51">
        <f t="shared" ref="AN131" si="1131">SUM(AN127:AN130)</f>
        <v>3070103.0112291635</v>
      </c>
      <c r="AO131" s="51">
        <f t="shared" ref="AO131" si="1132">SUM(AO127:AO130)</f>
        <v>3091371.6959038209</v>
      </c>
      <c r="AP131" s="51">
        <f t="shared" ref="AP131" si="1133">SUM(AP127:AP130)</f>
        <v>3112787.7231745198</v>
      </c>
      <c r="AQ131" s="51">
        <f t="shared" ref="AQ131" si="1134">SUM(AQ127:AQ130)</f>
        <v>3134352.1137833018</v>
      </c>
      <c r="AR131" s="51">
        <f t="shared" ref="AR131" si="1135">SUM(AR127:AR130)</f>
        <v>3156065.8955435795</v>
      </c>
      <c r="AS131" s="51">
        <f t="shared" ref="AS131" si="1136">SUM(AS127:AS130)</f>
        <v>3177930.1033891267</v>
      </c>
      <c r="AT131" s="51">
        <f t="shared" ref="AT131" si="1137">SUM(AT127:AT130)</f>
        <v>3199945.7794234045</v>
      </c>
      <c r="AU131" s="51">
        <f t="shared" ref="AU131" si="1138">SUM(AU127:AU130)</f>
        <v>3222113.9729692321</v>
      </c>
      <c r="AV131" s="51">
        <f t="shared" ref="AV131" si="1139">SUM(AV127:AV130)</f>
        <v>3244435.740618798</v>
      </c>
      <c r="AW131" s="51">
        <f t="shared" ref="AW131" si="1140">SUM(AW127:AW130)</f>
        <v>3266912.146284021</v>
      </c>
      <c r="AX131" s="51">
        <f t="shared" ref="AX131" si="1141">SUM(AX127:AX130)</f>
        <v>3289544.2612472596</v>
      </c>
      <c r="AY131" s="51">
        <f t="shared" ref="AY131" si="1142">SUM(AY127:AY130)</f>
        <v>3312333.1642123703</v>
      </c>
      <c r="AZ131" s="51">
        <f t="shared" ref="AZ131" si="1143">SUM(AZ127:AZ130)</f>
        <v>3335279.9413561239</v>
      </c>
      <c r="BA131" s="51">
        <f t="shared" ref="BA131" si="1144">SUM(BA127:BA130)</f>
        <v>3358385.6863799728</v>
      </c>
      <c r="BB131" s="51">
        <f t="shared" ref="BB131" si="1145">SUM(BB127:BB130)</f>
        <v>3381651.5005621812</v>
      </c>
      <c r="BC131" s="51">
        <f t="shared" ref="BC131" si="1146">SUM(BC127:BC130)</f>
        <v>3405078.4928103155</v>
      </c>
      <c r="BD131" s="51">
        <f t="shared" ref="BD131" si="1147">SUM(BD127:BD130)</f>
        <v>3428667.779714094</v>
      </c>
      <c r="BE131" s="51">
        <f t="shared" ref="BE131" si="1148">SUM(BE127:BE130)</f>
        <v>3452420.4855986107</v>
      </c>
      <c r="BF131" s="51">
        <f t="shared" ref="BF131" si="1149">SUM(BF127:BF130)</f>
        <v>3476337.7425779211</v>
      </c>
      <c r="BG131" s="51">
        <f t="shared" ref="BG131" si="1150">SUM(BG127:BG130)</f>
        <v>3500420.690609003</v>
      </c>
      <c r="BH131" s="51">
        <f t="shared" ref="BH131" si="1151">SUM(BH127:BH130)</f>
        <v>3524670.4775460875</v>
      </c>
      <c r="BI131" s="51">
        <f t="shared" ref="BI131" si="1152">SUM(BI127:BI130)</f>
        <v>3549088.2591953711</v>
      </c>
      <c r="BJ131" s="51">
        <f t="shared" ref="BJ131" si="1153">SUM(BJ127:BJ130)</f>
        <v>3573675.1993701025</v>
      </c>
      <c r="BK131" s="51">
        <f t="shared" ref="BK131" si="1154">SUM(BK127:BK130)</f>
        <v>3598432.4699460538</v>
      </c>
      <c r="BL131" s="51">
        <f t="shared" ref="BL131" si="1155">SUM(BL127:BL130)</f>
        <v>3623361.250917377</v>
      </c>
      <c r="BM131" s="51">
        <f t="shared" ref="BM131" si="1156">SUM(BM127:BM130)</f>
        <v>3648462.7304528402</v>
      </c>
      <c r="BN131" s="51">
        <f t="shared" ref="BN131" si="1157">SUM(BN127:BN130)</f>
        <v>3673738.1049524639</v>
      </c>
      <c r="BO131" s="51">
        <f t="shared" ref="BO131" si="1158">SUM(BO127:BO130)</f>
        <v>3699188.5791045418</v>
      </c>
      <c r="BP131" s="51">
        <f t="shared" ref="BP131" si="1159">SUM(BP127:BP130)</f>
        <v>3724815.3659430621</v>
      </c>
      <c r="BQ131" s="51">
        <f t="shared" ref="BQ131" si="1160">SUM(BQ127:BQ130)</f>
        <v>3750619.6869055182</v>
      </c>
      <c r="BR131" s="51">
        <f t="shared" ref="BR131" si="1161">SUM(BR127:BR130)</f>
        <v>3776602.771891132</v>
      </c>
      <c r="BS131" s="51">
        <f t="shared" ref="BS131" si="1162">SUM(BS127:BS130)</f>
        <v>3802765.859319469</v>
      </c>
      <c r="BT131" s="51">
        <f t="shared" ref="BT131" si="1163">SUM(BT127:BT130)</f>
        <v>3829110.1961894673</v>
      </c>
      <c r="BU131" s="51">
        <f t="shared" ref="BU131" si="1164">SUM(BU127:BU130)</f>
        <v>3855637.0381388725</v>
      </c>
      <c r="BV131" s="51">
        <f t="shared" ref="BV131" si="1165">SUM(BV127:BV130)</f>
        <v>3882347.6495040827</v>
      </c>
      <c r="BW131" s="51">
        <f t="shared" ref="BW131" si="1166">SUM(BW127:BW130)</f>
        <v>3909243.303380413</v>
      </c>
      <c r="BX131" s="51">
        <f t="shared" ref="BX131" si="1167">SUM(BX127:BX130)</f>
        <v>3936325.2816827716</v>
      </c>
      <c r="BY131" s="51">
        <f t="shared" ref="BY131" si="1168">SUM(BY127:BY130)</f>
        <v>3963594.8752067601</v>
      </c>
      <c r="BZ131" s="51">
        <f t="shared" ref="BZ131" si="1169">SUM(BZ127:BZ130)</f>
        <v>3991053.3836901966</v>
      </c>
      <c r="CA131" s="51">
        <f t="shared" ref="CA131" si="1170">SUM(CA127:CA130)</f>
        <v>4018702.1158750639</v>
      </c>
      <c r="CB131" s="51">
        <f t="shared" ref="CB131" si="1171">SUM(CB127:CB130)</f>
        <v>4046542.3895698879</v>
      </c>
      <c r="CC131" s="51">
        <f t="shared" ref="CC131" si="1172">SUM(CC127:CC130)</f>
        <v>4074575.5317125479</v>
      </c>
      <c r="CD131" s="51">
        <f t="shared" ref="CD131" si="1173">SUM(CD127:CD130)</f>
        <v>4102802.8784335209</v>
      </c>
      <c r="CE131" s="51">
        <f t="shared" ref="CE131" si="1174">SUM(CE127:CE130)</f>
        <v>4131225.7751195645</v>
      </c>
      <c r="CF131" s="51">
        <f t="shared" ref="CF131" si="1175">SUM(CF127:CF130)</f>
        <v>4159845.5764778438</v>
      </c>
      <c r="CG131" s="51">
        <f t="shared" ref="CG131" si="1176">SUM(CG127:CG130)</f>
        <v>4188663.6466004984</v>
      </c>
      <c r="CH131" s="51">
        <f t="shared" ref="CH131" si="1177">SUM(CH127:CH130)</f>
        <v>4217681.3590296581</v>
      </c>
      <c r="CI131" s="51">
        <f t="shared" ref="CI131" si="1178">SUM(CI127:CI130)</f>
        <v>4246900.0968229109</v>
      </c>
      <c r="CJ131" s="51">
        <f t="shared" ref="CJ131" si="1179">SUM(CJ127:CJ130)</f>
        <v>4276321.2526192218</v>
      </c>
      <c r="CK131" s="51">
        <f t="shared" ref="CK131" si="1180">SUM(CK127:CK130)</f>
        <v>4305946.2287053103</v>
      </c>
      <c r="CL131" s="51">
        <f t="shared" ref="CL131" si="1181">SUM(CL127:CL130)</f>
        <v>4335776.4370824872</v>
      </c>
      <c r="CM131" s="51">
        <f t="shared" ref="CM131" si="1182">SUM(CM127:CM130)</f>
        <v>4365813.2995339511</v>
      </c>
      <c r="CN131" s="51">
        <f t="shared" ref="CN131" si="1183">SUM(CN127:CN130)</f>
        <v>4396058.2476925589</v>
      </c>
    </row>
    <row r="132" spans="1:92" ht="12.75" customHeight="1" x14ac:dyDescent="0.3">
      <c r="D132" s="15"/>
      <c r="H132" s="16" t="s">
        <v>1</v>
      </c>
      <c r="J132" s="15"/>
    </row>
    <row r="133" spans="1:92" ht="12.75" customHeight="1" x14ac:dyDescent="0.3">
      <c r="D133" s="17" t="s">
        <v>170</v>
      </c>
      <c r="H133" s="16"/>
      <c r="J133" s="77">
        <f>SUM(L133:CN133)</f>
        <v>961959695.1765734</v>
      </c>
      <c r="L133" s="77">
        <f>SUM(L124,L131)</f>
        <v>0</v>
      </c>
      <c r="M133" s="77">
        <f t="shared" ref="M133:R133" si="1184">SUM(M124,M131)</f>
        <v>5843539</v>
      </c>
      <c r="N133" s="77">
        <f t="shared" si="1184"/>
        <v>5951825.6052365322</v>
      </c>
      <c r="O133" s="77">
        <f t="shared" si="1184"/>
        <v>6064273.6522122771</v>
      </c>
      <c r="P133" s="77">
        <f t="shared" si="1184"/>
        <v>6142712.1461235685</v>
      </c>
      <c r="Q133" s="77">
        <f t="shared" si="1184"/>
        <v>6113248.5887981709</v>
      </c>
      <c r="R133" s="77">
        <f t="shared" si="1184"/>
        <v>6236313.4713251423</v>
      </c>
      <c r="S133" s="77">
        <f t="shared" ref="S133:CD133" si="1185">SUM(S124,S131)</f>
        <v>6344560.5730379643</v>
      </c>
      <c r="T133" s="77">
        <f t="shared" si="1185"/>
        <v>6415819.8647650955</v>
      </c>
      <c r="U133" s="77">
        <f t="shared" si="1185"/>
        <v>6438438.676856244</v>
      </c>
      <c r="V133" s="77">
        <f t="shared" si="1185"/>
        <v>6514504.8700338025</v>
      </c>
      <c r="W133" s="77">
        <f t="shared" si="1185"/>
        <v>6636042.6186547019</v>
      </c>
      <c r="X133" s="77">
        <f t="shared" si="1185"/>
        <v>6719022.0750742368</v>
      </c>
      <c r="Y133" s="77">
        <f t="shared" si="1185"/>
        <v>6708603.1075013503</v>
      </c>
      <c r="Z133" s="77">
        <f t="shared" si="1185"/>
        <v>6841515.965074813</v>
      </c>
      <c r="AA133" s="77">
        <f t="shared" si="1185"/>
        <v>6979831.4967078976</v>
      </c>
      <c r="AB133" s="77">
        <f t="shared" si="1185"/>
        <v>7077701.3589262888</v>
      </c>
      <c r="AC133" s="77">
        <f t="shared" si="1185"/>
        <v>7084867.437257437</v>
      </c>
      <c r="AD133" s="77">
        <f t="shared" si="1185"/>
        <v>7237878.5358154476</v>
      </c>
      <c r="AE133" s="77">
        <f t="shared" si="1185"/>
        <v>7397714.4839563351</v>
      </c>
      <c r="AF133" s="77">
        <f t="shared" si="1185"/>
        <v>7514742.8442487381</v>
      </c>
      <c r="AG133" s="77">
        <f t="shared" si="1185"/>
        <v>7483310.7374429014</v>
      </c>
      <c r="AH133" s="77">
        <f t="shared" si="1185"/>
        <v>7630720.1650575716</v>
      </c>
      <c r="AI133" s="77">
        <f t="shared" si="1185"/>
        <v>7782943.4484519977</v>
      </c>
      <c r="AJ133" s="77">
        <f t="shared" si="1185"/>
        <v>7886950.5426975805</v>
      </c>
      <c r="AK133" s="77">
        <f t="shared" si="1185"/>
        <v>7935512.9058316415</v>
      </c>
      <c r="AL133" s="77">
        <f t="shared" si="1185"/>
        <v>8045431.3373723645</v>
      </c>
      <c r="AM133" s="77">
        <f t="shared" si="1185"/>
        <v>8215181.406765244</v>
      </c>
      <c r="AN133" s="77">
        <f t="shared" si="1185"/>
        <v>8333675.0614671316</v>
      </c>
      <c r="AO133" s="77">
        <f t="shared" si="1185"/>
        <v>8319641.6222835155</v>
      </c>
      <c r="AP133" s="77">
        <f t="shared" si="1185"/>
        <v>8502969.1464890894</v>
      </c>
      <c r="AQ133" s="77">
        <f t="shared" si="1185"/>
        <v>8692981.8202274665</v>
      </c>
      <c r="AR133" s="77">
        <f t="shared" si="1185"/>
        <v>8828361.252220314</v>
      </c>
      <c r="AS133" s="77">
        <f t="shared" si="1185"/>
        <v>8800728.0477469712</v>
      </c>
      <c r="AT133" s="77">
        <f t="shared" si="1185"/>
        <v>9006166.4613138437</v>
      </c>
      <c r="AU133" s="77">
        <f t="shared" si="1185"/>
        <v>9219469.9372029472</v>
      </c>
      <c r="AV133" s="77">
        <f t="shared" si="1185"/>
        <v>9374409.3600259759</v>
      </c>
      <c r="AW133" s="77">
        <f t="shared" si="1185"/>
        <v>9348608.1129694246</v>
      </c>
      <c r="AX133" s="77">
        <f t="shared" si="1185"/>
        <v>9580019.2001581751</v>
      </c>
      <c r="AY133" s="77">
        <f t="shared" si="1185"/>
        <v>9820693.4551290013</v>
      </c>
      <c r="AZ133" s="77">
        <f t="shared" si="1185"/>
        <v>9998679.6824962348</v>
      </c>
      <c r="BA133" s="77">
        <f t="shared" si="1185"/>
        <v>10087567.489262456</v>
      </c>
      <c r="BB133" s="77">
        <f t="shared" si="1185"/>
        <v>10276951.859679244</v>
      </c>
      <c r="BC133" s="77">
        <f t="shared" si="1185"/>
        <v>10551264.81943037</v>
      </c>
      <c r="BD133" s="77">
        <f t="shared" si="1185"/>
        <v>10757468.98235292</v>
      </c>
      <c r="BE133" s="77">
        <f t="shared" si="1185"/>
        <v>10785855.495584145</v>
      </c>
      <c r="BF133" s="77">
        <f t="shared" si="1185"/>
        <v>11087175.292117538</v>
      </c>
      <c r="BG133" s="77">
        <f t="shared" si="1185"/>
        <v>11401534.763044797</v>
      </c>
      <c r="BH133" s="77">
        <f t="shared" si="1185"/>
        <v>11641391.361495949</v>
      </c>
      <c r="BI133" s="77">
        <f t="shared" si="1185"/>
        <v>11665181.133356759</v>
      </c>
      <c r="BJ133" s="77">
        <f t="shared" si="1185"/>
        <v>12010942.191546304</v>
      </c>
      <c r="BK133" s="77">
        <f t="shared" si="1185"/>
        <v>12372169.796613764</v>
      </c>
      <c r="BL133" s="77">
        <f t="shared" si="1185"/>
        <v>12651546.615437431</v>
      </c>
      <c r="BM133" s="77">
        <f t="shared" si="1185"/>
        <v>12702447.24397077</v>
      </c>
      <c r="BN133" s="77">
        <f t="shared" si="1185"/>
        <v>13101522.084161378</v>
      </c>
      <c r="BO133" s="77">
        <f t="shared" si="1185"/>
        <v>13518985.468361221</v>
      </c>
      <c r="BP133" s="77">
        <f t="shared" si="1185"/>
        <v>13845801.389691517</v>
      </c>
      <c r="BQ133" s="77">
        <f t="shared" si="1185"/>
        <v>14030865.086704081</v>
      </c>
      <c r="BR133" s="77">
        <f t="shared" si="1185"/>
        <v>14380520.088146752</v>
      </c>
      <c r="BS133" s="77">
        <f t="shared" si="1185"/>
        <v>14865030.750873046</v>
      </c>
      <c r="BT133" s="77">
        <f t="shared" si="1185"/>
        <v>15248469.778228326</v>
      </c>
      <c r="BU133" s="77">
        <f t="shared" si="1185"/>
        <v>15291225.36725945</v>
      </c>
      <c r="BV133" s="77">
        <f t="shared" si="1185"/>
        <v>15827218.172610134</v>
      </c>
      <c r="BW133" s="77">
        <f t="shared" si="1185"/>
        <v>16389160.46638828</v>
      </c>
      <c r="BX133" s="77">
        <f t="shared" si="1185"/>
        <v>16838202.788613889</v>
      </c>
      <c r="BY133" s="77">
        <f t="shared" si="1185"/>
        <v>16979987.801441863</v>
      </c>
      <c r="BZ133" s="77">
        <f t="shared" si="1185"/>
        <v>17606694.659806468</v>
      </c>
      <c r="CA133" s="77">
        <f t="shared" si="1185"/>
        <v>18264374.144810088</v>
      </c>
      <c r="CB133" s="77">
        <f t="shared" si="1185"/>
        <v>18794386.925475068</v>
      </c>
      <c r="CC133" s="77">
        <f t="shared" si="1185"/>
        <v>18953345.099203203</v>
      </c>
      <c r="CD133" s="77">
        <f t="shared" si="1185"/>
        <v>19687480.614112273</v>
      </c>
      <c r="CE133" s="77">
        <f t="shared" ref="CE133:CN133" si="1186">SUM(CE124,CE131)</f>
        <v>20458557.683323737</v>
      </c>
      <c r="CF133" s="77">
        <f t="shared" si="1186"/>
        <v>21084601.891383074</v>
      </c>
      <c r="CG133" s="77">
        <f t="shared" si="1186"/>
        <v>21547340.527809821</v>
      </c>
      <c r="CH133" s="77">
        <f t="shared" si="1186"/>
        <v>22222462.248412367</v>
      </c>
      <c r="CI133" s="77">
        <f t="shared" si="1186"/>
        <v>23132606.749867834</v>
      </c>
      <c r="CJ133" s="77">
        <f t="shared" si="1186"/>
        <v>23876367.171850417</v>
      </c>
      <c r="CK133" s="77">
        <f t="shared" si="1186"/>
        <v>24210738.25750757</v>
      </c>
      <c r="CL133" s="77">
        <f t="shared" si="1186"/>
        <v>25234586.788627829</v>
      </c>
      <c r="CM133" s="77">
        <f t="shared" si="1186"/>
        <v>26311508.750626083</v>
      </c>
      <c r="CN133" s="77">
        <f t="shared" si="1186"/>
        <v>27196547.302429512</v>
      </c>
    </row>
    <row r="134" spans="1:92" ht="12.75" customHeight="1" x14ac:dyDescent="0.3">
      <c r="D134" s="15"/>
      <c r="H134" s="16"/>
      <c r="J134" s="15"/>
    </row>
    <row r="135" spans="1:92" ht="13.2" x14ac:dyDescent="0.25">
      <c r="A135" s="14">
        <f>MAX(A$3:A134)+0.01</f>
        <v>2.0399999999999991</v>
      </c>
      <c r="B135" s="14"/>
      <c r="C135" s="14" t="s">
        <v>19</v>
      </c>
      <c r="D135" s="20"/>
      <c r="E135" s="14"/>
      <c r="F135" s="14"/>
      <c r="G135" s="14"/>
      <c r="H135" s="57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</row>
    <row r="136" spans="1:92" ht="12.75" customHeight="1" x14ac:dyDescent="0.3">
      <c r="D136" s="15"/>
      <c r="H136" s="16"/>
      <c r="J136" s="15"/>
    </row>
    <row r="137" spans="1:92" ht="12.75" customHeight="1" x14ac:dyDescent="0.3">
      <c r="D137" s="15" t="s">
        <v>172</v>
      </c>
      <c r="H137" s="16" t="s">
        <v>1</v>
      </c>
      <c r="J137" s="15"/>
      <c r="L137" s="15">
        <f>IF(L$7=Ass!$I$12,Ass!$I$136,Ass!$I$90*SUM(L96,L110))</f>
        <v>160000</v>
      </c>
      <c r="M137" s="15">
        <f>IF(M$7=Ass!$I$12,Ass!$I$136,Ass!$I$90*SUM(M96,M110))</f>
        <v>863914.87223999994</v>
      </c>
      <c r="N137" s="15">
        <f>IF(N$7=Ass!$I$12,Ass!$I$136,Ass!$I$90*SUM(N96,N110))</f>
        <v>879777.57028761599</v>
      </c>
      <c r="O137" s="15">
        <f>IF(O$7=Ass!$I$12,Ass!$I$136,Ass!$I$90*SUM(O96,O110))</f>
        <v>918465.81638494751</v>
      </c>
      <c r="P137" s="15">
        <f>IF(P$7=Ass!$I$12,Ass!$I$136,Ass!$I$90*SUM(P96,P110))</f>
        <v>925609.08042692346</v>
      </c>
      <c r="Q137" s="15">
        <f>IF(Q$7=Ass!$I$12,Ass!$I$136,Ass!$I$90*SUM(Q96,Q110))</f>
        <v>961411.35413077439</v>
      </c>
      <c r="R137" s="15">
        <f>IF(R$7=Ass!$I$12,Ass!$I$136,Ass!$I$90*SUM(R96,R110))</f>
        <v>980321.1233532984</v>
      </c>
      <c r="S137" s="15">
        <f>IF(S$7=Ass!$I$12,Ass!$I$136,Ass!$I$90*SUM(S96,S110))</f>
        <v>1020205.2736239398</v>
      </c>
      <c r="T137" s="15">
        <f>IF(T$7=Ass!$I$12,Ass!$I$136,Ass!$I$90*SUM(T96,T110))</f>
        <v>1024799.5920458174</v>
      </c>
      <c r="U137" s="15">
        <f>IF(U$7=Ass!$I$12,Ass!$I$136,Ass!$I$90*SUM(U96,U110))</f>
        <v>1033124.6886489172</v>
      </c>
      <c r="V137" s="15">
        <f>IF(V$7=Ass!$I$12,Ass!$I$136,Ass!$I$90*SUM(V96,V110))</f>
        <v>1038321.5284461337</v>
      </c>
      <c r="W137" s="15">
        <f>IF(W$7=Ass!$I$12,Ass!$I$136,Ass!$I$90*SUM(W96,W110))</f>
        <v>1082543.9200991977</v>
      </c>
      <c r="X137" s="15">
        <f>IF(X$7=Ass!$I$12,Ass!$I$136,Ass!$I$90*SUM(X96,X110))</f>
        <v>1088581.2363404068</v>
      </c>
      <c r="Y137" s="15">
        <f>IF(Y$7=Ass!$I$12,Ass!$I$136,Ass!$I$90*SUM(Y96,Y110))</f>
        <v>1084118.6479595175</v>
      </c>
      <c r="Z137" s="15">
        <f>IF(Z$7=Ass!$I$12,Ass!$I$136,Ass!$I$90*SUM(Z96,Z110))</f>
        <v>1102955.9656335085</v>
      </c>
      <c r="AA137" s="15">
        <f>IF(AA$7=Ass!$I$12,Ass!$I$136,Ass!$I$90*SUM(AA96,AA110))</f>
        <v>1149634.2112026145</v>
      </c>
      <c r="AB137" s="15">
        <f>IF(AB$7=Ass!$I$12,Ass!$I$136,Ass!$I$90*SUM(AB96,AB110))</f>
        <v>1157545.2930710558</v>
      </c>
      <c r="AC137" s="15">
        <f>IF(AC$7=Ass!$I$12,Ass!$I$136,Ass!$I$90*SUM(AC96,AC110))</f>
        <v>1141753.5400532167</v>
      </c>
      <c r="AD137" s="15">
        <f>IF(AD$7=Ass!$I$12,Ass!$I$136,Ass!$I$90*SUM(AD96,AD110))</f>
        <v>1163222.641442829</v>
      </c>
      <c r="AE137" s="15">
        <f>IF(AE$7=Ass!$I$12,Ass!$I$136,Ass!$I$90*SUM(AE96,AE110))</f>
        <v>1215407.6087067216</v>
      </c>
      <c r="AF137" s="15">
        <f>IF(AF$7=Ass!$I$12,Ass!$I$136,Ass!$I$90*SUM(AF96,AF110))</f>
        <v>1225609.9181761071</v>
      </c>
      <c r="AG137" s="15">
        <f>IF(AG$7=Ass!$I$12,Ass!$I$136,Ass!$I$90*SUM(AG96,AG110))</f>
        <v>1238356.8663533626</v>
      </c>
      <c r="AH137" s="15">
        <f>IF(AH$7=Ass!$I$12,Ass!$I$136,Ass!$I$90*SUM(AH96,AH110))</f>
        <v>1258500.7258076177</v>
      </c>
      <c r="AI137" s="15">
        <f>IF(AI$7=Ass!$I$12,Ass!$I$136,Ass!$I$90*SUM(AI96,AI110))</f>
        <v>1311128.2790675778</v>
      </c>
      <c r="AJ137" s="15">
        <f>IF(AJ$7=Ass!$I$12,Ass!$I$136,Ass!$I$90*SUM(AJ96,AJ110))</f>
        <v>1318368.3838389367</v>
      </c>
      <c r="AK137" s="15">
        <f>IF(AK$7=Ass!$I$12,Ass!$I$136,Ass!$I$90*SUM(AK96,AK110))</f>
        <v>1317724.5830713643</v>
      </c>
      <c r="AL137" s="15">
        <f>IF(AL$7=Ass!$I$12,Ass!$I$136,Ass!$I$90*SUM(AL96,AL110))</f>
        <v>1325587.1787208882</v>
      </c>
      <c r="AM137" s="15">
        <f>IF(AM$7=Ass!$I$12,Ass!$I$136,Ass!$I$90*SUM(AM96,AM110))</f>
        <v>1381822.2908432826</v>
      </c>
      <c r="AN137" s="15">
        <f>IF(AN$7=Ass!$I$12,Ass!$I$136,Ass!$I$90*SUM(AN96,AN110))</f>
        <v>1390711.0027572301</v>
      </c>
      <c r="AO137" s="15">
        <f>IF(AO$7=Ass!$I$12,Ass!$I$136,Ass!$I$90*SUM(AO96,AO110))</f>
        <v>1395523.9625861002</v>
      </c>
      <c r="AP137" s="15">
        <f>IF(AP$7=Ass!$I$12,Ass!$I$136,Ass!$I$90*SUM(AP96,AP110))</f>
        <v>1420795.4760097018</v>
      </c>
      <c r="AQ137" s="15">
        <f>IF(AQ$7=Ass!$I$12,Ass!$I$136,Ass!$I$90*SUM(AQ96,AQ110))</f>
        <v>1482545.7470768297</v>
      </c>
      <c r="AR137" s="15">
        <f>IF(AR$7=Ass!$I$12,Ass!$I$136,Ass!$I$90*SUM(AR96,AR110))</f>
        <v>1493558.6265287527</v>
      </c>
      <c r="AS137" s="15">
        <f>IF(AS$7=Ass!$I$12,Ass!$I$136,Ass!$I$90*SUM(AS96,AS110))</f>
        <v>1525470.7525693262</v>
      </c>
      <c r="AT137" s="15">
        <f>IF(AT$7=Ass!$I$12,Ass!$I$136,Ass!$I$90*SUM(AT96,AT110))</f>
        <v>1554699.7054787464</v>
      </c>
      <c r="AU137" s="15">
        <f>IF(AU$7=Ass!$I$12,Ass!$I$136,Ass!$I$90*SUM(AU96,AU110))</f>
        <v>1623933.945096181</v>
      </c>
      <c r="AV137" s="15">
        <f>IF(AV$7=Ass!$I$12,Ass!$I$136,Ass!$I$90*SUM(AV96,AV110))</f>
        <v>1637741.3061186483</v>
      </c>
      <c r="AW137" s="15">
        <f>IF(AW$7=Ass!$I$12,Ass!$I$136,Ass!$I$90*SUM(AW96,AW110))</f>
        <v>1677977.4121129182</v>
      </c>
      <c r="AX137" s="15">
        <f>IF(AX$7=Ass!$I$12,Ass!$I$136,Ass!$I$90*SUM(AX96,AX110))</f>
        <v>1712025.9810130948</v>
      </c>
      <c r="AY137" s="15">
        <f>IF(AY$7=Ass!$I$12,Ass!$I$136,Ass!$I$90*SUM(AY96,AY110))</f>
        <v>1792094.294170185</v>
      </c>
      <c r="AZ137" s="15">
        <f>IF(AZ$7=Ass!$I$12,Ass!$I$136,Ass!$I$90*SUM(AZ96,AZ110))</f>
        <v>1809466.8036273331</v>
      </c>
      <c r="BA137" s="15">
        <f>IF(BA$7=Ass!$I$12,Ass!$I$136,Ass!$I$90*SUM(BA96,BA110))</f>
        <v>1833561.4041417809</v>
      </c>
      <c r="BB137" s="15">
        <f>IF(BB$7=Ass!$I$12,Ass!$I$136,Ass!$I$90*SUM(BB96,BB110))</f>
        <v>1852475.0899399014</v>
      </c>
      <c r="BC137" s="15">
        <f>IF(BC$7=Ass!$I$12,Ass!$I$136,Ass!$I$90*SUM(BC96,BC110))</f>
        <v>1940959.1650224207</v>
      </c>
      <c r="BD137" s="15">
        <f>IF(BD$7=Ass!$I$12,Ass!$I$136,Ass!$I$90*SUM(BD96,BD110))</f>
        <v>1962253.2308599986</v>
      </c>
      <c r="BE137" s="15">
        <f>IF(BE$7=Ass!$I$12,Ass!$I$136,Ass!$I$90*SUM(BE96,BE110))</f>
        <v>1967173.9105106276</v>
      </c>
      <c r="BF137" s="15">
        <f>IF(BF$7=Ass!$I$12,Ass!$I$136,Ass!$I$90*SUM(BF96,BF110))</f>
        <v>2012171.4242047286</v>
      </c>
      <c r="BG137" s="15">
        <f>IF(BG$7=Ass!$I$12,Ass!$I$136,Ass!$I$90*SUM(BG96,BG110))</f>
        <v>2107151.7470747828</v>
      </c>
      <c r="BH137" s="15">
        <f>IF(BH$7=Ass!$I$12,Ass!$I$136,Ass!$I$90*SUM(BH96,BH110))</f>
        <v>2133056.084629742</v>
      </c>
      <c r="BI137" s="15">
        <f>IF(BI$7=Ass!$I$12,Ass!$I$136,Ass!$I$90*SUM(BI96,BI110))</f>
        <v>2162527.6837476026</v>
      </c>
      <c r="BJ137" s="15">
        <f>IF(BJ$7=Ass!$I$12,Ass!$I$136,Ass!$I$90*SUM(BJ96,BJ110))</f>
        <v>2214965.8662226475</v>
      </c>
      <c r="BK137" s="15">
        <f>IF(BK$7=Ass!$I$12,Ass!$I$136,Ass!$I$90*SUM(BK96,BK110))</f>
        <v>2327010.2233473347</v>
      </c>
      <c r="BL137" s="15">
        <f>IF(BL$7=Ass!$I$12,Ass!$I$136,Ass!$I$90*SUM(BL96,BL110))</f>
        <v>2358909.309208754</v>
      </c>
      <c r="BM137" s="15">
        <f>IF(BM$7=Ass!$I$12,Ass!$I$136,Ass!$I$90*SUM(BM96,BM110))</f>
        <v>2380897.6611680444</v>
      </c>
      <c r="BN137" s="15">
        <f>IF(BN$7=Ass!$I$12,Ass!$I$136,Ass!$I$90*SUM(BN96,BN110))</f>
        <v>2442113.9265494039</v>
      </c>
      <c r="BO137" s="15">
        <f>IF(BO$7=Ass!$I$12,Ass!$I$136,Ass!$I$90*SUM(BO96,BO110))</f>
        <v>2568336.019401975</v>
      </c>
      <c r="BP137" s="15">
        <f>IF(BP$7=Ass!$I$12,Ass!$I$136,Ass!$I$90*SUM(BP96,BP110))</f>
        <v>2607326.0853317128</v>
      </c>
      <c r="BQ137" s="15">
        <f>IF(BQ$7=Ass!$I$12,Ass!$I$136,Ass!$I$90*SUM(BQ96,BQ110))</f>
        <v>2662714.201127334</v>
      </c>
      <c r="BR137" s="15">
        <f>IF(BR$7=Ass!$I$12,Ass!$I$136,Ass!$I$90*SUM(BR96,BR110))</f>
        <v>2705153.0265807002</v>
      </c>
      <c r="BS137" s="15">
        <f>IF(BS$7=Ass!$I$12,Ass!$I$136,Ass!$I$90*SUM(BS96,BS110))</f>
        <v>2852080.3270759238</v>
      </c>
      <c r="BT137" s="15">
        <f>IF(BT$7=Ass!$I$12,Ass!$I$136,Ass!$I$90*SUM(BT96,BT110))</f>
        <v>2899821.1689509838</v>
      </c>
      <c r="BU137" s="15">
        <f>IF(BU$7=Ass!$I$12,Ass!$I$136,Ass!$I$90*SUM(BU96,BU110))</f>
        <v>2986416.8525940981</v>
      </c>
      <c r="BV137" s="15">
        <f>IF(BV$7=Ass!$I$12,Ass!$I$136,Ass!$I$90*SUM(BV96,BV110))</f>
        <v>3072485.2021319345</v>
      </c>
      <c r="BW137" s="15">
        <f>IF(BW$7=Ass!$I$12,Ass!$I$136,Ass!$I$90*SUM(BW96,BW110))</f>
        <v>3239174.3401190094</v>
      </c>
      <c r="BX137" s="15">
        <f>IF(BX$7=Ass!$I$12,Ass!$I$136,Ass!$I$90*SUM(BX96,BX110))</f>
        <v>3298377.8868321059</v>
      </c>
      <c r="BY137" s="15">
        <f>IF(BY$7=Ass!$I$12,Ass!$I$136,Ass!$I$90*SUM(BY96,BY110))</f>
        <v>3322215.8272286723</v>
      </c>
      <c r="BZ137" s="15">
        <f>IF(BZ$7=Ass!$I$12,Ass!$I$136,Ass!$I$90*SUM(BZ96,BZ110))</f>
        <v>3423159.8603652492</v>
      </c>
      <c r="CA137" s="15">
        <f>IF(CA$7=Ass!$I$12,Ass!$I$136,Ass!$I$90*SUM(CA96,CA110))</f>
        <v>3618514.949040486</v>
      </c>
      <c r="CB137" s="15">
        <f>IF(CB$7=Ass!$I$12,Ass!$I$136,Ass!$I$90*SUM(CB96,CB110))</f>
        <v>3690419.9184234971</v>
      </c>
      <c r="CC137" s="15">
        <f>IF(CC$7=Ass!$I$12,Ass!$I$136,Ass!$I$90*SUM(CC96,CC110))</f>
        <v>3741427.8852792289</v>
      </c>
      <c r="CD137" s="15">
        <f>IF(CD$7=Ass!$I$12,Ass!$I$136,Ass!$I$90*SUM(CD96,CD110))</f>
        <v>3861139.1195287667</v>
      </c>
      <c r="CE137" s="15">
        <f>IF(CE$7=Ass!$I$12,Ass!$I$136,Ass!$I$90*SUM(CE96,CE110))</f>
        <v>4080534.9913637969</v>
      </c>
      <c r="CF137" s="15">
        <f>IF(CF$7=Ass!$I$12,Ass!$I$136,Ass!$I$90*SUM(CF96,CF110))</f>
        <v>4167891.6639202498</v>
      </c>
      <c r="CG137" s="15">
        <f>IF(CG$7=Ass!$I$12,Ass!$I$136,Ass!$I$90*SUM(CG96,CG110))</f>
        <v>4212446.4926688923</v>
      </c>
      <c r="CH137" s="15">
        <f>IF(CH$7=Ass!$I$12,Ass!$I$136,Ass!$I$90*SUM(CH96,CH110))</f>
        <v>4305891.8938040389</v>
      </c>
      <c r="CI137" s="15">
        <f>IF(CI$7=Ass!$I$12,Ass!$I$136,Ass!$I$90*SUM(CI96,CI110))</f>
        <v>4565018.1523958128</v>
      </c>
      <c r="CJ137" s="15">
        <f>IF(CJ$7=Ass!$I$12,Ass!$I$136,Ass!$I$90*SUM(CJ96,CJ110))</f>
        <v>4669784.6101506334</v>
      </c>
      <c r="CK137" s="15">
        <f>IF(CK$7=Ass!$I$12,Ass!$I$136,Ass!$I$90*SUM(CK96,CK110))</f>
        <v>4674844.7282478269</v>
      </c>
      <c r="CL137" s="15">
        <f>IF(CL$7=Ass!$I$12,Ass!$I$136,Ass!$I$90*SUM(CL96,CL110))</f>
        <v>4838846.3105045762</v>
      </c>
      <c r="CM137" s="15">
        <f>IF(CM$7=Ass!$I$12,Ass!$I$136,Ass!$I$90*SUM(CM96,CM110))</f>
        <v>5133744.8569019223</v>
      </c>
      <c r="CN137" s="15">
        <f>IF(CN$7=Ass!$I$12,Ass!$I$136,Ass!$I$90*SUM(CN96,CN110))</f>
        <v>5259304.3735642331</v>
      </c>
    </row>
    <row r="138" spans="1:92" ht="12.75" customHeight="1" x14ac:dyDescent="0.3">
      <c r="D138" s="15" t="s">
        <v>173</v>
      </c>
      <c r="H138" s="16" t="s">
        <v>1</v>
      </c>
      <c r="J138" s="15"/>
      <c r="L138" s="15">
        <f>IF(L$7=Ass!$I$12,Ass!$I$145,Ass!$I$91*L133)</f>
        <v>178000</v>
      </c>
      <c r="M138" s="15">
        <f>IF(M$7=Ass!$I$12,Ass!$I$145,Ass!$I$91*M133)</f>
        <v>584353.9</v>
      </c>
      <c r="N138" s="15">
        <f>IF(N$7=Ass!$I$12,Ass!$I$145,Ass!$I$91*N133)</f>
        <v>595182.56052365329</v>
      </c>
      <c r="O138" s="15">
        <f>IF(O$7=Ass!$I$12,Ass!$I$145,Ass!$I$91*O133)</f>
        <v>606427.36522122775</v>
      </c>
      <c r="P138" s="15">
        <f>IF(P$7=Ass!$I$12,Ass!$I$145,Ass!$I$91*P133)</f>
        <v>614271.21461235685</v>
      </c>
      <c r="Q138" s="15">
        <f>IF(Q$7=Ass!$I$12,Ass!$I$145,Ass!$I$91*Q133)</f>
        <v>611324.85887981707</v>
      </c>
      <c r="R138" s="15">
        <f>IF(R$7=Ass!$I$12,Ass!$I$145,Ass!$I$91*R133)</f>
        <v>623631.34713251423</v>
      </c>
      <c r="S138" s="15">
        <f>IF(S$7=Ass!$I$12,Ass!$I$145,Ass!$I$91*S133)</f>
        <v>634456.05730379652</v>
      </c>
      <c r="T138" s="15">
        <f>IF(T$7=Ass!$I$12,Ass!$I$145,Ass!$I$91*T133)</f>
        <v>641581.9864765096</v>
      </c>
      <c r="U138" s="15">
        <f>IF(U$7=Ass!$I$12,Ass!$I$145,Ass!$I$91*U133)</f>
        <v>643843.8676856244</v>
      </c>
      <c r="V138" s="15">
        <f>IF(V$7=Ass!$I$12,Ass!$I$145,Ass!$I$91*V133)</f>
        <v>651450.48700338032</v>
      </c>
      <c r="W138" s="15">
        <f>IF(W$7=Ass!$I$12,Ass!$I$145,Ass!$I$91*W133)</f>
        <v>663604.26186547021</v>
      </c>
      <c r="X138" s="15">
        <f>IF(X$7=Ass!$I$12,Ass!$I$145,Ass!$I$91*X133)</f>
        <v>671902.20750742371</v>
      </c>
      <c r="Y138" s="15">
        <f>IF(Y$7=Ass!$I$12,Ass!$I$145,Ass!$I$91*Y133)</f>
        <v>670860.3107501351</v>
      </c>
      <c r="Z138" s="15">
        <f>IF(Z$7=Ass!$I$12,Ass!$I$145,Ass!$I$91*Z133)</f>
        <v>684151.5965074813</v>
      </c>
      <c r="AA138" s="15">
        <f>IF(AA$7=Ass!$I$12,Ass!$I$145,Ass!$I$91*AA133)</f>
        <v>697983.14967078983</v>
      </c>
      <c r="AB138" s="15">
        <f>IF(AB$7=Ass!$I$12,Ass!$I$145,Ass!$I$91*AB133)</f>
        <v>707770.13589262892</v>
      </c>
      <c r="AC138" s="15">
        <f>IF(AC$7=Ass!$I$12,Ass!$I$145,Ass!$I$91*AC133)</f>
        <v>708486.74372574373</v>
      </c>
      <c r="AD138" s="15">
        <f>IF(AD$7=Ass!$I$12,Ass!$I$145,Ass!$I$91*AD133)</f>
        <v>723787.85358154483</v>
      </c>
      <c r="AE138" s="15">
        <f>IF(AE$7=Ass!$I$12,Ass!$I$145,Ass!$I$91*AE133)</f>
        <v>739771.4483956336</v>
      </c>
      <c r="AF138" s="15">
        <f>IF(AF$7=Ass!$I$12,Ass!$I$145,Ass!$I$91*AF133)</f>
        <v>751474.28442487388</v>
      </c>
      <c r="AG138" s="15">
        <f>IF(AG$7=Ass!$I$12,Ass!$I$145,Ass!$I$91*AG133)</f>
        <v>748331.07374429016</v>
      </c>
      <c r="AH138" s="15">
        <f>IF(AH$7=Ass!$I$12,Ass!$I$145,Ass!$I$91*AH133)</f>
        <v>763072.01650575723</v>
      </c>
      <c r="AI138" s="15">
        <f>IF(AI$7=Ass!$I$12,Ass!$I$145,Ass!$I$91*AI133)</f>
        <v>778294.34484519984</v>
      </c>
      <c r="AJ138" s="15">
        <f>IF(AJ$7=Ass!$I$12,Ass!$I$145,Ass!$I$91*AJ133)</f>
        <v>788695.05426975805</v>
      </c>
      <c r="AK138" s="15">
        <f>IF(AK$7=Ass!$I$12,Ass!$I$145,Ass!$I$91*AK133)</f>
        <v>793551.2905831642</v>
      </c>
      <c r="AL138" s="15">
        <f>IF(AL$7=Ass!$I$12,Ass!$I$145,Ass!$I$91*AL133)</f>
        <v>804543.13373723649</v>
      </c>
      <c r="AM138" s="15">
        <f>IF(AM$7=Ass!$I$12,Ass!$I$145,Ass!$I$91*AM133)</f>
        <v>821518.14067652449</v>
      </c>
      <c r="AN138" s="15">
        <f>IF(AN$7=Ass!$I$12,Ass!$I$145,Ass!$I$91*AN133)</f>
        <v>833367.50614671316</v>
      </c>
      <c r="AO138" s="15">
        <f>IF(AO$7=Ass!$I$12,Ass!$I$145,Ass!$I$91*AO133)</f>
        <v>831964.16222835158</v>
      </c>
      <c r="AP138" s="15">
        <f>IF(AP$7=Ass!$I$12,Ass!$I$145,Ass!$I$91*AP133)</f>
        <v>850296.91464890901</v>
      </c>
      <c r="AQ138" s="15">
        <f>IF(AQ$7=Ass!$I$12,Ass!$I$145,Ass!$I$91*AQ133)</f>
        <v>869298.18202274665</v>
      </c>
      <c r="AR138" s="15">
        <f>IF(AR$7=Ass!$I$12,Ass!$I$145,Ass!$I$91*AR133)</f>
        <v>882836.12522203149</v>
      </c>
      <c r="AS138" s="15">
        <f>IF(AS$7=Ass!$I$12,Ass!$I$145,Ass!$I$91*AS133)</f>
        <v>880072.80477469717</v>
      </c>
      <c r="AT138" s="15">
        <f>IF(AT$7=Ass!$I$12,Ass!$I$145,Ass!$I$91*AT133)</f>
        <v>900616.64613138442</v>
      </c>
      <c r="AU138" s="15">
        <f>IF(AU$7=Ass!$I$12,Ass!$I$145,Ass!$I$91*AU133)</f>
        <v>921946.99372029479</v>
      </c>
      <c r="AV138" s="15">
        <f>IF(AV$7=Ass!$I$12,Ass!$I$145,Ass!$I$91*AV133)</f>
        <v>937440.93600259768</v>
      </c>
      <c r="AW138" s="15">
        <f>IF(AW$7=Ass!$I$12,Ass!$I$145,Ass!$I$91*AW133)</f>
        <v>934860.81129694253</v>
      </c>
      <c r="AX138" s="15">
        <f>IF(AX$7=Ass!$I$12,Ass!$I$145,Ass!$I$91*AX133)</f>
        <v>958001.92001581751</v>
      </c>
      <c r="AY138" s="15">
        <f>IF(AY$7=Ass!$I$12,Ass!$I$145,Ass!$I$91*AY133)</f>
        <v>982069.34551290015</v>
      </c>
      <c r="AZ138" s="15">
        <f>IF(AZ$7=Ass!$I$12,Ass!$I$145,Ass!$I$91*AZ133)</f>
        <v>999867.96824962355</v>
      </c>
      <c r="BA138" s="15">
        <f>IF(BA$7=Ass!$I$12,Ass!$I$145,Ass!$I$91*BA133)</f>
        <v>1008756.7489262456</v>
      </c>
      <c r="BB138" s="15">
        <f>IF(BB$7=Ass!$I$12,Ass!$I$145,Ass!$I$91*BB133)</f>
        <v>1027695.1859679245</v>
      </c>
      <c r="BC138" s="15">
        <f>IF(BC$7=Ass!$I$12,Ass!$I$145,Ass!$I$91*BC133)</f>
        <v>1055126.4819430371</v>
      </c>
      <c r="BD138" s="15">
        <f>IF(BD$7=Ass!$I$12,Ass!$I$145,Ass!$I$91*BD133)</f>
        <v>1075746.8982352919</v>
      </c>
      <c r="BE138" s="15">
        <f>IF(BE$7=Ass!$I$12,Ass!$I$145,Ass!$I$91*BE133)</f>
        <v>1078585.5495584146</v>
      </c>
      <c r="BF138" s="15">
        <f>IF(BF$7=Ass!$I$12,Ass!$I$145,Ass!$I$91*BF133)</f>
        <v>1108717.5292117537</v>
      </c>
      <c r="BG138" s="15">
        <f>IF(BG$7=Ass!$I$12,Ass!$I$145,Ass!$I$91*BG133)</f>
        <v>1140153.4763044796</v>
      </c>
      <c r="BH138" s="15">
        <f>IF(BH$7=Ass!$I$12,Ass!$I$145,Ass!$I$91*BH133)</f>
        <v>1164139.136149595</v>
      </c>
      <c r="BI138" s="15">
        <f>IF(BI$7=Ass!$I$12,Ass!$I$145,Ass!$I$91*BI133)</f>
        <v>1166518.113335676</v>
      </c>
      <c r="BJ138" s="15">
        <f>IF(BJ$7=Ass!$I$12,Ass!$I$145,Ass!$I$91*BJ133)</f>
        <v>1201094.2191546306</v>
      </c>
      <c r="BK138" s="15">
        <f>IF(BK$7=Ass!$I$12,Ass!$I$145,Ass!$I$91*BK133)</f>
        <v>1237216.9796613764</v>
      </c>
      <c r="BL138" s="15">
        <f>IF(BL$7=Ass!$I$12,Ass!$I$145,Ass!$I$91*BL133)</f>
        <v>1265154.6615437432</v>
      </c>
      <c r="BM138" s="15">
        <f>IF(BM$7=Ass!$I$12,Ass!$I$145,Ass!$I$91*BM133)</f>
        <v>1270244.7243970772</v>
      </c>
      <c r="BN138" s="15">
        <f>IF(BN$7=Ass!$I$12,Ass!$I$145,Ass!$I$91*BN133)</f>
        <v>1310152.2084161378</v>
      </c>
      <c r="BO138" s="15">
        <f>IF(BO$7=Ass!$I$12,Ass!$I$145,Ass!$I$91*BO133)</f>
        <v>1351898.5468361222</v>
      </c>
      <c r="BP138" s="15">
        <f>IF(BP$7=Ass!$I$12,Ass!$I$145,Ass!$I$91*BP133)</f>
        <v>1384580.1389691518</v>
      </c>
      <c r="BQ138" s="15">
        <f>IF(BQ$7=Ass!$I$12,Ass!$I$145,Ass!$I$91*BQ133)</f>
        <v>1403086.5086704083</v>
      </c>
      <c r="BR138" s="15">
        <f>IF(BR$7=Ass!$I$12,Ass!$I$145,Ass!$I$91*BR133)</f>
        <v>1438052.0088146753</v>
      </c>
      <c r="BS138" s="15">
        <f>IF(BS$7=Ass!$I$12,Ass!$I$145,Ass!$I$91*BS133)</f>
        <v>1486503.0750873047</v>
      </c>
      <c r="BT138" s="15">
        <f>IF(BT$7=Ass!$I$12,Ass!$I$145,Ass!$I$91*BT133)</f>
        <v>1524846.9778228328</v>
      </c>
      <c r="BU138" s="15">
        <f>IF(BU$7=Ass!$I$12,Ass!$I$145,Ass!$I$91*BU133)</f>
        <v>1529122.5367259451</v>
      </c>
      <c r="BV138" s="15">
        <f>IF(BV$7=Ass!$I$12,Ass!$I$145,Ass!$I$91*BV133)</f>
        <v>1582721.8172610134</v>
      </c>
      <c r="BW138" s="15">
        <f>IF(BW$7=Ass!$I$12,Ass!$I$145,Ass!$I$91*BW133)</f>
        <v>1638916.046638828</v>
      </c>
      <c r="BX138" s="15">
        <f>IF(BX$7=Ass!$I$12,Ass!$I$145,Ass!$I$91*BX133)</f>
        <v>1683820.278861389</v>
      </c>
      <c r="BY138" s="15">
        <f>IF(BY$7=Ass!$I$12,Ass!$I$145,Ass!$I$91*BY133)</f>
        <v>1697998.7801441865</v>
      </c>
      <c r="BZ138" s="15">
        <f>IF(BZ$7=Ass!$I$12,Ass!$I$145,Ass!$I$91*BZ133)</f>
        <v>1760669.4659806469</v>
      </c>
      <c r="CA138" s="15">
        <f>IF(CA$7=Ass!$I$12,Ass!$I$145,Ass!$I$91*CA133)</f>
        <v>1826437.4144810089</v>
      </c>
      <c r="CB138" s="15">
        <f>IF(CB$7=Ass!$I$12,Ass!$I$145,Ass!$I$91*CB133)</f>
        <v>1879438.6925475069</v>
      </c>
      <c r="CC138" s="15">
        <f>IF(CC$7=Ass!$I$12,Ass!$I$145,Ass!$I$91*CC133)</f>
        <v>1895334.5099203205</v>
      </c>
      <c r="CD138" s="15">
        <f>IF(CD$7=Ass!$I$12,Ass!$I$145,Ass!$I$91*CD133)</f>
        <v>1968748.0614112273</v>
      </c>
      <c r="CE138" s="15">
        <f>IF(CE$7=Ass!$I$12,Ass!$I$145,Ass!$I$91*CE133)</f>
        <v>2045855.7683323738</v>
      </c>
      <c r="CF138" s="15">
        <f>IF(CF$7=Ass!$I$12,Ass!$I$145,Ass!$I$91*CF133)</f>
        <v>2108460.1891383077</v>
      </c>
      <c r="CG138" s="15">
        <f>IF(CG$7=Ass!$I$12,Ass!$I$145,Ass!$I$91*CG133)</f>
        <v>2154734.0527809821</v>
      </c>
      <c r="CH138" s="15">
        <f>IF(CH$7=Ass!$I$12,Ass!$I$145,Ass!$I$91*CH133)</f>
        <v>2222246.2248412366</v>
      </c>
      <c r="CI138" s="15">
        <f>IF(CI$7=Ass!$I$12,Ass!$I$145,Ass!$I$91*CI133)</f>
        <v>2313260.6749867834</v>
      </c>
      <c r="CJ138" s="15">
        <f>IF(CJ$7=Ass!$I$12,Ass!$I$145,Ass!$I$91*CJ133)</f>
        <v>2387636.7171850419</v>
      </c>
      <c r="CK138" s="15">
        <f>IF(CK$7=Ass!$I$12,Ass!$I$145,Ass!$I$91*CK133)</f>
        <v>2421073.825750757</v>
      </c>
      <c r="CL138" s="15">
        <f>IF(CL$7=Ass!$I$12,Ass!$I$145,Ass!$I$91*CL133)</f>
        <v>2523458.6788627831</v>
      </c>
      <c r="CM138" s="15">
        <f>IF(CM$7=Ass!$I$12,Ass!$I$145,Ass!$I$91*CM133)</f>
        <v>2631150.8750626086</v>
      </c>
      <c r="CN138" s="15">
        <f>IF(CN$7=Ass!$I$12,Ass!$I$145,Ass!$I$91*CN133)</f>
        <v>2719654.7302429513</v>
      </c>
    </row>
    <row r="139" spans="1:92" ht="12.75" customHeight="1" x14ac:dyDescent="0.3">
      <c r="D139" s="15"/>
      <c r="H139" s="16"/>
      <c r="J139" s="15"/>
      <c r="M139" s="15"/>
    </row>
    <row r="140" spans="1:92" ht="12.75" customHeight="1" x14ac:dyDescent="0.3">
      <c r="D140" s="15" t="s">
        <v>174</v>
      </c>
      <c r="H140" s="16" t="s">
        <v>1</v>
      </c>
      <c r="J140" s="15"/>
      <c r="L140" s="15">
        <f t="shared" ref="L140:R140" si="1187">(K137-L137)*L$36</f>
        <v>0</v>
      </c>
      <c r="M140" s="15">
        <f t="shared" si="1187"/>
        <v>-703914.87223999994</v>
      </c>
      <c r="N140" s="15">
        <f t="shared" si="1187"/>
        <v>-15862.698047616053</v>
      </c>
      <c r="O140" s="15">
        <f t="shared" si="1187"/>
        <v>-38688.246097331517</v>
      </c>
      <c r="P140" s="15">
        <f t="shared" si="1187"/>
        <v>-7143.2640419759555</v>
      </c>
      <c r="Q140" s="15">
        <f t="shared" si="1187"/>
        <v>-35802.273703850922</v>
      </c>
      <c r="R140" s="15">
        <f t="shared" si="1187"/>
        <v>-18909.769222524017</v>
      </c>
      <c r="S140" s="15">
        <f t="shared" ref="S140:CD140" si="1188">(R137-S137)*S$36</f>
        <v>-39884.150270641432</v>
      </c>
      <c r="T140" s="15">
        <f t="shared" si="1188"/>
        <v>-4594.3184218775714</v>
      </c>
      <c r="U140" s="15">
        <f t="shared" si="1188"/>
        <v>-8325.0966030998388</v>
      </c>
      <c r="V140" s="15">
        <f t="shared" si="1188"/>
        <v>-5196.8397972164676</v>
      </c>
      <c r="W140" s="15">
        <f t="shared" si="1188"/>
        <v>-44222.39165306394</v>
      </c>
      <c r="X140" s="15">
        <f t="shared" si="1188"/>
        <v>-6037.3162412091624</v>
      </c>
      <c r="Y140" s="15">
        <f t="shared" si="1188"/>
        <v>4462.5883808892686</v>
      </c>
      <c r="Z140" s="15">
        <f t="shared" si="1188"/>
        <v>-18837.317673990969</v>
      </c>
      <c r="AA140" s="15">
        <f t="shared" si="1188"/>
        <v>-46678.245569105959</v>
      </c>
      <c r="AB140" s="15">
        <f t="shared" si="1188"/>
        <v>-7911.0818684413098</v>
      </c>
      <c r="AC140" s="15">
        <f t="shared" si="1188"/>
        <v>15791.753017839044</v>
      </c>
      <c r="AD140" s="15">
        <f t="shared" si="1188"/>
        <v>-21469.101389612304</v>
      </c>
      <c r="AE140" s="15">
        <f t="shared" si="1188"/>
        <v>-52184.967263892526</v>
      </c>
      <c r="AF140" s="15">
        <f t="shared" si="1188"/>
        <v>-10202.309469385538</v>
      </c>
      <c r="AG140" s="15">
        <f t="shared" si="1188"/>
        <v>-12746.948177255457</v>
      </c>
      <c r="AH140" s="15">
        <f t="shared" si="1188"/>
        <v>-20143.859454255085</v>
      </c>
      <c r="AI140" s="15">
        <f t="shared" si="1188"/>
        <v>-52627.553259960143</v>
      </c>
      <c r="AJ140" s="15">
        <f t="shared" si="1188"/>
        <v>-7240.1047713588923</v>
      </c>
      <c r="AK140" s="15">
        <f t="shared" si="1188"/>
        <v>643.80076757236384</v>
      </c>
      <c r="AL140" s="15">
        <f t="shared" si="1188"/>
        <v>-7862.5956495238934</v>
      </c>
      <c r="AM140" s="15">
        <f t="shared" si="1188"/>
        <v>-56235.112122394377</v>
      </c>
      <c r="AN140" s="15">
        <f t="shared" si="1188"/>
        <v>-8888.7119139474817</v>
      </c>
      <c r="AO140" s="15">
        <f t="shared" si="1188"/>
        <v>-4812.9598288701382</v>
      </c>
      <c r="AP140" s="15">
        <f t="shared" si="1188"/>
        <v>-25271.513423601631</v>
      </c>
      <c r="AQ140" s="15">
        <f t="shared" si="1188"/>
        <v>-61750.271067127818</v>
      </c>
      <c r="AR140" s="15">
        <f t="shared" si="1188"/>
        <v>-11012.879451923072</v>
      </c>
      <c r="AS140" s="15">
        <f t="shared" si="1188"/>
        <v>-31912.126040573465</v>
      </c>
      <c r="AT140" s="15">
        <f t="shared" si="1188"/>
        <v>-29228.952909420244</v>
      </c>
      <c r="AU140" s="15">
        <f t="shared" si="1188"/>
        <v>-69234.239617434563</v>
      </c>
      <c r="AV140" s="15">
        <f t="shared" si="1188"/>
        <v>-13807.361022467259</v>
      </c>
      <c r="AW140" s="15">
        <f t="shared" si="1188"/>
        <v>-40236.10599426995</v>
      </c>
      <c r="AX140" s="15">
        <f t="shared" si="1188"/>
        <v>-34048.568900176557</v>
      </c>
      <c r="AY140" s="15">
        <f t="shared" si="1188"/>
        <v>-80068.313157090219</v>
      </c>
      <c r="AZ140" s="15">
        <f t="shared" si="1188"/>
        <v>-17372.509457148146</v>
      </c>
      <c r="BA140" s="15">
        <f t="shared" si="1188"/>
        <v>-24094.600514447782</v>
      </c>
      <c r="BB140" s="15">
        <f t="shared" si="1188"/>
        <v>-18913.685798120452</v>
      </c>
      <c r="BC140" s="15">
        <f t="shared" si="1188"/>
        <v>-88484.075082519324</v>
      </c>
      <c r="BD140" s="15">
        <f t="shared" si="1188"/>
        <v>-21294.065837577917</v>
      </c>
      <c r="BE140" s="15">
        <f t="shared" si="1188"/>
        <v>-4920.6796506289393</v>
      </c>
      <c r="BF140" s="15">
        <f t="shared" si="1188"/>
        <v>-44997.513694101013</v>
      </c>
      <c r="BG140" s="15">
        <f t="shared" si="1188"/>
        <v>-94980.322870054282</v>
      </c>
      <c r="BH140" s="15">
        <f t="shared" si="1188"/>
        <v>-25904.337554959115</v>
      </c>
      <c r="BI140" s="15">
        <f t="shared" si="1188"/>
        <v>-29471.599117860664</v>
      </c>
      <c r="BJ140" s="15">
        <f t="shared" si="1188"/>
        <v>-52438.182475044858</v>
      </c>
      <c r="BK140" s="15">
        <f t="shared" si="1188"/>
        <v>-112044.35712468717</v>
      </c>
      <c r="BL140" s="15">
        <f t="shared" si="1188"/>
        <v>-31899.085861419328</v>
      </c>
      <c r="BM140" s="15">
        <f t="shared" si="1188"/>
        <v>-21988.351959290449</v>
      </c>
      <c r="BN140" s="15">
        <f t="shared" si="1188"/>
        <v>-61216.265381359495</v>
      </c>
      <c r="BO140" s="15">
        <f t="shared" si="1188"/>
        <v>-126222.09285257105</v>
      </c>
      <c r="BP140" s="15">
        <f t="shared" si="1188"/>
        <v>-38990.065929737873</v>
      </c>
      <c r="BQ140" s="15">
        <f t="shared" si="1188"/>
        <v>-55388.115795621183</v>
      </c>
      <c r="BR140" s="15">
        <f t="shared" si="1188"/>
        <v>-42438.825453366153</v>
      </c>
      <c r="BS140" s="15">
        <f t="shared" si="1188"/>
        <v>-146927.30049522361</v>
      </c>
      <c r="BT140" s="15">
        <f t="shared" si="1188"/>
        <v>-47740.841875059996</v>
      </c>
      <c r="BU140" s="15">
        <f t="shared" si="1188"/>
        <v>-86595.683643114287</v>
      </c>
      <c r="BV140" s="15">
        <f t="shared" si="1188"/>
        <v>-86068.349537836388</v>
      </c>
      <c r="BW140" s="15">
        <f t="shared" si="1188"/>
        <v>-166689.13798707491</v>
      </c>
      <c r="BX140" s="15">
        <f t="shared" si="1188"/>
        <v>-59203.546713096555</v>
      </c>
      <c r="BY140" s="15">
        <f t="shared" si="1188"/>
        <v>-23837.94039656641</v>
      </c>
      <c r="BZ140" s="15">
        <f t="shared" si="1188"/>
        <v>-100944.03313657688</v>
      </c>
      <c r="CA140" s="15">
        <f t="shared" si="1188"/>
        <v>-195355.0886752368</v>
      </c>
      <c r="CB140" s="15">
        <f t="shared" si="1188"/>
        <v>-71904.969383011106</v>
      </c>
      <c r="CC140" s="15">
        <f t="shared" si="1188"/>
        <v>-51007.966855731793</v>
      </c>
      <c r="CD140" s="15">
        <f t="shared" si="1188"/>
        <v>-119711.23424953781</v>
      </c>
      <c r="CE140" s="15">
        <f t="shared" ref="CE140:CN140" si="1189">(CD137-CE137)*CE$36</f>
        <v>-219395.87183503015</v>
      </c>
      <c r="CF140" s="15">
        <f t="shared" si="1189"/>
        <v>-87356.672556452919</v>
      </c>
      <c r="CG140" s="15">
        <f t="shared" si="1189"/>
        <v>-44554.828748642467</v>
      </c>
      <c r="CH140" s="15">
        <f t="shared" si="1189"/>
        <v>-93445.401135146618</v>
      </c>
      <c r="CI140" s="15">
        <f t="shared" si="1189"/>
        <v>-259126.25859177392</v>
      </c>
      <c r="CJ140" s="15">
        <f t="shared" si="1189"/>
        <v>-104766.45775482059</v>
      </c>
      <c r="CK140" s="15">
        <f t="shared" si="1189"/>
        <v>-5060.1180971935391</v>
      </c>
      <c r="CL140" s="15">
        <f t="shared" si="1189"/>
        <v>-164001.58225674927</v>
      </c>
      <c r="CM140" s="15">
        <f t="shared" si="1189"/>
        <v>-294898.54639734607</v>
      </c>
      <c r="CN140" s="15">
        <f t="shared" si="1189"/>
        <v>-125559.51666231081</v>
      </c>
    </row>
    <row r="141" spans="1:92" ht="12.75" customHeight="1" x14ac:dyDescent="0.3">
      <c r="D141" s="15" t="s">
        <v>175</v>
      </c>
      <c r="H141" s="16" t="s">
        <v>1</v>
      </c>
      <c r="J141" s="15"/>
      <c r="L141" s="15">
        <f t="shared" ref="L141:R141" si="1190">(L138-K138)*L$36</f>
        <v>0</v>
      </c>
      <c r="M141" s="15">
        <f t="shared" si="1190"/>
        <v>406353.9</v>
      </c>
      <c r="N141" s="15">
        <f t="shared" si="1190"/>
        <v>10828.660523653263</v>
      </c>
      <c r="O141" s="15">
        <f t="shared" si="1190"/>
        <v>11244.804697574466</v>
      </c>
      <c r="P141" s="15">
        <f t="shared" si="1190"/>
        <v>7843.8493911291007</v>
      </c>
      <c r="Q141" s="15">
        <f t="shared" si="1190"/>
        <v>-2946.3557325397851</v>
      </c>
      <c r="R141" s="15">
        <f t="shared" si="1190"/>
        <v>12306.488252697163</v>
      </c>
      <c r="S141" s="15">
        <f t="shared" ref="S141:CD141" si="1191">(S138-R138)*S$36</f>
        <v>10824.710171282291</v>
      </c>
      <c r="T141" s="15">
        <f t="shared" si="1191"/>
        <v>7125.9291727130767</v>
      </c>
      <c r="U141" s="15">
        <f t="shared" si="1191"/>
        <v>2261.8812091147993</v>
      </c>
      <c r="V141" s="15">
        <f t="shared" si="1191"/>
        <v>7606.619317755918</v>
      </c>
      <c r="W141" s="15">
        <f t="shared" si="1191"/>
        <v>12153.774862089893</v>
      </c>
      <c r="X141" s="15">
        <f t="shared" si="1191"/>
        <v>8297.9456419534981</v>
      </c>
      <c r="Y141" s="15">
        <f t="shared" si="1191"/>
        <v>-1041.8967572886031</v>
      </c>
      <c r="Z141" s="15">
        <f t="shared" si="1191"/>
        <v>13291.285757346195</v>
      </c>
      <c r="AA141" s="15">
        <f t="shared" si="1191"/>
        <v>13831.553163308534</v>
      </c>
      <c r="AB141" s="15">
        <f t="shared" si="1191"/>
        <v>9786.9862218390917</v>
      </c>
      <c r="AC141" s="15">
        <f t="shared" si="1191"/>
        <v>716.60783311480191</v>
      </c>
      <c r="AD141" s="15">
        <f t="shared" si="1191"/>
        <v>15301.1098558011</v>
      </c>
      <c r="AE141" s="15">
        <f t="shared" si="1191"/>
        <v>15983.594814088778</v>
      </c>
      <c r="AF141" s="15">
        <f t="shared" si="1191"/>
        <v>11702.836029240279</v>
      </c>
      <c r="AG141" s="15">
        <f t="shared" si="1191"/>
        <v>-3143.2106805837248</v>
      </c>
      <c r="AH141" s="15">
        <f t="shared" si="1191"/>
        <v>14740.942761467071</v>
      </c>
      <c r="AI141" s="15">
        <f t="shared" si="1191"/>
        <v>15222.328339442611</v>
      </c>
      <c r="AJ141" s="15">
        <f t="shared" si="1191"/>
        <v>10400.709424558212</v>
      </c>
      <c r="AK141" s="15">
        <f t="shared" si="1191"/>
        <v>4856.2363134061452</v>
      </c>
      <c r="AL141" s="15">
        <f t="shared" si="1191"/>
        <v>10991.843154072296</v>
      </c>
      <c r="AM141" s="15">
        <f t="shared" si="1191"/>
        <v>16975.006939287996</v>
      </c>
      <c r="AN141" s="15">
        <f t="shared" si="1191"/>
        <v>11849.36547018867</v>
      </c>
      <c r="AO141" s="15">
        <f t="shared" si="1191"/>
        <v>-1403.3439183615847</v>
      </c>
      <c r="AP141" s="15">
        <f t="shared" si="1191"/>
        <v>18332.75242055743</v>
      </c>
      <c r="AQ141" s="15">
        <f t="shared" si="1191"/>
        <v>19001.267373837647</v>
      </c>
      <c r="AR141" s="15">
        <f t="shared" si="1191"/>
        <v>13537.94319928484</v>
      </c>
      <c r="AS141" s="15">
        <f t="shared" si="1191"/>
        <v>-2763.3204473343212</v>
      </c>
      <c r="AT141" s="15">
        <f t="shared" si="1191"/>
        <v>20543.841356687248</v>
      </c>
      <c r="AU141" s="15">
        <f t="shared" si="1191"/>
        <v>21330.347588910372</v>
      </c>
      <c r="AV141" s="15">
        <f t="shared" si="1191"/>
        <v>15493.942282302887</v>
      </c>
      <c r="AW141" s="15">
        <f t="shared" si="1191"/>
        <v>-2580.124705655151</v>
      </c>
      <c r="AX141" s="15">
        <f t="shared" si="1191"/>
        <v>23141.108718874981</v>
      </c>
      <c r="AY141" s="15">
        <f t="shared" si="1191"/>
        <v>24067.425497082644</v>
      </c>
      <c r="AZ141" s="15">
        <f t="shared" si="1191"/>
        <v>17798.622736723395</v>
      </c>
      <c r="BA141" s="15">
        <f t="shared" si="1191"/>
        <v>8888.7806766220601</v>
      </c>
      <c r="BB141" s="15">
        <f t="shared" si="1191"/>
        <v>18938.437041678932</v>
      </c>
      <c r="BC141" s="15">
        <f t="shared" si="1191"/>
        <v>27431.295975112589</v>
      </c>
      <c r="BD141" s="15">
        <f t="shared" si="1191"/>
        <v>20620.416292254813</v>
      </c>
      <c r="BE141" s="15">
        <f t="shared" si="1191"/>
        <v>2838.6513231226709</v>
      </c>
      <c r="BF141" s="15">
        <f t="shared" si="1191"/>
        <v>30131.979653339135</v>
      </c>
      <c r="BG141" s="15">
        <f t="shared" si="1191"/>
        <v>31435.947092725895</v>
      </c>
      <c r="BH141" s="15">
        <f t="shared" si="1191"/>
        <v>23985.659845115384</v>
      </c>
      <c r="BI141" s="15">
        <f t="shared" si="1191"/>
        <v>2378.9771860809997</v>
      </c>
      <c r="BJ141" s="15">
        <f t="shared" si="1191"/>
        <v>34576.105818954529</v>
      </c>
      <c r="BK141" s="15">
        <f t="shared" si="1191"/>
        <v>36122.760506745894</v>
      </c>
      <c r="BL141" s="15">
        <f t="shared" si="1191"/>
        <v>27937.681882366771</v>
      </c>
      <c r="BM141" s="15">
        <f t="shared" si="1191"/>
        <v>5090.0628533340059</v>
      </c>
      <c r="BN141" s="15">
        <f t="shared" si="1191"/>
        <v>39907.484019060619</v>
      </c>
      <c r="BO141" s="15">
        <f t="shared" si="1191"/>
        <v>41746.338419984328</v>
      </c>
      <c r="BP141" s="15">
        <f t="shared" si="1191"/>
        <v>32681.592133029597</v>
      </c>
      <c r="BQ141" s="15">
        <f t="shared" si="1191"/>
        <v>18506.36970125651</v>
      </c>
      <c r="BR141" s="15">
        <f t="shared" si="1191"/>
        <v>34965.500144266989</v>
      </c>
      <c r="BS141" s="15">
        <f t="shared" si="1191"/>
        <v>48451.066272629425</v>
      </c>
      <c r="BT141" s="15">
        <f t="shared" si="1191"/>
        <v>38343.90273552807</v>
      </c>
      <c r="BU141" s="15">
        <f t="shared" si="1191"/>
        <v>4275.5589031123091</v>
      </c>
      <c r="BV141" s="15">
        <f t="shared" si="1191"/>
        <v>53599.280535068363</v>
      </c>
      <c r="BW141" s="15">
        <f t="shared" si="1191"/>
        <v>56194.229377814569</v>
      </c>
      <c r="BX141" s="15">
        <f t="shared" si="1191"/>
        <v>44904.232222561026</v>
      </c>
      <c r="BY141" s="15">
        <f t="shared" si="1191"/>
        <v>14178.501282797428</v>
      </c>
      <c r="BZ141" s="15">
        <f t="shared" si="1191"/>
        <v>62670.685836460441</v>
      </c>
      <c r="CA141" s="15">
        <f t="shared" si="1191"/>
        <v>65767.948500361992</v>
      </c>
      <c r="CB141" s="15">
        <f t="shared" si="1191"/>
        <v>53001.278066497995</v>
      </c>
      <c r="CC141" s="15">
        <f t="shared" si="1191"/>
        <v>15895.817372813588</v>
      </c>
      <c r="CD141" s="15">
        <f t="shared" si="1191"/>
        <v>73413.551490906859</v>
      </c>
      <c r="CE141" s="15">
        <f t="shared" ref="CE141:CN141" si="1192">(CE138-CD138)*CE$36</f>
        <v>77107.706921146484</v>
      </c>
      <c r="CF141" s="15">
        <f t="shared" si="1192"/>
        <v>62604.420805933885</v>
      </c>
      <c r="CG141" s="15">
        <f t="shared" si="1192"/>
        <v>46273.863642674405</v>
      </c>
      <c r="CH141" s="15">
        <f t="shared" si="1192"/>
        <v>67512.172060254496</v>
      </c>
      <c r="CI141" s="15">
        <f t="shared" si="1192"/>
        <v>91014.450145546813</v>
      </c>
      <c r="CJ141" s="15">
        <f t="shared" si="1192"/>
        <v>74376.042198258452</v>
      </c>
      <c r="CK141" s="15">
        <f t="shared" si="1192"/>
        <v>33437.108565715142</v>
      </c>
      <c r="CL141" s="15">
        <f t="shared" si="1192"/>
        <v>102384.85311202612</v>
      </c>
      <c r="CM141" s="15">
        <f t="shared" si="1192"/>
        <v>107692.1961998255</v>
      </c>
      <c r="CN141" s="15">
        <f t="shared" si="1192"/>
        <v>88503.855180342682</v>
      </c>
    </row>
    <row r="142" spans="1:92" ht="12.75" customHeight="1" x14ac:dyDescent="0.3">
      <c r="D142" s="15" t="s">
        <v>176</v>
      </c>
      <c r="H142" s="16" t="s">
        <v>1</v>
      </c>
      <c r="J142" s="15"/>
      <c r="L142" s="50">
        <f>SUM(L140:L141)</f>
        <v>0</v>
      </c>
      <c r="M142" s="50">
        <f>SUM(M140:M141)</f>
        <v>-297560.97223999992</v>
      </c>
      <c r="N142" s="50">
        <f t="shared" ref="N142:R142" si="1193">SUM(N140:N141)</f>
        <v>-5034.0375239627901</v>
      </c>
      <c r="O142" s="50">
        <f t="shared" si="1193"/>
        <v>-27443.441399757052</v>
      </c>
      <c r="P142" s="50">
        <f t="shared" si="1193"/>
        <v>700.58534915314522</v>
      </c>
      <c r="Q142" s="50">
        <f t="shared" si="1193"/>
        <v>-38748.629436390707</v>
      </c>
      <c r="R142" s="50">
        <f t="shared" si="1193"/>
        <v>-6603.2809698268538</v>
      </c>
      <c r="S142" s="50">
        <f t="shared" ref="S142" si="1194">SUM(S140:S141)</f>
        <v>-29059.440099359141</v>
      </c>
      <c r="T142" s="50">
        <f t="shared" ref="T142" si="1195">SUM(T140:T141)</f>
        <v>2531.6107508355053</v>
      </c>
      <c r="U142" s="50">
        <f t="shared" ref="U142" si="1196">SUM(U140:U141)</f>
        <v>-6063.2153939850396</v>
      </c>
      <c r="V142" s="50">
        <f t="shared" ref="V142" si="1197">SUM(V140:V141)</f>
        <v>2409.7795205394505</v>
      </c>
      <c r="W142" s="50">
        <f t="shared" ref="W142" si="1198">SUM(W140:W141)</f>
        <v>-32068.616790974047</v>
      </c>
      <c r="X142" s="50">
        <f t="shared" ref="X142" si="1199">SUM(X140:X141)</f>
        <v>2260.6294007443357</v>
      </c>
      <c r="Y142" s="50">
        <f t="shared" ref="Y142" si="1200">SUM(Y140:Y141)</f>
        <v>3420.6916236006655</v>
      </c>
      <c r="Z142" s="50">
        <f t="shared" ref="Z142" si="1201">SUM(Z140:Z141)</f>
        <v>-5546.0319166447734</v>
      </c>
      <c r="AA142" s="50">
        <f t="shared" ref="AA142" si="1202">SUM(AA140:AA141)</f>
        <v>-32846.692405797425</v>
      </c>
      <c r="AB142" s="50">
        <f t="shared" ref="AB142" si="1203">SUM(AB140:AB141)</f>
        <v>1875.904353397782</v>
      </c>
      <c r="AC142" s="50">
        <f t="shared" ref="AC142" si="1204">SUM(AC140:AC141)</f>
        <v>16508.360850953846</v>
      </c>
      <c r="AD142" s="50">
        <f t="shared" ref="AD142" si="1205">SUM(AD140:AD141)</f>
        <v>-6167.9915338112041</v>
      </c>
      <c r="AE142" s="50">
        <f t="shared" ref="AE142" si="1206">SUM(AE140:AE141)</f>
        <v>-36201.372449803748</v>
      </c>
      <c r="AF142" s="50">
        <f t="shared" ref="AF142" si="1207">SUM(AF140:AF141)</f>
        <v>1500.5265598547412</v>
      </c>
      <c r="AG142" s="50">
        <f t="shared" ref="AG142" si="1208">SUM(AG140:AG141)</f>
        <v>-15890.158857839182</v>
      </c>
      <c r="AH142" s="50">
        <f t="shared" ref="AH142" si="1209">SUM(AH140:AH141)</f>
        <v>-5402.9166927880142</v>
      </c>
      <c r="AI142" s="50">
        <f t="shared" ref="AI142" si="1210">SUM(AI140:AI141)</f>
        <v>-37405.224920517532</v>
      </c>
      <c r="AJ142" s="50">
        <f t="shared" ref="AJ142" si="1211">SUM(AJ140:AJ141)</f>
        <v>3160.6046531993197</v>
      </c>
      <c r="AK142" s="50">
        <f t="shared" ref="AK142" si="1212">SUM(AK140:AK141)</f>
        <v>5500.037080978509</v>
      </c>
      <c r="AL142" s="50">
        <f t="shared" ref="AL142" si="1213">SUM(AL140:AL141)</f>
        <v>3129.2475045484025</v>
      </c>
      <c r="AM142" s="50">
        <f t="shared" ref="AM142" si="1214">SUM(AM140:AM141)</f>
        <v>-39260.105183106381</v>
      </c>
      <c r="AN142" s="50">
        <f t="shared" ref="AN142" si="1215">SUM(AN140:AN141)</f>
        <v>2960.6535562411882</v>
      </c>
      <c r="AO142" s="50">
        <f t="shared" ref="AO142" si="1216">SUM(AO140:AO141)</f>
        <v>-6216.3037472317228</v>
      </c>
      <c r="AP142" s="50">
        <f t="shared" ref="AP142" si="1217">SUM(AP140:AP141)</f>
        <v>-6938.7610030442011</v>
      </c>
      <c r="AQ142" s="50">
        <f t="shared" ref="AQ142" si="1218">SUM(AQ140:AQ141)</f>
        <v>-42749.003693290171</v>
      </c>
      <c r="AR142" s="50">
        <f t="shared" ref="AR142" si="1219">SUM(AR140:AR141)</f>
        <v>2525.063747361768</v>
      </c>
      <c r="AS142" s="50">
        <f t="shared" ref="AS142" si="1220">SUM(AS140:AS141)</f>
        <v>-34675.446487907786</v>
      </c>
      <c r="AT142" s="50">
        <f t="shared" ref="AT142" si="1221">SUM(AT140:AT141)</f>
        <v>-8685.1115527329966</v>
      </c>
      <c r="AU142" s="50">
        <f t="shared" ref="AU142" si="1222">SUM(AU140:AU141)</f>
        <v>-47903.892028524191</v>
      </c>
      <c r="AV142" s="50">
        <f t="shared" ref="AV142" si="1223">SUM(AV140:AV141)</f>
        <v>1686.5812598356279</v>
      </c>
      <c r="AW142" s="50">
        <f t="shared" ref="AW142" si="1224">SUM(AW140:AW141)</f>
        <v>-42816.230699925101</v>
      </c>
      <c r="AX142" s="50">
        <f t="shared" ref="AX142" si="1225">SUM(AX140:AX141)</f>
        <v>-10907.460181301576</v>
      </c>
      <c r="AY142" s="50">
        <f t="shared" ref="AY142" si="1226">SUM(AY140:AY141)</f>
        <v>-56000.887660007575</v>
      </c>
      <c r="AZ142" s="50">
        <f t="shared" ref="AZ142" si="1227">SUM(AZ140:AZ141)</f>
        <v>426.11327957524918</v>
      </c>
      <c r="BA142" s="50">
        <f t="shared" ref="BA142" si="1228">SUM(BA140:BA141)</f>
        <v>-15205.819837825722</v>
      </c>
      <c r="BB142" s="50">
        <f t="shared" ref="BB142" si="1229">SUM(BB140:BB141)</f>
        <v>24.751243558479473</v>
      </c>
      <c r="BC142" s="50">
        <f t="shared" ref="BC142" si="1230">SUM(BC140:BC141)</f>
        <v>-61052.779107406735</v>
      </c>
      <c r="BD142" s="50">
        <f t="shared" ref="BD142" si="1231">SUM(BD140:BD141)</f>
        <v>-673.64954532310367</v>
      </c>
      <c r="BE142" s="50">
        <f t="shared" ref="BE142" si="1232">SUM(BE140:BE141)</f>
        <v>-2082.0283275062684</v>
      </c>
      <c r="BF142" s="50">
        <f t="shared" ref="BF142" si="1233">SUM(BF140:BF141)</f>
        <v>-14865.534040761879</v>
      </c>
      <c r="BG142" s="50">
        <f t="shared" ref="BG142" si="1234">SUM(BG140:BG141)</f>
        <v>-63544.375777328387</v>
      </c>
      <c r="BH142" s="50">
        <f t="shared" ref="BH142" si="1235">SUM(BH140:BH141)</f>
        <v>-1918.6777098437306</v>
      </c>
      <c r="BI142" s="50">
        <f t="shared" ref="BI142" si="1236">SUM(BI140:BI141)</f>
        <v>-27092.621931779664</v>
      </c>
      <c r="BJ142" s="50">
        <f t="shared" ref="BJ142" si="1237">SUM(BJ140:BJ141)</f>
        <v>-17862.076656090328</v>
      </c>
      <c r="BK142" s="50">
        <f t="shared" ref="BK142" si="1238">SUM(BK140:BK141)</f>
        <v>-75921.596617941279</v>
      </c>
      <c r="BL142" s="50">
        <f t="shared" ref="BL142" si="1239">SUM(BL140:BL141)</f>
        <v>-3961.4039790525567</v>
      </c>
      <c r="BM142" s="50">
        <f t="shared" ref="BM142" si="1240">SUM(BM140:BM141)</f>
        <v>-16898.289105956443</v>
      </c>
      <c r="BN142" s="50">
        <f t="shared" ref="BN142" si="1241">SUM(BN140:BN141)</f>
        <v>-21308.781362298876</v>
      </c>
      <c r="BO142" s="50">
        <f t="shared" ref="BO142" si="1242">SUM(BO140:BO141)</f>
        <v>-84475.75443258672</v>
      </c>
      <c r="BP142" s="50">
        <f t="shared" ref="BP142" si="1243">SUM(BP140:BP141)</f>
        <v>-6308.4737967082765</v>
      </c>
      <c r="BQ142" s="50">
        <f t="shared" ref="BQ142" si="1244">SUM(BQ140:BQ141)</f>
        <v>-36881.746094364673</v>
      </c>
      <c r="BR142" s="50">
        <f t="shared" ref="BR142" si="1245">SUM(BR140:BR141)</f>
        <v>-7473.3253090991639</v>
      </c>
      <c r="BS142" s="50">
        <f t="shared" ref="BS142" si="1246">SUM(BS140:BS141)</f>
        <v>-98476.234222594183</v>
      </c>
      <c r="BT142" s="50">
        <f t="shared" ref="BT142" si="1247">SUM(BT140:BT141)</f>
        <v>-9396.9391395319253</v>
      </c>
      <c r="BU142" s="50">
        <f t="shared" ref="BU142" si="1248">SUM(BU140:BU141)</f>
        <v>-82320.124740001978</v>
      </c>
      <c r="BV142" s="50">
        <f t="shared" ref="BV142" si="1249">SUM(BV140:BV141)</f>
        <v>-32469.069002768025</v>
      </c>
      <c r="BW142" s="50">
        <f t="shared" ref="BW142" si="1250">SUM(BW140:BW141)</f>
        <v>-110494.90860926034</v>
      </c>
      <c r="BX142" s="50">
        <f t="shared" ref="BX142" si="1251">SUM(BX140:BX141)</f>
        <v>-14299.314490535529</v>
      </c>
      <c r="BY142" s="50">
        <f t="shared" ref="BY142" si="1252">SUM(BY140:BY141)</f>
        <v>-9659.4391137689818</v>
      </c>
      <c r="BZ142" s="50">
        <f t="shared" ref="BZ142" si="1253">SUM(BZ140:BZ141)</f>
        <v>-38273.347300116438</v>
      </c>
      <c r="CA142" s="50">
        <f t="shared" ref="CA142" si="1254">SUM(CA140:CA141)</f>
        <v>-129587.1401748748</v>
      </c>
      <c r="CB142" s="50">
        <f t="shared" ref="CB142" si="1255">SUM(CB140:CB141)</f>
        <v>-18903.691316513112</v>
      </c>
      <c r="CC142" s="50">
        <f t="shared" ref="CC142" si="1256">SUM(CC140:CC141)</f>
        <v>-35112.149482918205</v>
      </c>
      <c r="CD142" s="50">
        <f t="shared" ref="CD142" si="1257">SUM(CD140:CD141)</f>
        <v>-46297.682758630952</v>
      </c>
      <c r="CE142" s="50">
        <f t="shared" ref="CE142" si="1258">SUM(CE140:CE141)</f>
        <v>-142288.16491388367</v>
      </c>
      <c r="CF142" s="50">
        <f t="shared" ref="CF142" si="1259">SUM(CF140:CF141)</f>
        <v>-24752.251750519034</v>
      </c>
      <c r="CG142" s="50">
        <f t="shared" ref="CG142" si="1260">SUM(CG140:CG141)</f>
        <v>1719.0348940319382</v>
      </c>
      <c r="CH142" s="50">
        <f t="shared" ref="CH142" si="1261">SUM(CH140:CH141)</f>
        <v>-25933.229074892122</v>
      </c>
      <c r="CI142" s="50">
        <f t="shared" ref="CI142" si="1262">SUM(CI140:CI141)</f>
        <v>-168111.80844622711</v>
      </c>
      <c r="CJ142" s="50">
        <f t="shared" ref="CJ142" si="1263">SUM(CJ140:CJ141)</f>
        <v>-30390.415556562133</v>
      </c>
      <c r="CK142" s="50">
        <f t="shared" ref="CK142" si="1264">SUM(CK140:CK141)</f>
        <v>28376.990468521602</v>
      </c>
      <c r="CL142" s="50">
        <f t="shared" ref="CL142" si="1265">SUM(CL140:CL141)</f>
        <v>-61616.729144723155</v>
      </c>
      <c r="CM142" s="50">
        <f t="shared" ref="CM142" si="1266">SUM(CM140:CM141)</f>
        <v>-187206.35019752057</v>
      </c>
      <c r="CN142" s="50">
        <f t="shared" ref="CN142" si="1267">SUM(CN140:CN141)</f>
        <v>-37055.661481968127</v>
      </c>
    </row>
    <row r="143" spans="1:92" ht="12.75" customHeight="1" x14ac:dyDescent="0.3">
      <c r="D143" s="15"/>
      <c r="H143" s="16"/>
      <c r="J143" s="15"/>
    </row>
    <row r="144" spans="1:92" ht="13.2" x14ac:dyDescent="0.25">
      <c r="A144" s="14"/>
      <c r="B144" s="14"/>
      <c r="C144" s="14" t="s">
        <v>101</v>
      </c>
      <c r="D144" s="20"/>
      <c r="E144" s="14"/>
      <c r="F144" s="14"/>
      <c r="G144" s="14"/>
      <c r="H144" s="57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</row>
    <row r="145" spans="4:10" ht="12.75" customHeight="1" x14ac:dyDescent="0.3">
      <c r="D145" s="15"/>
      <c r="H145" s="16"/>
      <c r="J145" s="15"/>
    </row>
    <row r="146" spans="4:10" ht="12.75" customHeight="1" x14ac:dyDescent="0.3">
      <c r="D146" s="15"/>
      <c r="H146" s="16"/>
      <c r="J146" s="15"/>
    </row>
    <row r="147" spans="4:10" ht="12.75" customHeight="1" x14ac:dyDescent="0.3">
      <c r="D147" s="15"/>
      <c r="H147" s="16"/>
      <c r="J147" s="15"/>
    </row>
    <row r="148" spans="4:10" ht="12.75" customHeight="1" x14ac:dyDescent="0.3">
      <c r="D148" s="15"/>
      <c r="H148" s="16"/>
      <c r="J148" s="15"/>
    </row>
    <row r="149" spans="4:10" ht="12.75" customHeight="1" x14ac:dyDescent="0.3">
      <c r="D149" s="15"/>
      <c r="H149" s="16"/>
      <c r="J149" s="15"/>
    </row>
    <row r="150" spans="4:10" ht="12.75" customHeight="1" x14ac:dyDescent="0.3">
      <c r="D150" s="15"/>
      <c r="H150" s="16"/>
      <c r="J150" s="15"/>
    </row>
    <row r="151" spans="4:10" x14ac:dyDescent="0.3">
      <c r="D151" s="15"/>
      <c r="H151" s="16"/>
      <c r="J151" s="15"/>
    </row>
    <row r="152" spans="4:10" x14ac:dyDescent="0.3">
      <c r="D152" s="15"/>
      <c r="H152" s="16"/>
      <c r="J152" s="15"/>
    </row>
    <row r="153" spans="4:10" x14ac:dyDescent="0.3">
      <c r="D153" s="15"/>
      <c r="H153" s="16"/>
      <c r="J153" s="15"/>
    </row>
    <row r="154" spans="4:10" x14ac:dyDescent="0.3">
      <c r="D154" s="15"/>
      <c r="H154" s="16"/>
      <c r="J154" s="15"/>
    </row>
    <row r="155" spans="4:10" x14ac:dyDescent="0.3">
      <c r="D155" s="15"/>
      <c r="H155" s="16"/>
      <c r="J155" s="15"/>
    </row>
    <row r="156" spans="4:10" x14ac:dyDescent="0.3">
      <c r="D156" s="15"/>
      <c r="H156" s="16"/>
      <c r="J156" s="15"/>
    </row>
    <row r="157" spans="4:10" x14ac:dyDescent="0.3">
      <c r="D157" s="15"/>
      <c r="H157" s="16"/>
      <c r="J157" s="15"/>
    </row>
    <row r="158" spans="4:10" x14ac:dyDescent="0.3">
      <c r="D158" s="15"/>
      <c r="H158" s="16"/>
      <c r="J158" s="15"/>
    </row>
    <row r="159" spans="4:10" x14ac:dyDescent="0.3">
      <c r="D159" s="15"/>
      <c r="H159" s="16"/>
      <c r="J159" s="15"/>
    </row>
    <row r="160" spans="4:10" x14ac:dyDescent="0.3">
      <c r="D160" s="15"/>
      <c r="H160" s="16"/>
      <c r="J160" s="15"/>
    </row>
    <row r="161" spans="4:10" x14ac:dyDescent="0.3">
      <c r="D161" s="15"/>
      <c r="H161" s="16"/>
      <c r="J161" s="15"/>
    </row>
    <row r="162" spans="4:10" x14ac:dyDescent="0.3">
      <c r="D162" s="15"/>
      <c r="H162" s="16"/>
      <c r="J162" s="15"/>
    </row>
    <row r="163" spans="4:10" x14ac:dyDescent="0.3">
      <c r="D163" s="15"/>
      <c r="H163" s="16"/>
      <c r="J163" s="15"/>
    </row>
    <row r="164" spans="4:10" x14ac:dyDescent="0.3">
      <c r="D164" s="15"/>
      <c r="H164" s="16"/>
      <c r="J164" s="15"/>
    </row>
    <row r="165" spans="4:10" x14ac:dyDescent="0.3">
      <c r="D165" s="15"/>
      <c r="H165" s="16"/>
      <c r="J165" s="15"/>
    </row>
    <row r="166" spans="4:10" x14ac:dyDescent="0.3">
      <c r="D166" s="15"/>
      <c r="H166" s="16"/>
      <c r="J166" s="15"/>
    </row>
    <row r="167" spans="4:10" x14ac:dyDescent="0.3">
      <c r="D167" s="15"/>
      <c r="H167" s="16"/>
      <c r="J167" s="15"/>
    </row>
    <row r="168" spans="4:10" x14ac:dyDescent="0.3">
      <c r="D168" s="15"/>
      <c r="H168" s="16"/>
      <c r="J168" s="15"/>
    </row>
    <row r="169" spans="4:10" x14ac:dyDescent="0.3">
      <c r="D169" s="15"/>
      <c r="H169" s="16"/>
      <c r="J169" s="15"/>
    </row>
    <row r="170" spans="4:10" x14ac:dyDescent="0.3">
      <c r="D170" s="15"/>
      <c r="H170" s="16"/>
      <c r="J170" s="15"/>
    </row>
    <row r="171" spans="4:10" x14ac:dyDescent="0.3">
      <c r="D171" s="15"/>
      <c r="H171" s="16"/>
      <c r="J171" s="15"/>
    </row>
    <row r="172" spans="4:10" x14ac:dyDescent="0.3">
      <c r="D172" s="15"/>
      <c r="H172" s="16"/>
      <c r="J172" s="15"/>
    </row>
    <row r="173" spans="4:10" x14ac:dyDescent="0.3">
      <c r="D173" s="15"/>
      <c r="H173" s="16"/>
    </row>
    <row r="174" spans="4:10" x14ac:dyDescent="0.3">
      <c r="D174" s="15"/>
      <c r="H174" s="16"/>
    </row>
    <row r="175" spans="4:10" x14ac:dyDescent="0.3">
      <c r="D175" s="15"/>
      <c r="H175" s="16"/>
    </row>
    <row r="176" spans="4:10" x14ac:dyDescent="0.3">
      <c r="D176" s="15"/>
      <c r="H176" s="16"/>
    </row>
    <row r="177" spans="4:8" x14ac:dyDescent="0.3">
      <c r="D177" s="15"/>
      <c r="H177" s="16"/>
    </row>
    <row r="178" spans="4:8" x14ac:dyDescent="0.3">
      <c r="D178" s="15"/>
      <c r="H178" s="16"/>
    </row>
    <row r="179" spans="4:8" x14ac:dyDescent="0.3">
      <c r="D179" s="15"/>
      <c r="H179" s="16"/>
    </row>
    <row r="180" spans="4:8" x14ac:dyDescent="0.3">
      <c r="D180" s="15"/>
      <c r="H180" s="16"/>
    </row>
    <row r="181" spans="4:8" x14ac:dyDescent="0.3">
      <c r="D181" s="15"/>
      <c r="H181" s="16"/>
    </row>
    <row r="182" spans="4:8" x14ac:dyDescent="0.3">
      <c r="D182" s="15"/>
      <c r="H182" s="16"/>
    </row>
    <row r="183" spans="4:8" x14ac:dyDescent="0.3">
      <c r="D183" s="15"/>
      <c r="H183" s="16"/>
    </row>
    <row r="184" spans="4:8" x14ac:dyDescent="0.3">
      <c r="D184" s="15"/>
      <c r="H184" s="16"/>
    </row>
    <row r="185" spans="4:8" x14ac:dyDescent="0.3">
      <c r="D185" s="15"/>
      <c r="H185" s="16"/>
    </row>
    <row r="186" spans="4:8" x14ac:dyDescent="0.3">
      <c r="D186" s="15"/>
      <c r="H186" s="16"/>
    </row>
    <row r="187" spans="4:8" x14ac:dyDescent="0.3">
      <c r="D187" s="15"/>
      <c r="H187" s="16"/>
    </row>
    <row r="188" spans="4:8" x14ac:dyDescent="0.3">
      <c r="D188" s="15"/>
      <c r="H188" s="16"/>
    </row>
    <row r="189" spans="4:8" x14ac:dyDescent="0.3">
      <c r="D189" s="15"/>
      <c r="H189" s="16"/>
    </row>
    <row r="190" spans="4:8" x14ac:dyDescent="0.3">
      <c r="D190" s="15"/>
      <c r="H190" s="16"/>
    </row>
    <row r="191" spans="4:8" x14ac:dyDescent="0.3">
      <c r="D191" s="15"/>
      <c r="H191" s="16"/>
    </row>
    <row r="192" spans="4:8" x14ac:dyDescent="0.3">
      <c r="D192" s="15"/>
      <c r="H192" s="16"/>
    </row>
    <row r="193" spans="4:8" x14ac:dyDescent="0.3">
      <c r="D193" s="15"/>
      <c r="H193" s="16"/>
    </row>
    <row r="194" spans="4:8" x14ac:dyDescent="0.3">
      <c r="D194" s="15"/>
      <c r="H194" s="16"/>
    </row>
    <row r="195" spans="4:8" x14ac:dyDescent="0.3">
      <c r="D195" s="15"/>
      <c r="H195" s="16"/>
    </row>
    <row r="196" spans="4:8" x14ac:dyDescent="0.3">
      <c r="D196" s="15"/>
      <c r="H196" s="16"/>
    </row>
    <row r="197" spans="4:8" x14ac:dyDescent="0.3">
      <c r="D197" s="15"/>
      <c r="H197" s="16"/>
    </row>
    <row r="198" spans="4:8" x14ac:dyDescent="0.3">
      <c r="D198" s="15"/>
      <c r="H198" s="16"/>
    </row>
    <row r="199" spans="4:8" x14ac:dyDescent="0.3">
      <c r="D199" s="15"/>
      <c r="H199" s="16"/>
    </row>
    <row r="200" spans="4:8" x14ac:dyDescent="0.3">
      <c r="D200" s="15"/>
      <c r="H200" s="16"/>
    </row>
    <row r="201" spans="4:8" x14ac:dyDescent="0.3">
      <c r="D201" s="15"/>
      <c r="H201" s="16"/>
    </row>
    <row r="202" spans="4:8" x14ac:dyDescent="0.3">
      <c r="D202" s="15"/>
      <c r="H202" s="16"/>
    </row>
    <row r="203" spans="4:8" x14ac:dyDescent="0.3">
      <c r="D203" s="15"/>
      <c r="H203" s="16"/>
    </row>
    <row r="204" spans="4:8" x14ac:dyDescent="0.3">
      <c r="D204" s="15"/>
      <c r="H204" s="16"/>
    </row>
    <row r="205" spans="4:8" x14ac:dyDescent="0.3">
      <c r="D205" s="15"/>
      <c r="H205" s="16"/>
    </row>
    <row r="206" spans="4:8" x14ac:dyDescent="0.3">
      <c r="D206" s="15"/>
      <c r="H206" s="16"/>
    </row>
    <row r="207" spans="4:8" x14ac:dyDescent="0.3">
      <c r="D207" s="15"/>
      <c r="H207" s="16"/>
    </row>
    <row r="208" spans="4:8" x14ac:dyDescent="0.3">
      <c r="D208" s="15"/>
      <c r="H208" s="16"/>
    </row>
    <row r="209" spans="4:8" x14ac:dyDescent="0.3">
      <c r="D209" s="15"/>
      <c r="H209" s="16"/>
    </row>
    <row r="210" spans="4:8" x14ac:dyDescent="0.3">
      <c r="D210" s="15"/>
      <c r="H210" s="16"/>
    </row>
    <row r="211" spans="4:8" x14ac:dyDescent="0.3">
      <c r="D211" s="15"/>
      <c r="H211" s="16"/>
    </row>
    <row r="212" spans="4:8" x14ac:dyDescent="0.3">
      <c r="D212" s="15"/>
      <c r="H212" s="16"/>
    </row>
    <row r="213" spans="4:8" x14ac:dyDescent="0.3">
      <c r="D213" s="15"/>
      <c r="H213" s="16"/>
    </row>
    <row r="214" spans="4:8" x14ac:dyDescent="0.3">
      <c r="D214" s="15"/>
      <c r="H214" s="16"/>
    </row>
    <row r="215" spans="4:8" x14ac:dyDescent="0.3">
      <c r="D215" s="15"/>
      <c r="H215" s="16"/>
    </row>
    <row r="216" spans="4:8" x14ac:dyDescent="0.3">
      <c r="D216" s="15"/>
      <c r="H216" s="16"/>
    </row>
    <row r="217" spans="4:8" x14ac:dyDescent="0.3">
      <c r="D217" s="15"/>
      <c r="H217" s="16"/>
    </row>
    <row r="218" spans="4:8" x14ac:dyDescent="0.3">
      <c r="D218" s="15"/>
      <c r="H218" s="16"/>
    </row>
    <row r="219" spans="4:8" x14ac:dyDescent="0.3">
      <c r="D219" s="15"/>
      <c r="H219" s="16"/>
    </row>
    <row r="220" spans="4:8" x14ac:dyDescent="0.3">
      <c r="D220" s="15"/>
      <c r="H220" s="16"/>
    </row>
    <row r="221" spans="4:8" x14ac:dyDescent="0.3">
      <c r="D221" s="15"/>
      <c r="H221" s="16"/>
    </row>
    <row r="222" spans="4:8" x14ac:dyDescent="0.3">
      <c r="D222" s="15"/>
      <c r="H222" s="16"/>
    </row>
    <row r="223" spans="4:8" x14ac:dyDescent="0.3">
      <c r="D223" s="15"/>
      <c r="H223" s="16"/>
    </row>
    <row r="224" spans="4:8" x14ac:dyDescent="0.3">
      <c r="D224" s="15"/>
      <c r="H224" s="16"/>
    </row>
    <row r="225" spans="4:8" x14ac:dyDescent="0.3">
      <c r="D225" s="15"/>
      <c r="H225" s="16"/>
    </row>
    <row r="226" spans="4:8" x14ac:dyDescent="0.3">
      <c r="D226" s="15"/>
      <c r="H226" s="16"/>
    </row>
    <row r="227" spans="4:8" x14ac:dyDescent="0.3">
      <c r="D227" s="15"/>
      <c r="H227" s="16"/>
    </row>
    <row r="228" spans="4:8" x14ac:dyDescent="0.3">
      <c r="D228" s="15"/>
      <c r="H228" s="16"/>
    </row>
    <row r="229" spans="4:8" x14ac:dyDescent="0.3">
      <c r="D229" s="15"/>
      <c r="H229" s="16"/>
    </row>
    <row r="230" spans="4:8" x14ac:dyDescent="0.3">
      <c r="D230" s="15"/>
      <c r="H230" s="16"/>
    </row>
    <row r="231" spans="4:8" x14ac:dyDescent="0.3">
      <c r="D231" s="15"/>
      <c r="H231" s="16"/>
    </row>
    <row r="232" spans="4:8" x14ac:dyDescent="0.3">
      <c r="D232" s="15"/>
      <c r="H232" s="16"/>
    </row>
    <row r="233" spans="4:8" x14ac:dyDescent="0.3">
      <c r="D233" s="15"/>
      <c r="H233" s="16"/>
    </row>
    <row r="234" spans="4:8" x14ac:dyDescent="0.3">
      <c r="D234" s="15"/>
      <c r="H234" s="16"/>
    </row>
    <row r="235" spans="4:8" x14ac:dyDescent="0.3">
      <c r="D235" s="15"/>
      <c r="H235" s="16"/>
    </row>
    <row r="236" spans="4:8" x14ac:dyDescent="0.3">
      <c r="D236" s="15"/>
      <c r="H236" s="16"/>
    </row>
    <row r="237" spans="4:8" x14ac:dyDescent="0.3">
      <c r="D237" s="15"/>
      <c r="H237" s="16"/>
    </row>
    <row r="238" spans="4:8" x14ac:dyDescent="0.3">
      <c r="D238" s="15"/>
      <c r="H238" s="16"/>
    </row>
    <row r="239" spans="4:8" x14ac:dyDescent="0.3">
      <c r="D239" s="15"/>
      <c r="H239" s="16"/>
    </row>
    <row r="240" spans="4:8" x14ac:dyDescent="0.3">
      <c r="D240" s="15"/>
      <c r="H240" s="16"/>
    </row>
    <row r="241" spans="4:8" x14ac:dyDescent="0.3">
      <c r="D241" s="15"/>
      <c r="H241" s="16"/>
    </row>
    <row r="242" spans="4:8" x14ac:dyDescent="0.3">
      <c r="D242" s="15"/>
      <c r="H242" s="16"/>
    </row>
    <row r="243" spans="4:8" x14ac:dyDescent="0.3">
      <c r="D243" s="15"/>
      <c r="H243" s="16"/>
    </row>
    <row r="244" spans="4:8" x14ac:dyDescent="0.3">
      <c r="D244" s="15"/>
      <c r="H244" s="16"/>
    </row>
    <row r="245" spans="4:8" x14ac:dyDescent="0.3">
      <c r="D245" s="15"/>
      <c r="H245" s="16"/>
    </row>
    <row r="246" spans="4:8" x14ac:dyDescent="0.3">
      <c r="D246" s="15"/>
      <c r="H246" s="16"/>
    </row>
    <row r="247" spans="4:8" x14ac:dyDescent="0.3">
      <c r="D247" s="15"/>
      <c r="H247" s="16"/>
    </row>
    <row r="248" spans="4:8" x14ac:dyDescent="0.3">
      <c r="D248" s="15"/>
      <c r="H248" s="16"/>
    </row>
    <row r="249" spans="4:8" x14ac:dyDescent="0.3">
      <c r="D249" s="15"/>
      <c r="H249" s="16"/>
    </row>
    <row r="250" spans="4:8" x14ac:dyDescent="0.3">
      <c r="D250" s="15"/>
      <c r="H250" s="16"/>
    </row>
    <row r="251" spans="4:8" x14ac:dyDescent="0.3">
      <c r="D251" s="15"/>
      <c r="H251" s="16"/>
    </row>
    <row r="252" spans="4:8" x14ac:dyDescent="0.3">
      <c r="D252" s="15"/>
      <c r="H252" s="16"/>
    </row>
    <row r="253" spans="4:8" x14ac:dyDescent="0.3">
      <c r="D253" s="15"/>
      <c r="H253" s="16"/>
    </row>
    <row r="254" spans="4:8" x14ac:dyDescent="0.3">
      <c r="D254" s="15"/>
      <c r="H254" s="16"/>
    </row>
    <row r="255" spans="4:8" x14ac:dyDescent="0.3">
      <c r="D255" s="15"/>
      <c r="H255" s="16"/>
    </row>
    <row r="256" spans="4:8" x14ac:dyDescent="0.3">
      <c r="D256" s="15"/>
      <c r="H256" s="16"/>
    </row>
    <row r="257" spans="4:8" x14ac:dyDescent="0.3">
      <c r="D257" s="15"/>
      <c r="H257" s="16"/>
    </row>
    <row r="258" spans="4:8" x14ac:dyDescent="0.3">
      <c r="D258" s="15"/>
      <c r="H258" s="16"/>
    </row>
    <row r="259" spans="4:8" x14ac:dyDescent="0.3">
      <c r="D259" s="15"/>
      <c r="H259" s="16"/>
    </row>
    <row r="260" spans="4:8" x14ac:dyDescent="0.3">
      <c r="D260" s="15"/>
      <c r="H260" s="16"/>
    </row>
    <row r="261" spans="4:8" x14ac:dyDescent="0.3">
      <c r="D261" s="15"/>
      <c r="H261" s="16"/>
    </row>
    <row r="262" spans="4:8" x14ac:dyDescent="0.3">
      <c r="D262" s="15"/>
      <c r="H262" s="16"/>
    </row>
    <row r="263" spans="4:8" x14ac:dyDescent="0.3">
      <c r="D263" s="15"/>
      <c r="H263" s="16"/>
    </row>
    <row r="264" spans="4:8" x14ac:dyDescent="0.3">
      <c r="D264" s="15"/>
      <c r="H264" s="16"/>
    </row>
    <row r="265" spans="4:8" x14ac:dyDescent="0.3">
      <c r="D265" s="15"/>
      <c r="H265" s="16"/>
    </row>
    <row r="266" spans="4:8" x14ac:dyDescent="0.3">
      <c r="D266" s="15"/>
      <c r="H266" s="16"/>
    </row>
    <row r="267" spans="4:8" x14ac:dyDescent="0.3">
      <c r="D267" s="15"/>
      <c r="H267" s="16"/>
    </row>
    <row r="268" spans="4:8" x14ac:dyDescent="0.3">
      <c r="D268" s="15"/>
      <c r="H268" s="16"/>
    </row>
    <row r="269" spans="4:8" x14ac:dyDescent="0.3">
      <c r="D269" s="15"/>
      <c r="H269" s="16"/>
    </row>
    <row r="270" spans="4:8" x14ac:dyDescent="0.3">
      <c r="D270" s="15"/>
      <c r="H270" s="16"/>
    </row>
    <row r="271" spans="4:8" x14ac:dyDescent="0.3">
      <c r="D271" s="15"/>
      <c r="H271" s="16"/>
    </row>
    <row r="272" spans="4:8" x14ac:dyDescent="0.3">
      <c r="D272" s="15"/>
      <c r="H272" s="16"/>
    </row>
    <row r="273" spans="4:8" x14ac:dyDescent="0.3">
      <c r="D273" s="15"/>
      <c r="H273" s="16"/>
    </row>
    <row r="274" spans="4:8" x14ac:dyDescent="0.3">
      <c r="D274" s="15"/>
      <c r="H274" s="16"/>
    </row>
    <row r="275" spans="4:8" x14ac:dyDescent="0.3">
      <c r="D275" s="15"/>
      <c r="H275" s="16"/>
    </row>
    <row r="276" spans="4:8" x14ac:dyDescent="0.3">
      <c r="D276" s="15"/>
      <c r="H276" s="16"/>
    </row>
    <row r="277" spans="4:8" x14ac:dyDescent="0.3">
      <c r="D277" s="15"/>
      <c r="H277" s="16"/>
    </row>
    <row r="278" spans="4:8" x14ac:dyDescent="0.3">
      <c r="D278" s="15"/>
      <c r="H278" s="16"/>
    </row>
    <row r="279" spans="4:8" x14ac:dyDescent="0.3">
      <c r="D279" s="15"/>
      <c r="H279" s="16"/>
    </row>
    <row r="280" spans="4:8" x14ac:dyDescent="0.3">
      <c r="H280" s="16"/>
    </row>
    <row r="281" spans="4:8" x14ac:dyDescent="0.3">
      <c r="H281" s="16"/>
    </row>
    <row r="282" spans="4:8" x14ac:dyDescent="0.3">
      <c r="H282" s="16"/>
    </row>
    <row r="283" spans="4:8" x14ac:dyDescent="0.3">
      <c r="H283" s="16"/>
    </row>
  </sheetData>
  <pageMargins left="0.7" right="0.7" top="0.75" bottom="0.75" header="0.3" footer="0.3"/>
  <pageSetup paperSize="9" orientation="portrait" verticalDpi="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65"/>
  <sheetViews>
    <sheetView showGridLines="0" zoomScaleNormal="100" workbookViewId="0">
      <pane xSplit="10" ySplit="7" topLeftCell="L14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M24" sqref="M24"/>
    </sheetView>
  </sheetViews>
  <sheetFormatPr defaultColWidth="9.109375" defaultRowHeight="14.4" x14ac:dyDescent="0.3"/>
  <cols>
    <col min="1" max="1" width="7.33203125" style="1" customWidth="1"/>
    <col min="2" max="2" width="3.6640625" style="1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9.6640625" customWidth="1"/>
    <col min="10" max="10" width="14.6640625" style="1" customWidth="1"/>
    <col min="11" max="92" width="12.6640625" style="1" customWidth="1"/>
    <col min="93" max="16384" width="9.109375" style="1"/>
  </cols>
  <sheetData>
    <row r="1" spans="1:92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ht="18" customHeight="1" x14ac:dyDescent="0.4">
      <c r="A3" s="63">
        <f>Ops!A3+1</f>
        <v>3</v>
      </c>
      <c r="B3" s="64"/>
      <c r="C3" s="64" t="s">
        <v>177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x14ac:dyDescent="0.3">
      <c r="D4" s="8"/>
      <c r="E4" s="9"/>
    </row>
    <row r="5" spans="1:92" x14ac:dyDescent="0.3">
      <c r="D5" s="11"/>
    </row>
    <row r="6" spans="1:92" ht="15" customHeight="1" x14ac:dyDescent="0.3">
      <c r="D6" s="12"/>
      <c r="E6" s="2" t="s">
        <v>47</v>
      </c>
      <c r="L6" s="71">
        <f>Ass!$I$12</f>
        <v>41639</v>
      </c>
      <c r="M6" s="13">
        <f>L7+1</f>
        <v>41640</v>
      </c>
      <c r="N6" s="13">
        <f t="shared" ref="N6:BY6" si="0">M7+1</f>
        <v>41730</v>
      </c>
      <c r="O6" s="13">
        <f t="shared" si="0"/>
        <v>41821</v>
      </c>
      <c r="P6" s="13">
        <f t="shared" si="0"/>
        <v>41913</v>
      </c>
      <c r="Q6" s="13">
        <f t="shared" si="0"/>
        <v>42005</v>
      </c>
      <c r="R6" s="13">
        <f t="shared" si="0"/>
        <v>42095</v>
      </c>
      <c r="S6" s="13">
        <f t="shared" si="0"/>
        <v>42186</v>
      </c>
      <c r="T6" s="13">
        <f t="shared" si="0"/>
        <v>42278</v>
      </c>
      <c r="U6" s="13">
        <f t="shared" si="0"/>
        <v>42370</v>
      </c>
      <c r="V6" s="13">
        <f t="shared" si="0"/>
        <v>42461</v>
      </c>
      <c r="W6" s="13">
        <f t="shared" si="0"/>
        <v>42552</v>
      </c>
      <c r="X6" s="13">
        <f t="shared" si="0"/>
        <v>42644</v>
      </c>
      <c r="Y6" s="13">
        <f t="shared" si="0"/>
        <v>42736</v>
      </c>
      <c r="Z6" s="13">
        <f t="shared" si="0"/>
        <v>42826</v>
      </c>
      <c r="AA6" s="13">
        <f t="shared" si="0"/>
        <v>42917</v>
      </c>
      <c r="AB6" s="13">
        <f t="shared" si="0"/>
        <v>43009</v>
      </c>
      <c r="AC6" s="13">
        <f t="shared" si="0"/>
        <v>43101</v>
      </c>
      <c r="AD6" s="13">
        <f t="shared" si="0"/>
        <v>43191</v>
      </c>
      <c r="AE6" s="13">
        <f t="shared" si="0"/>
        <v>43282</v>
      </c>
      <c r="AF6" s="13">
        <f t="shared" si="0"/>
        <v>43374</v>
      </c>
      <c r="AG6" s="13">
        <f t="shared" si="0"/>
        <v>43466</v>
      </c>
      <c r="AH6" s="13">
        <f t="shared" si="0"/>
        <v>43556</v>
      </c>
      <c r="AI6" s="13">
        <f t="shared" si="0"/>
        <v>43647</v>
      </c>
      <c r="AJ6" s="13">
        <f t="shared" si="0"/>
        <v>43739</v>
      </c>
      <c r="AK6" s="13">
        <f t="shared" si="0"/>
        <v>43831</v>
      </c>
      <c r="AL6" s="13">
        <f t="shared" si="0"/>
        <v>43922</v>
      </c>
      <c r="AM6" s="13">
        <f t="shared" si="0"/>
        <v>44013</v>
      </c>
      <c r="AN6" s="13">
        <f t="shared" si="0"/>
        <v>44105</v>
      </c>
      <c r="AO6" s="13">
        <f t="shared" si="0"/>
        <v>44197</v>
      </c>
      <c r="AP6" s="13">
        <f t="shared" si="0"/>
        <v>44287</v>
      </c>
      <c r="AQ6" s="13">
        <f t="shared" si="0"/>
        <v>44378</v>
      </c>
      <c r="AR6" s="13">
        <f t="shared" si="0"/>
        <v>44470</v>
      </c>
      <c r="AS6" s="13">
        <f t="shared" si="0"/>
        <v>44562</v>
      </c>
      <c r="AT6" s="13">
        <f t="shared" si="0"/>
        <v>44652</v>
      </c>
      <c r="AU6" s="13">
        <f t="shared" si="0"/>
        <v>44743</v>
      </c>
      <c r="AV6" s="13">
        <f t="shared" si="0"/>
        <v>44835</v>
      </c>
      <c r="AW6" s="13">
        <f t="shared" si="0"/>
        <v>44927</v>
      </c>
      <c r="AX6" s="13">
        <f t="shared" si="0"/>
        <v>45017</v>
      </c>
      <c r="AY6" s="13">
        <f t="shared" si="0"/>
        <v>45108</v>
      </c>
      <c r="AZ6" s="13">
        <f t="shared" si="0"/>
        <v>45200</v>
      </c>
      <c r="BA6" s="13">
        <f t="shared" si="0"/>
        <v>45292</v>
      </c>
      <c r="BB6" s="13">
        <f t="shared" si="0"/>
        <v>45383</v>
      </c>
      <c r="BC6" s="13">
        <f t="shared" si="0"/>
        <v>45474</v>
      </c>
      <c r="BD6" s="13">
        <f t="shared" si="0"/>
        <v>45566</v>
      </c>
      <c r="BE6" s="13">
        <f t="shared" si="0"/>
        <v>45658</v>
      </c>
      <c r="BF6" s="13">
        <f t="shared" si="0"/>
        <v>45748</v>
      </c>
      <c r="BG6" s="13">
        <f t="shared" si="0"/>
        <v>45839</v>
      </c>
      <c r="BH6" s="13">
        <f t="shared" si="0"/>
        <v>45931</v>
      </c>
      <c r="BI6" s="13">
        <f t="shared" si="0"/>
        <v>46023</v>
      </c>
      <c r="BJ6" s="13">
        <f t="shared" si="0"/>
        <v>46113</v>
      </c>
      <c r="BK6" s="13">
        <f t="shared" si="0"/>
        <v>46204</v>
      </c>
      <c r="BL6" s="13">
        <f t="shared" si="0"/>
        <v>46296</v>
      </c>
      <c r="BM6" s="13">
        <f t="shared" si="0"/>
        <v>46388</v>
      </c>
      <c r="BN6" s="13">
        <f t="shared" si="0"/>
        <v>46478</v>
      </c>
      <c r="BO6" s="13">
        <f t="shared" si="0"/>
        <v>46569</v>
      </c>
      <c r="BP6" s="13">
        <f t="shared" si="0"/>
        <v>46661</v>
      </c>
      <c r="BQ6" s="13">
        <f t="shared" si="0"/>
        <v>46753</v>
      </c>
      <c r="BR6" s="13">
        <f t="shared" si="0"/>
        <v>46844</v>
      </c>
      <c r="BS6" s="13">
        <f t="shared" si="0"/>
        <v>46935</v>
      </c>
      <c r="BT6" s="13">
        <f t="shared" si="0"/>
        <v>47027</v>
      </c>
      <c r="BU6" s="13">
        <f t="shared" si="0"/>
        <v>47119</v>
      </c>
      <c r="BV6" s="13">
        <f t="shared" si="0"/>
        <v>47209</v>
      </c>
      <c r="BW6" s="13">
        <f t="shared" si="0"/>
        <v>47300</v>
      </c>
      <c r="BX6" s="13">
        <f t="shared" si="0"/>
        <v>47392</v>
      </c>
      <c r="BY6" s="13">
        <f t="shared" si="0"/>
        <v>47484</v>
      </c>
      <c r="BZ6" s="13">
        <f t="shared" ref="BZ6:CN6" si="1">BY7+1</f>
        <v>47574</v>
      </c>
      <c r="CA6" s="13">
        <f t="shared" si="1"/>
        <v>47665</v>
      </c>
      <c r="CB6" s="13">
        <f t="shared" si="1"/>
        <v>47757</v>
      </c>
      <c r="CC6" s="13">
        <f t="shared" si="1"/>
        <v>47849</v>
      </c>
      <c r="CD6" s="13">
        <f t="shared" si="1"/>
        <v>47939</v>
      </c>
      <c r="CE6" s="13">
        <f t="shared" si="1"/>
        <v>48030</v>
      </c>
      <c r="CF6" s="13">
        <f t="shared" si="1"/>
        <v>48122</v>
      </c>
      <c r="CG6" s="13">
        <f t="shared" si="1"/>
        <v>48214</v>
      </c>
      <c r="CH6" s="13">
        <f t="shared" si="1"/>
        <v>48305</v>
      </c>
      <c r="CI6" s="13">
        <f t="shared" si="1"/>
        <v>48396</v>
      </c>
      <c r="CJ6" s="13">
        <f t="shared" si="1"/>
        <v>48488</v>
      </c>
      <c r="CK6" s="13">
        <f t="shared" si="1"/>
        <v>48580</v>
      </c>
      <c r="CL6" s="13">
        <f t="shared" si="1"/>
        <v>48670</v>
      </c>
      <c r="CM6" s="13">
        <f t="shared" si="1"/>
        <v>48761</v>
      </c>
      <c r="CN6" s="13">
        <f t="shared" si="1"/>
        <v>48853</v>
      </c>
    </row>
    <row r="7" spans="1:92" ht="15" customHeight="1" x14ac:dyDescent="0.3">
      <c r="D7" s="12"/>
      <c r="E7" s="2" t="s">
        <v>48</v>
      </c>
      <c r="H7" s="10" t="s">
        <v>49</v>
      </c>
      <c r="J7" s="1" t="s">
        <v>50</v>
      </c>
      <c r="L7" s="71">
        <f>Ass!$I$12</f>
        <v>41639</v>
      </c>
      <c r="M7" s="13">
        <f>EOMONTH(L7,3)</f>
        <v>41729</v>
      </c>
      <c r="N7" s="13">
        <f t="shared" ref="N7:BY7" si="2">EOMONTH(M7,3)</f>
        <v>41820</v>
      </c>
      <c r="O7" s="13">
        <f t="shared" si="2"/>
        <v>41912</v>
      </c>
      <c r="P7" s="13">
        <f t="shared" si="2"/>
        <v>42004</v>
      </c>
      <c r="Q7" s="13">
        <f t="shared" si="2"/>
        <v>42094</v>
      </c>
      <c r="R7" s="13">
        <f t="shared" si="2"/>
        <v>42185</v>
      </c>
      <c r="S7" s="13">
        <f t="shared" si="2"/>
        <v>42277</v>
      </c>
      <c r="T7" s="13">
        <f t="shared" si="2"/>
        <v>42369</v>
      </c>
      <c r="U7" s="13">
        <f t="shared" si="2"/>
        <v>42460</v>
      </c>
      <c r="V7" s="13">
        <f t="shared" si="2"/>
        <v>42551</v>
      </c>
      <c r="W7" s="13">
        <f t="shared" si="2"/>
        <v>42643</v>
      </c>
      <c r="X7" s="13">
        <f t="shared" si="2"/>
        <v>42735</v>
      </c>
      <c r="Y7" s="13">
        <f t="shared" si="2"/>
        <v>42825</v>
      </c>
      <c r="Z7" s="13">
        <f t="shared" si="2"/>
        <v>42916</v>
      </c>
      <c r="AA7" s="13">
        <f t="shared" si="2"/>
        <v>43008</v>
      </c>
      <c r="AB7" s="13">
        <f t="shared" si="2"/>
        <v>43100</v>
      </c>
      <c r="AC7" s="13">
        <f t="shared" si="2"/>
        <v>43190</v>
      </c>
      <c r="AD7" s="13">
        <f t="shared" si="2"/>
        <v>43281</v>
      </c>
      <c r="AE7" s="13">
        <f t="shared" si="2"/>
        <v>43373</v>
      </c>
      <c r="AF7" s="13">
        <f t="shared" si="2"/>
        <v>43465</v>
      </c>
      <c r="AG7" s="13">
        <f t="shared" si="2"/>
        <v>43555</v>
      </c>
      <c r="AH7" s="13">
        <f t="shared" si="2"/>
        <v>43646</v>
      </c>
      <c r="AI7" s="13">
        <f t="shared" si="2"/>
        <v>43738</v>
      </c>
      <c r="AJ7" s="13">
        <f t="shared" si="2"/>
        <v>43830</v>
      </c>
      <c r="AK7" s="13">
        <f t="shared" si="2"/>
        <v>43921</v>
      </c>
      <c r="AL7" s="13">
        <f t="shared" si="2"/>
        <v>44012</v>
      </c>
      <c r="AM7" s="13">
        <f t="shared" si="2"/>
        <v>44104</v>
      </c>
      <c r="AN7" s="13">
        <f t="shared" si="2"/>
        <v>44196</v>
      </c>
      <c r="AO7" s="13">
        <f t="shared" si="2"/>
        <v>44286</v>
      </c>
      <c r="AP7" s="13">
        <f t="shared" si="2"/>
        <v>44377</v>
      </c>
      <c r="AQ7" s="13">
        <f t="shared" si="2"/>
        <v>44469</v>
      </c>
      <c r="AR7" s="13">
        <f t="shared" si="2"/>
        <v>44561</v>
      </c>
      <c r="AS7" s="13">
        <f t="shared" si="2"/>
        <v>44651</v>
      </c>
      <c r="AT7" s="13">
        <f t="shared" si="2"/>
        <v>44742</v>
      </c>
      <c r="AU7" s="13">
        <f t="shared" si="2"/>
        <v>44834</v>
      </c>
      <c r="AV7" s="13">
        <f t="shared" si="2"/>
        <v>44926</v>
      </c>
      <c r="AW7" s="13">
        <f t="shared" si="2"/>
        <v>45016</v>
      </c>
      <c r="AX7" s="13">
        <f t="shared" si="2"/>
        <v>45107</v>
      </c>
      <c r="AY7" s="13">
        <f t="shared" si="2"/>
        <v>45199</v>
      </c>
      <c r="AZ7" s="13">
        <f t="shared" si="2"/>
        <v>45291</v>
      </c>
      <c r="BA7" s="13">
        <f t="shared" si="2"/>
        <v>45382</v>
      </c>
      <c r="BB7" s="13">
        <f t="shared" si="2"/>
        <v>45473</v>
      </c>
      <c r="BC7" s="13">
        <f t="shared" si="2"/>
        <v>45565</v>
      </c>
      <c r="BD7" s="13">
        <f t="shared" si="2"/>
        <v>45657</v>
      </c>
      <c r="BE7" s="13">
        <f t="shared" si="2"/>
        <v>45747</v>
      </c>
      <c r="BF7" s="13">
        <f t="shared" si="2"/>
        <v>45838</v>
      </c>
      <c r="BG7" s="13">
        <f t="shared" si="2"/>
        <v>45930</v>
      </c>
      <c r="BH7" s="13">
        <f t="shared" si="2"/>
        <v>46022</v>
      </c>
      <c r="BI7" s="13">
        <f t="shared" si="2"/>
        <v>46112</v>
      </c>
      <c r="BJ7" s="13">
        <f t="shared" si="2"/>
        <v>46203</v>
      </c>
      <c r="BK7" s="13">
        <f t="shared" si="2"/>
        <v>46295</v>
      </c>
      <c r="BL7" s="13">
        <f t="shared" si="2"/>
        <v>46387</v>
      </c>
      <c r="BM7" s="13">
        <f t="shared" si="2"/>
        <v>46477</v>
      </c>
      <c r="BN7" s="13">
        <f t="shared" si="2"/>
        <v>46568</v>
      </c>
      <c r="BO7" s="13">
        <f t="shared" si="2"/>
        <v>46660</v>
      </c>
      <c r="BP7" s="13">
        <f t="shared" si="2"/>
        <v>46752</v>
      </c>
      <c r="BQ7" s="13">
        <f t="shared" si="2"/>
        <v>46843</v>
      </c>
      <c r="BR7" s="13">
        <f t="shared" si="2"/>
        <v>46934</v>
      </c>
      <c r="BS7" s="13">
        <f t="shared" si="2"/>
        <v>47026</v>
      </c>
      <c r="BT7" s="13">
        <f t="shared" si="2"/>
        <v>47118</v>
      </c>
      <c r="BU7" s="13">
        <f t="shared" si="2"/>
        <v>47208</v>
      </c>
      <c r="BV7" s="13">
        <f t="shared" si="2"/>
        <v>47299</v>
      </c>
      <c r="BW7" s="13">
        <f t="shared" si="2"/>
        <v>47391</v>
      </c>
      <c r="BX7" s="13">
        <f t="shared" si="2"/>
        <v>47483</v>
      </c>
      <c r="BY7" s="13">
        <f t="shared" si="2"/>
        <v>47573</v>
      </c>
      <c r="BZ7" s="13">
        <f t="shared" ref="BZ7:CN7" si="3">EOMONTH(BY7,3)</f>
        <v>47664</v>
      </c>
      <c r="CA7" s="13">
        <f t="shared" si="3"/>
        <v>47756</v>
      </c>
      <c r="CB7" s="13">
        <f t="shared" si="3"/>
        <v>47848</v>
      </c>
      <c r="CC7" s="13">
        <f t="shared" si="3"/>
        <v>47938</v>
      </c>
      <c r="CD7" s="13">
        <f t="shared" si="3"/>
        <v>48029</v>
      </c>
      <c r="CE7" s="13">
        <f t="shared" si="3"/>
        <v>48121</v>
      </c>
      <c r="CF7" s="13">
        <f t="shared" si="3"/>
        <v>48213</v>
      </c>
      <c r="CG7" s="13">
        <f t="shared" si="3"/>
        <v>48304</v>
      </c>
      <c r="CH7" s="13">
        <f t="shared" si="3"/>
        <v>48395</v>
      </c>
      <c r="CI7" s="13">
        <f t="shared" si="3"/>
        <v>48487</v>
      </c>
      <c r="CJ7" s="13">
        <f t="shared" si="3"/>
        <v>48579</v>
      </c>
      <c r="CK7" s="13">
        <f t="shared" si="3"/>
        <v>48669</v>
      </c>
      <c r="CL7" s="13">
        <f t="shared" si="3"/>
        <v>48760</v>
      </c>
      <c r="CM7" s="13">
        <f t="shared" si="3"/>
        <v>48852</v>
      </c>
      <c r="CN7" s="13">
        <f t="shared" si="3"/>
        <v>48944</v>
      </c>
    </row>
    <row r="8" spans="1:92" x14ac:dyDescent="0.3">
      <c r="C8" s="8"/>
    </row>
    <row r="9" spans="1:92" ht="13.2" x14ac:dyDescent="0.25">
      <c r="A9" s="14">
        <f>MAX(A$3:A8)+0.01</f>
        <v>3.01</v>
      </c>
      <c r="B9" s="14"/>
      <c r="C9" s="14" t="s">
        <v>137</v>
      </c>
      <c r="D9" s="20"/>
      <c r="E9" s="14"/>
      <c r="F9" s="14"/>
      <c r="G9" s="14"/>
      <c r="H9" s="5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ht="12.75" customHeight="1" x14ac:dyDescent="0.3">
      <c r="D10" s="15"/>
      <c r="H10" s="16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92" ht="12.75" customHeight="1" x14ac:dyDescent="0.3">
      <c r="D11" s="15" t="str">
        <f>Ops!D36</f>
        <v>Operations Period</v>
      </c>
      <c r="H11" s="16" t="s">
        <v>147</v>
      </c>
      <c r="L11" s="15">
        <f>Ops!L36</f>
        <v>0</v>
      </c>
      <c r="M11" s="15">
        <f>Ops!M36</f>
        <v>1</v>
      </c>
      <c r="N11" s="15">
        <f>Ops!N36</f>
        <v>1</v>
      </c>
      <c r="O11" s="15">
        <f>Ops!O36</f>
        <v>1</v>
      </c>
      <c r="P11" s="15">
        <f>Ops!P36</f>
        <v>1</v>
      </c>
      <c r="Q11" s="15">
        <f>Ops!Q36</f>
        <v>1</v>
      </c>
      <c r="R11" s="15">
        <f>Ops!R36</f>
        <v>1</v>
      </c>
      <c r="S11" s="15">
        <f>Ops!S36</f>
        <v>1</v>
      </c>
      <c r="T11" s="15">
        <f>Ops!T36</f>
        <v>1</v>
      </c>
      <c r="U11" s="15">
        <f>Ops!U36</f>
        <v>1</v>
      </c>
      <c r="V11" s="15">
        <f>Ops!V36</f>
        <v>1</v>
      </c>
      <c r="W11" s="15">
        <f>Ops!W36</f>
        <v>1</v>
      </c>
      <c r="X11" s="15">
        <f>Ops!X36</f>
        <v>1</v>
      </c>
      <c r="Y11" s="15">
        <f>Ops!Y36</f>
        <v>1</v>
      </c>
      <c r="Z11" s="15">
        <f>Ops!Z36</f>
        <v>1</v>
      </c>
      <c r="AA11" s="15">
        <f>Ops!AA36</f>
        <v>1</v>
      </c>
      <c r="AB11" s="15">
        <f>Ops!AB36</f>
        <v>1</v>
      </c>
      <c r="AC11" s="15">
        <f>Ops!AC36</f>
        <v>1</v>
      </c>
      <c r="AD11" s="15">
        <f>Ops!AD36</f>
        <v>1</v>
      </c>
      <c r="AE11" s="15">
        <f>Ops!AE36</f>
        <v>1</v>
      </c>
      <c r="AF11" s="15">
        <f>Ops!AF36</f>
        <v>1</v>
      </c>
      <c r="AG11" s="15">
        <f>Ops!AG36</f>
        <v>1</v>
      </c>
      <c r="AH11" s="15">
        <f>Ops!AH36</f>
        <v>1</v>
      </c>
      <c r="AI11" s="15">
        <f>Ops!AI36</f>
        <v>1</v>
      </c>
      <c r="AJ11" s="15">
        <f>Ops!AJ36</f>
        <v>1</v>
      </c>
      <c r="AK11" s="15">
        <f>Ops!AK36</f>
        <v>1</v>
      </c>
      <c r="AL11" s="15">
        <f>Ops!AL36</f>
        <v>1</v>
      </c>
      <c r="AM11" s="15">
        <f>Ops!AM36</f>
        <v>1</v>
      </c>
      <c r="AN11" s="15">
        <f>Ops!AN36</f>
        <v>1</v>
      </c>
      <c r="AO11" s="15">
        <f>Ops!AO36</f>
        <v>1</v>
      </c>
      <c r="AP11" s="15">
        <f>Ops!AP36</f>
        <v>1</v>
      </c>
      <c r="AQ11" s="15">
        <f>Ops!AQ36</f>
        <v>1</v>
      </c>
      <c r="AR11" s="15">
        <f>Ops!AR36</f>
        <v>1</v>
      </c>
      <c r="AS11" s="15">
        <f>Ops!AS36</f>
        <v>1</v>
      </c>
      <c r="AT11" s="15">
        <f>Ops!AT36</f>
        <v>1</v>
      </c>
      <c r="AU11" s="15">
        <f>Ops!AU36</f>
        <v>1</v>
      </c>
      <c r="AV11" s="15">
        <f>Ops!AV36</f>
        <v>1</v>
      </c>
      <c r="AW11" s="15">
        <f>Ops!AW36</f>
        <v>1</v>
      </c>
      <c r="AX11" s="15">
        <f>Ops!AX36</f>
        <v>1</v>
      </c>
      <c r="AY11" s="15">
        <f>Ops!AY36</f>
        <v>1</v>
      </c>
      <c r="AZ11" s="15">
        <f>Ops!AZ36</f>
        <v>1</v>
      </c>
      <c r="BA11" s="15">
        <f>Ops!BA36</f>
        <v>1</v>
      </c>
      <c r="BB11" s="15">
        <f>Ops!BB36</f>
        <v>1</v>
      </c>
      <c r="BC11" s="15">
        <f>Ops!BC36</f>
        <v>1</v>
      </c>
      <c r="BD11" s="15">
        <f>Ops!BD36</f>
        <v>1</v>
      </c>
      <c r="BE11" s="15">
        <f>Ops!BE36</f>
        <v>1</v>
      </c>
      <c r="BF11" s="15">
        <f>Ops!BF36</f>
        <v>1</v>
      </c>
      <c r="BG11" s="15">
        <f>Ops!BG36</f>
        <v>1</v>
      </c>
      <c r="BH11" s="15">
        <f>Ops!BH36</f>
        <v>1</v>
      </c>
      <c r="BI11" s="15">
        <f>Ops!BI36</f>
        <v>1</v>
      </c>
      <c r="BJ11" s="15">
        <f>Ops!BJ36</f>
        <v>1</v>
      </c>
      <c r="BK11" s="15">
        <f>Ops!BK36</f>
        <v>1</v>
      </c>
      <c r="BL11" s="15">
        <f>Ops!BL36</f>
        <v>1</v>
      </c>
      <c r="BM11" s="15">
        <f>Ops!BM36</f>
        <v>1</v>
      </c>
      <c r="BN11" s="15">
        <f>Ops!BN36</f>
        <v>1</v>
      </c>
      <c r="BO11" s="15">
        <f>Ops!BO36</f>
        <v>1</v>
      </c>
      <c r="BP11" s="15">
        <f>Ops!BP36</f>
        <v>1</v>
      </c>
      <c r="BQ11" s="15">
        <f>Ops!BQ36</f>
        <v>1</v>
      </c>
      <c r="BR11" s="15">
        <f>Ops!BR36</f>
        <v>1</v>
      </c>
      <c r="BS11" s="15">
        <f>Ops!BS36</f>
        <v>1</v>
      </c>
      <c r="BT11" s="15">
        <f>Ops!BT36</f>
        <v>1</v>
      </c>
      <c r="BU11" s="15">
        <f>Ops!BU36</f>
        <v>1</v>
      </c>
      <c r="BV11" s="15">
        <f>Ops!BV36</f>
        <v>1</v>
      </c>
      <c r="BW11" s="15">
        <f>Ops!BW36</f>
        <v>1</v>
      </c>
      <c r="BX11" s="15">
        <f>Ops!BX36</f>
        <v>1</v>
      </c>
      <c r="BY11" s="15">
        <f>Ops!BY36</f>
        <v>1</v>
      </c>
      <c r="BZ11" s="15">
        <f>Ops!BZ36</f>
        <v>1</v>
      </c>
      <c r="CA11" s="15">
        <f>Ops!CA36</f>
        <v>1</v>
      </c>
      <c r="CB11" s="15">
        <f>Ops!CB36</f>
        <v>1</v>
      </c>
      <c r="CC11" s="15">
        <f>Ops!CC36</f>
        <v>1</v>
      </c>
      <c r="CD11" s="15">
        <f>Ops!CD36</f>
        <v>1</v>
      </c>
      <c r="CE11" s="15">
        <f>Ops!CE36</f>
        <v>1</v>
      </c>
      <c r="CF11" s="15">
        <f>Ops!CF36</f>
        <v>1</v>
      </c>
      <c r="CG11" s="15">
        <f>Ops!CG36</f>
        <v>1</v>
      </c>
      <c r="CH11" s="15">
        <f>Ops!CH36</f>
        <v>1</v>
      </c>
      <c r="CI11" s="15">
        <f>Ops!CI36</f>
        <v>1</v>
      </c>
      <c r="CJ11" s="15">
        <f>Ops!CJ36</f>
        <v>1</v>
      </c>
      <c r="CK11" s="15">
        <f>Ops!CK36</f>
        <v>1</v>
      </c>
      <c r="CL11" s="15">
        <f>Ops!CL36</f>
        <v>1</v>
      </c>
      <c r="CM11" s="15">
        <f>Ops!CM36</f>
        <v>1</v>
      </c>
      <c r="CN11" s="15">
        <f>Ops!CN36</f>
        <v>1</v>
      </c>
    </row>
    <row r="12" spans="1:92" ht="12.75" customHeight="1" x14ac:dyDescent="0.3">
      <c r="D12" s="15" t="str">
        <f>Ops!D37</f>
        <v>Exit flag</v>
      </c>
      <c r="H12" s="16" t="s">
        <v>147</v>
      </c>
      <c r="L12" s="15">
        <f>Ops!L37</f>
        <v>0</v>
      </c>
      <c r="M12" s="15">
        <f>Ops!M37</f>
        <v>0</v>
      </c>
      <c r="N12" s="15">
        <f>Ops!N37</f>
        <v>0</v>
      </c>
      <c r="O12" s="15">
        <f>Ops!O37</f>
        <v>0</v>
      </c>
      <c r="P12" s="15">
        <f>Ops!P37</f>
        <v>0</v>
      </c>
      <c r="Q12" s="15">
        <f>Ops!Q37</f>
        <v>0</v>
      </c>
      <c r="R12" s="15">
        <f>Ops!R37</f>
        <v>0</v>
      </c>
      <c r="S12" s="15">
        <f>Ops!S37</f>
        <v>0</v>
      </c>
      <c r="T12" s="15">
        <f>Ops!T37</f>
        <v>0</v>
      </c>
      <c r="U12" s="15">
        <f>Ops!U37</f>
        <v>0</v>
      </c>
      <c r="V12" s="15">
        <f>Ops!V37</f>
        <v>0</v>
      </c>
      <c r="W12" s="15">
        <f>Ops!W37</f>
        <v>0</v>
      </c>
      <c r="X12" s="15">
        <f>Ops!X37</f>
        <v>0</v>
      </c>
      <c r="Y12" s="15">
        <f>Ops!Y37</f>
        <v>0</v>
      </c>
      <c r="Z12" s="15">
        <f>Ops!Z37</f>
        <v>0</v>
      </c>
      <c r="AA12" s="15">
        <f>Ops!AA37</f>
        <v>0</v>
      </c>
      <c r="AB12" s="15">
        <f>Ops!AB37</f>
        <v>0</v>
      </c>
      <c r="AC12" s="15">
        <f>Ops!AC37</f>
        <v>0</v>
      </c>
      <c r="AD12" s="15">
        <f>Ops!AD37</f>
        <v>0</v>
      </c>
      <c r="AE12" s="15">
        <f>Ops!AE37</f>
        <v>0</v>
      </c>
      <c r="AF12" s="15">
        <f>Ops!AF37</f>
        <v>0</v>
      </c>
      <c r="AG12" s="15">
        <f>Ops!AG37</f>
        <v>0</v>
      </c>
      <c r="AH12" s="15">
        <f>Ops!AH37</f>
        <v>0</v>
      </c>
      <c r="AI12" s="15">
        <f>Ops!AI37</f>
        <v>0</v>
      </c>
      <c r="AJ12" s="15">
        <f>Ops!AJ37</f>
        <v>0</v>
      </c>
      <c r="AK12" s="15">
        <f>Ops!AK37</f>
        <v>0</v>
      </c>
      <c r="AL12" s="15">
        <f>Ops!AL37</f>
        <v>0</v>
      </c>
      <c r="AM12" s="15">
        <f>Ops!AM37</f>
        <v>0</v>
      </c>
      <c r="AN12" s="15">
        <f>Ops!AN37</f>
        <v>0</v>
      </c>
      <c r="AO12" s="15">
        <f>Ops!AO37</f>
        <v>0</v>
      </c>
      <c r="AP12" s="15">
        <f>Ops!AP37</f>
        <v>0</v>
      </c>
      <c r="AQ12" s="15">
        <f>Ops!AQ37</f>
        <v>0</v>
      </c>
      <c r="AR12" s="15">
        <f>Ops!AR37</f>
        <v>0</v>
      </c>
      <c r="AS12" s="15">
        <f>Ops!AS37</f>
        <v>0</v>
      </c>
      <c r="AT12" s="15">
        <f>Ops!AT37</f>
        <v>0</v>
      </c>
      <c r="AU12" s="15">
        <f>Ops!AU37</f>
        <v>0</v>
      </c>
      <c r="AV12" s="15">
        <f>Ops!AV37</f>
        <v>0</v>
      </c>
      <c r="AW12" s="15">
        <f>Ops!AW37</f>
        <v>0</v>
      </c>
      <c r="AX12" s="15">
        <f>Ops!AX37</f>
        <v>0</v>
      </c>
      <c r="AY12" s="15">
        <f>Ops!AY37</f>
        <v>0</v>
      </c>
      <c r="AZ12" s="15">
        <f>Ops!AZ37</f>
        <v>0</v>
      </c>
      <c r="BA12" s="15">
        <f>Ops!BA37</f>
        <v>0</v>
      </c>
      <c r="BB12" s="15">
        <f>Ops!BB37</f>
        <v>0</v>
      </c>
      <c r="BC12" s="15">
        <f>Ops!BC37</f>
        <v>0</v>
      </c>
      <c r="BD12" s="15">
        <f>Ops!BD37</f>
        <v>0</v>
      </c>
      <c r="BE12" s="15">
        <f>Ops!BE37</f>
        <v>0</v>
      </c>
      <c r="BF12" s="15">
        <f>Ops!BF37</f>
        <v>0</v>
      </c>
      <c r="BG12" s="15">
        <f>Ops!BG37</f>
        <v>0</v>
      </c>
      <c r="BH12" s="15">
        <f>Ops!BH37</f>
        <v>0</v>
      </c>
      <c r="BI12" s="15">
        <f>Ops!BI37</f>
        <v>0</v>
      </c>
      <c r="BJ12" s="15">
        <f>Ops!BJ37</f>
        <v>0</v>
      </c>
      <c r="BK12" s="15">
        <f>Ops!BK37</f>
        <v>0</v>
      </c>
      <c r="BL12" s="15">
        <f>Ops!BL37</f>
        <v>0</v>
      </c>
      <c r="BM12" s="15">
        <f>Ops!BM37</f>
        <v>0</v>
      </c>
      <c r="BN12" s="15">
        <f>Ops!BN37</f>
        <v>0</v>
      </c>
      <c r="BO12" s="15">
        <f>Ops!BO37</f>
        <v>0</v>
      </c>
      <c r="BP12" s="15">
        <f>Ops!BP37</f>
        <v>0</v>
      </c>
      <c r="BQ12" s="15">
        <f>Ops!BQ37</f>
        <v>0</v>
      </c>
      <c r="BR12" s="15">
        <f>Ops!BR37</f>
        <v>0</v>
      </c>
      <c r="BS12" s="15">
        <f>Ops!BS37</f>
        <v>0</v>
      </c>
      <c r="BT12" s="15">
        <f>Ops!BT37</f>
        <v>0</v>
      </c>
      <c r="BU12" s="15">
        <f>Ops!BU37</f>
        <v>0</v>
      </c>
      <c r="BV12" s="15">
        <f>Ops!BV37</f>
        <v>0</v>
      </c>
      <c r="BW12" s="15">
        <f>Ops!BW37</f>
        <v>0</v>
      </c>
      <c r="BX12" s="15">
        <f>Ops!BX37</f>
        <v>0</v>
      </c>
      <c r="BY12" s="15">
        <f>Ops!BY37</f>
        <v>0</v>
      </c>
      <c r="BZ12" s="15">
        <f>Ops!BZ37</f>
        <v>0</v>
      </c>
      <c r="CA12" s="15">
        <f>Ops!CA37</f>
        <v>0</v>
      </c>
      <c r="CB12" s="15">
        <f>Ops!CB37</f>
        <v>0</v>
      </c>
      <c r="CC12" s="15">
        <f>Ops!CC37</f>
        <v>0</v>
      </c>
      <c r="CD12" s="15">
        <f>Ops!CD37</f>
        <v>0</v>
      </c>
      <c r="CE12" s="15">
        <f>Ops!CE37</f>
        <v>0</v>
      </c>
      <c r="CF12" s="15">
        <f>Ops!CF37</f>
        <v>0</v>
      </c>
      <c r="CG12" s="15">
        <f>Ops!CG37</f>
        <v>0</v>
      </c>
      <c r="CH12" s="15">
        <f>Ops!CH37</f>
        <v>0</v>
      </c>
      <c r="CI12" s="15">
        <f>Ops!CI37</f>
        <v>0</v>
      </c>
      <c r="CJ12" s="15">
        <f>Ops!CJ37</f>
        <v>0</v>
      </c>
      <c r="CK12" s="15">
        <f>Ops!CK37</f>
        <v>0</v>
      </c>
      <c r="CL12" s="15">
        <f>Ops!CL37</f>
        <v>0</v>
      </c>
      <c r="CM12" s="15">
        <f>Ops!CM37</f>
        <v>0</v>
      </c>
      <c r="CN12" s="15">
        <f>Ops!CN37</f>
        <v>1</v>
      </c>
    </row>
    <row r="13" spans="1:92" ht="12.75" customHeight="1" x14ac:dyDescent="0.3">
      <c r="D13" s="75" t="s">
        <v>187</v>
      </c>
      <c r="H13" s="16" t="s">
        <v>147</v>
      </c>
      <c r="L13" s="75">
        <f t="shared" ref="L13:AQ13" si="4">IF(L12=1,1,M13+1)</f>
        <v>81</v>
      </c>
      <c r="M13" s="15">
        <f t="shared" si="4"/>
        <v>80</v>
      </c>
      <c r="N13" s="15">
        <f t="shared" si="4"/>
        <v>79</v>
      </c>
      <c r="O13" s="15">
        <f t="shared" si="4"/>
        <v>78</v>
      </c>
      <c r="P13" s="15">
        <f t="shared" si="4"/>
        <v>77</v>
      </c>
      <c r="Q13" s="15">
        <f t="shared" si="4"/>
        <v>76</v>
      </c>
      <c r="R13" s="15">
        <f t="shared" si="4"/>
        <v>75</v>
      </c>
      <c r="S13" s="15">
        <f t="shared" si="4"/>
        <v>74</v>
      </c>
      <c r="T13" s="15">
        <f t="shared" si="4"/>
        <v>73</v>
      </c>
      <c r="U13" s="15">
        <f t="shared" si="4"/>
        <v>72</v>
      </c>
      <c r="V13" s="1">
        <f t="shared" si="4"/>
        <v>71</v>
      </c>
      <c r="W13" s="1">
        <f t="shared" si="4"/>
        <v>70</v>
      </c>
      <c r="X13" s="1">
        <f t="shared" si="4"/>
        <v>69</v>
      </c>
      <c r="Y13" s="1">
        <f t="shared" si="4"/>
        <v>68</v>
      </c>
      <c r="Z13" s="1">
        <f t="shared" si="4"/>
        <v>67</v>
      </c>
      <c r="AA13" s="1">
        <f t="shared" si="4"/>
        <v>66</v>
      </c>
      <c r="AB13" s="1">
        <f t="shared" si="4"/>
        <v>65</v>
      </c>
      <c r="AC13" s="1">
        <f t="shared" si="4"/>
        <v>64</v>
      </c>
      <c r="AD13" s="1">
        <f t="shared" si="4"/>
        <v>63</v>
      </c>
      <c r="AE13" s="1">
        <f t="shared" si="4"/>
        <v>62</v>
      </c>
      <c r="AF13" s="1">
        <f t="shared" si="4"/>
        <v>61</v>
      </c>
      <c r="AG13" s="1">
        <f t="shared" si="4"/>
        <v>60</v>
      </c>
      <c r="AH13" s="1">
        <f t="shared" si="4"/>
        <v>59</v>
      </c>
      <c r="AI13" s="1">
        <f t="shared" si="4"/>
        <v>58</v>
      </c>
      <c r="AJ13" s="1">
        <f t="shared" si="4"/>
        <v>57</v>
      </c>
      <c r="AK13" s="1">
        <f t="shared" si="4"/>
        <v>56</v>
      </c>
      <c r="AL13" s="1">
        <f t="shared" si="4"/>
        <v>55</v>
      </c>
      <c r="AM13" s="1">
        <f t="shared" si="4"/>
        <v>54</v>
      </c>
      <c r="AN13" s="1">
        <f t="shared" si="4"/>
        <v>53</v>
      </c>
      <c r="AO13" s="1">
        <f t="shared" si="4"/>
        <v>52</v>
      </c>
      <c r="AP13" s="1">
        <f t="shared" si="4"/>
        <v>51</v>
      </c>
      <c r="AQ13" s="1">
        <f t="shared" si="4"/>
        <v>50</v>
      </c>
      <c r="AR13" s="1">
        <f t="shared" ref="AR13:BW13" si="5">IF(AR12=1,1,AS13+1)</f>
        <v>49</v>
      </c>
      <c r="AS13" s="1">
        <f t="shared" si="5"/>
        <v>48</v>
      </c>
      <c r="AT13" s="1">
        <f t="shared" si="5"/>
        <v>47</v>
      </c>
      <c r="AU13" s="1">
        <f t="shared" si="5"/>
        <v>46</v>
      </c>
      <c r="AV13" s="1">
        <f t="shared" si="5"/>
        <v>45</v>
      </c>
      <c r="AW13" s="1">
        <f t="shared" si="5"/>
        <v>44</v>
      </c>
      <c r="AX13" s="1">
        <f t="shared" si="5"/>
        <v>43</v>
      </c>
      <c r="AY13" s="1">
        <f t="shared" si="5"/>
        <v>42</v>
      </c>
      <c r="AZ13" s="1">
        <f t="shared" si="5"/>
        <v>41</v>
      </c>
      <c r="BA13" s="1">
        <f t="shared" si="5"/>
        <v>40</v>
      </c>
      <c r="BB13" s="1">
        <f t="shared" si="5"/>
        <v>39</v>
      </c>
      <c r="BC13" s="1">
        <f t="shared" si="5"/>
        <v>38</v>
      </c>
      <c r="BD13" s="1">
        <f t="shared" si="5"/>
        <v>37</v>
      </c>
      <c r="BE13" s="1">
        <f t="shared" si="5"/>
        <v>36</v>
      </c>
      <c r="BF13" s="1">
        <f t="shared" si="5"/>
        <v>35</v>
      </c>
      <c r="BG13" s="1">
        <f t="shared" si="5"/>
        <v>34</v>
      </c>
      <c r="BH13" s="1">
        <f t="shared" si="5"/>
        <v>33</v>
      </c>
      <c r="BI13" s="1">
        <f t="shared" si="5"/>
        <v>32</v>
      </c>
      <c r="BJ13" s="1">
        <f t="shared" si="5"/>
        <v>31</v>
      </c>
      <c r="BK13" s="1">
        <f t="shared" si="5"/>
        <v>30</v>
      </c>
      <c r="BL13" s="1">
        <f t="shared" si="5"/>
        <v>29</v>
      </c>
      <c r="BM13" s="1">
        <f t="shared" si="5"/>
        <v>28</v>
      </c>
      <c r="BN13" s="1">
        <f t="shared" si="5"/>
        <v>27</v>
      </c>
      <c r="BO13" s="1">
        <f t="shared" si="5"/>
        <v>26</v>
      </c>
      <c r="BP13" s="1">
        <f t="shared" si="5"/>
        <v>25</v>
      </c>
      <c r="BQ13" s="1">
        <f t="shared" si="5"/>
        <v>24</v>
      </c>
      <c r="BR13" s="1">
        <f t="shared" si="5"/>
        <v>23</v>
      </c>
      <c r="BS13" s="1">
        <f t="shared" si="5"/>
        <v>22</v>
      </c>
      <c r="BT13" s="1">
        <f t="shared" si="5"/>
        <v>21</v>
      </c>
      <c r="BU13" s="1">
        <f t="shared" si="5"/>
        <v>20</v>
      </c>
      <c r="BV13" s="1">
        <f t="shared" si="5"/>
        <v>19</v>
      </c>
      <c r="BW13" s="1">
        <f t="shared" si="5"/>
        <v>18</v>
      </c>
      <c r="BX13" s="1">
        <f t="shared" ref="BX13:CN13" si="6">IF(BX12=1,1,BY13+1)</f>
        <v>17</v>
      </c>
      <c r="BY13" s="1">
        <f t="shared" si="6"/>
        <v>16</v>
      </c>
      <c r="BZ13" s="1">
        <f t="shared" si="6"/>
        <v>15</v>
      </c>
      <c r="CA13" s="1">
        <f t="shared" si="6"/>
        <v>14</v>
      </c>
      <c r="CB13" s="1">
        <f t="shared" si="6"/>
        <v>13</v>
      </c>
      <c r="CC13" s="1">
        <f t="shared" si="6"/>
        <v>12</v>
      </c>
      <c r="CD13" s="1">
        <f t="shared" si="6"/>
        <v>11</v>
      </c>
      <c r="CE13" s="1">
        <f t="shared" si="6"/>
        <v>10</v>
      </c>
      <c r="CF13" s="1">
        <f t="shared" si="6"/>
        <v>9</v>
      </c>
      <c r="CG13" s="1">
        <f t="shared" si="6"/>
        <v>8</v>
      </c>
      <c r="CH13" s="1">
        <f t="shared" si="6"/>
        <v>7</v>
      </c>
      <c r="CI13" s="1">
        <f t="shared" si="6"/>
        <v>6</v>
      </c>
      <c r="CJ13" s="1">
        <f t="shared" si="6"/>
        <v>5</v>
      </c>
      <c r="CK13" s="1">
        <f t="shared" si="6"/>
        <v>4</v>
      </c>
      <c r="CL13" s="1">
        <f t="shared" si="6"/>
        <v>3</v>
      </c>
      <c r="CM13" s="1">
        <f t="shared" si="6"/>
        <v>2</v>
      </c>
      <c r="CN13" s="15">
        <f t="shared" si="6"/>
        <v>1</v>
      </c>
    </row>
    <row r="14" spans="1:92" ht="12.75" customHeight="1" x14ac:dyDescent="0.3">
      <c r="D14" s="75" t="s">
        <v>188</v>
      </c>
      <c r="H14" s="16" t="s">
        <v>147</v>
      </c>
      <c r="L14" s="75">
        <f>Ops!L38</f>
        <v>1</v>
      </c>
      <c r="M14" s="15">
        <f>Ops!M38</f>
        <v>2</v>
      </c>
      <c r="N14" s="15">
        <f>Ops!N38</f>
        <v>3</v>
      </c>
      <c r="O14" s="15">
        <f>Ops!O38</f>
        <v>4</v>
      </c>
      <c r="P14" s="15">
        <f>Ops!P38</f>
        <v>5</v>
      </c>
      <c r="Q14" s="15">
        <f>Ops!Q38</f>
        <v>6</v>
      </c>
      <c r="R14" s="15">
        <f>Ops!R38</f>
        <v>7</v>
      </c>
      <c r="S14" s="15">
        <f>Ops!S38</f>
        <v>8</v>
      </c>
      <c r="T14" s="15">
        <f>Ops!T38</f>
        <v>9</v>
      </c>
      <c r="U14" s="15">
        <f>Ops!U38</f>
        <v>10</v>
      </c>
      <c r="V14" s="1">
        <f>Ops!V38</f>
        <v>11</v>
      </c>
      <c r="W14" s="1">
        <f>Ops!W38</f>
        <v>12</v>
      </c>
      <c r="X14" s="1">
        <f>Ops!X38</f>
        <v>13</v>
      </c>
      <c r="Y14" s="1">
        <f>Ops!Y38</f>
        <v>14</v>
      </c>
      <c r="Z14" s="1">
        <f>Ops!Z38</f>
        <v>15</v>
      </c>
      <c r="AA14" s="1">
        <f>Ops!AA38</f>
        <v>16</v>
      </c>
      <c r="AB14" s="1">
        <f>Ops!AB38</f>
        <v>17</v>
      </c>
      <c r="AC14" s="1">
        <f>Ops!AC38</f>
        <v>18</v>
      </c>
      <c r="AD14" s="1">
        <f>Ops!AD38</f>
        <v>19</v>
      </c>
      <c r="AE14" s="1">
        <f>Ops!AE38</f>
        <v>20</v>
      </c>
      <c r="AF14" s="1">
        <f>Ops!AF38</f>
        <v>21</v>
      </c>
      <c r="AG14" s="1">
        <f>Ops!AG38</f>
        <v>22</v>
      </c>
      <c r="AH14" s="1">
        <f>Ops!AH38</f>
        <v>23</v>
      </c>
      <c r="AI14" s="1">
        <f>Ops!AI38</f>
        <v>24</v>
      </c>
      <c r="AJ14" s="1">
        <f>Ops!AJ38</f>
        <v>25</v>
      </c>
      <c r="AK14" s="1">
        <f>Ops!AK38</f>
        <v>26</v>
      </c>
      <c r="AL14" s="1">
        <f>Ops!AL38</f>
        <v>27</v>
      </c>
      <c r="AM14" s="1">
        <f>Ops!AM38</f>
        <v>28</v>
      </c>
      <c r="AN14" s="1">
        <f>Ops!AN38</f>
        <v>29</v>
      </c>
      <c r="AO14" s="1">
        <f>Ops!AO38</f>
        <v>30</v>
      </c>
      <c r="AP14" s="1">
        <f>Ops!AP38</f>
        <v>31</v>
      </c>
      <c r="AQ14" s="1">
        <f>Ops!AQ38</f>
        <v>32</v>
      </c>
      <c r="AR14" s="1">
        <f>Ops!AR38</f>
        <v>33</v>
      </c>
      <c r="AS14" s="1">
        <f>Ops!AS38</f>
        <v>34</v>
      </c>
      <c r="AT14" s="1">
        <f>Ops!AT38</f>
        <v>35</v>
      </c>
      <c r="AU14" s="1">
        <f>Ops!AU38</f>
        <v>36</v>
      </c>
      <c r="AV14" s="1">
        <f>Ops!AV38</f>
        <v>37</v>
      </c>
      <c r="AW14" s="1">
        <f>Ops!AW38</f>
        <v>38</v>
      </c>
      <c r="AX14" s="1">
        <f>Ops!AX38</f>
        <v>39</v>
      </c>
      <c r="AY14" s="1">
        <f>Ops!AY38</f>
        <v>40</v>
      </c>
      <c r="AZ14" s="1">
        <f>Ops!AZ38</f>
        <v>41</v>
      </c>
      <c r="BA14" s="1">
        <f>Ops!BA38</f>
        <v>42</v>
      </c>
      <c r="BB14" s="1">
        <f>Ops!BB38</f>
        <v>43</v>
      </c>
      <c r="BC14" s="1">
        <f>Ops!BC38</f>
        <v>44</v>
      </c>
      <c r="BD14" s="1">
        <f>Ops!BD38</f>
        <v>45</v>
      </c>
      <c r="BE14" s="1">
        <f>Ops!BE38</f>
        <v>46</v>
      </c>
      <c r="BF14" s="1">
        <f>Ops!BF38</f>
        <v>47</v>
      </c>
      <c r="BG14" s="1">
        <f>Ops!BG38</f>
        <v>48</v>
      </c>
      <c r="BH14" s="1">
        <f>Ops!BH38</f>
        <v>49</v>
      </c>
      <c r="BI14" s="1">
        <f>Ops!BI38</f>
        <v>50</v>
      </c>
      <c r="BJ14" s="1">
        <f>Ops!BJ38</f>
        <v>51</v>
      </c>
      <c r="BK14" s="1">
        <f>Ops!BK38</f>
        <v>52</v>
      </c>
      <c r="BL14" s="1">
        <f>Ops!BL38</f>
        <v>53</v>
      </c>
      <c r="BM14" s="1">
        <f>Ops!BM38</f>
        <v>54</v>
      </c>
      <c r="BN14" s="1">
        <f>Ops!BN38</f>
        <v>55</v>
      </c>
      <c r="BO14" s="1">
        <f>Ops!BO38</f>
        <v>56</v>
      </c>
      <c r="BP14" s="1">
        <f>Ops!BP38</f>
        <v>57</v>
      </c>
      <c r="BQ14" s="1">
        <f>Ops!BQ38</f>
        <v>58</v>
      </c>
      <c r="BR14" s="1">
        <f>Ops!BR38</f>
        <v>59</v>
      </c>
      <c r="BS14" s="1">
        <f>Ops!BS38</f>
        <v>60</v>
      </c>
      <c r="BT14" s="1">
        <f>Ops!BT38</f>
        <v>61</v>
      </c>
      <c r="BU14" s="1">
        <f>Ops!BU38</f>
        <v>62</v>
      </c>
      <c r="BV14" s="1">
        <f>Ops!BV38</f>
        <v>63</v>
      </c>
      <c r="BW14" s="1">
        <f>Ops!BW38</f>
        <v>64</v>
      </c>
      <c r="BX14" s="1">
        <f>Ops!BX38</f>
        <v>65</v>
      </c>
      <c r="BY14" s="1">
        <f>Ops!BY38</f>
        <v>66</v>
      </c>
      <c r="BZ14" s="1">
        <f>Ops!BZ38</f>
        <v>67</v>
      </c>
      <c r="CA14" s="1">
        <f>Ops!CA38</f>
        <v>68</v>
      </c>
      <c r="CB14" s="1">
        <f>Ops!CB38</f>
        <v>69</v>
      </c>
      <c r="CC14" s="1">
        <f>Ops!CC38</f>
        <v>70</v>
      </c>
      <c r="CD14" s="1">
        <f>Ops!CD38</f>
        <v>71</v>
      </c>
      <c r="CE14" s="1">
        <f>Ops!CE38</f>
        <v>72</v>
      </c>
      <c r="CF14" s="1">
        <f>Ops!CF38</f>
        <v>73</v>
      </c>
      <c r="CG14" s="1">
        <f>Ops!CG38</f>
        <v>74</v>
      </c>
      <c r="CH14" s="1">
        <f>Ops!CH38</f>
        <v>75</v>
      </c>
      <c r="CI14" s="1">
        <f>Ops!CI38</f>
        <v>76</v>
      </c>
      <c r="CJ14" s="1">
        <f>Ops!CJ38</f>
        <v>77</v>
      </c>
      <c r="CK14" s="1">
        <f>Ops!CK38</f>
        <v>78</v>
      </c>
      <c r="CL14" s="1">
        <f>Ops!CL38</f>
        <v>79</v>
      </c>
      <c r="CM14" s="1">
        <f>Ops!CM38</f>
        <v>80</v>
      </c>
      <c r="CN14" s="75">
        <f>Ops!CN38</f>
        <v>81</v>
      </c>
    </row>
    <row r="15" spans="1:92" ht="12.75" customHeight="1" x14ac:dyDescent="0.3">
      <c r="D15" s="15"/>
      <c r="H15" s="16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92" ht="13.2" x14ac:dyDescent="0.25">
      <c r="A16" s="14">
        <f>MAX(A$3:A13)+0.01</f>
        <v>3.0199999999999996</v>
      </c>
      <c r="B16" s="14"/>
      <c r="C16" s="14" t="s">
        <v>178</v>
      </c>
      <c r="D16" s="20"/>
      <c r="E16" s="14"/>
      <c r="F16" s="14"/>
      <c r="G16" s="14"/>
      <c r="H16" s="5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</row>
    <row r="17" spans="1:92" ht="12.75" customHeight="1" x14ac:dyDescent="0.3">
      <c r="D17" s="15"/>
      <c r="H17" s="16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92" ht="12.75" customHeight="1" x14ac:dyDescent="0.3">
      <c r="C18" s="17" t="s">
        <v>179</v>
      </c>
      <c r="D18" s="15"/>
      <c r="H18" s="16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92" ht="12.75" customHeight="1" x14ac:dyDescent="0.3">
      <c r="D19" s="75" t="s">
        <v>74</v>
      </c>
      <c r="H19" s="16" t="s">
        <v>1</v>
      </c>
      <c r="J19" s="58">
        <f t="shared" ref="J19:J24" si="7">SUM(L19:CN19)</f>
        <v>906234.9100786451</v>
      </c>
      <c r="L19" s="15">
        <f>(SUMIF(Ass!$I$97:$P$97,L$7,Ass!$I98:$P98)+(L$7&gt;Ass!$P$97)*(L$7&lt;=Ass!$Q$97)*Ass!$Q98)*CPI</f>
        <v>0</v>
      </c>
      <c r="M19" s="15">
        <f>(SUMIF(Ass!$I$97:$P$97,M$7,Ass!$I98:$P98)+(M$7&gt;Ass!$P$97)*(M$7&lt;=Ass!$Q$97)*Ass!$Q98)*CPI</f>
        <v>0</v>
      </c>
      <c r="N19" s="15">
        <f>(SUMIF(Ass!$I$97:$P$97,N$7,Ass!$I98:$P98)+(N$7&gt;Ass!$P$97)*(N$7&lt;=Ass!$Q$97)*Ass!$Q98)*CPI</f>
        <v>906234.9100786451</v>
      </c>
      <c r="O19" s="15">
        <f>(SUMIF(Ass!$I$97:$P$97,O$7,Ass!$I98:$P98)+(O$7&gt;Ass!$P$97)*(O$7&lt;=Ass!$Q$97)*Ass!$Q98)*CPI</f>
        <v>0</v>
      </c>
      <c r="P19" s="15">
        <f>(SUMIF(Ass!$I$97:$P$97,P$7,Ass!$I98:$P98)+(P$7&gt;Ass!$P$97)*(P$7&lt;=Ass!$Q$97)*Ass!$Q98)*CPI</f>
        <v>0</v>
      </c>
      <c r="Q19" s="15">
        <f>(SUMIF(Ass!$I$97:$P$97,Q$7,Ass!$I98:$P98)+(Q$7&gt;Ass!$P$97)*(Q$7&lt;=Ass!$Q$97)*Ass!$Q98)*CPI</f>
        <v>0</v>
      </c>
      <c r="R19" s="15">
        <f>(SUMIF(Ass!$I$97:$P$97,R$7,Ass!$I98:$P98)+(R$7&gt;Ass!$P$97)*(R$7&lt;=Ass!$Q$97)*Ass!$Q98)*CPI</f>
        <v>0</v>
      </c>
      <c r="S19" s="15">
        <f>(SUMIF(Ass!$I$97:$P$97,S$7,Ass!$I98:$P98)+(S$7&gt;Ass!$P$97)*(S$7&lt;=Ass!$Q$97)*Ass!$Q98)*CPI</f>
        <v>0</v>
      </c>
      <c r="T19" s="15">
        <f>(SUMIF(Ass!$I$97:$P$97,T$7,Ass!$I98:$P98)+(T$7&gt;Ass!$P$97)*(T$7&lt;=Ass!$Q$97)*Ass!$Q98)*CPI</f>
        <v>0</v>
      </c>
      <c r="U19" s="15">
        <f>(SUMIF(Ass!$I$97:$P$97,U$7,Ass!$I98:$P98)+(U$7&gt;Ass!$P$97)*(U$7&lt;=Ass!$Q$97)*Ass!$Q98)*CPI</f>
        <v>0</v>
      </c>
      <c r="V19" s="15">
        <f>(SUMIF(Ass!$I$97:$P$97,V$7,Ass!$I98:$P98)+(V$7&gt;Ass!$P$97)*(V$7&lt;=Ass!$Q$97)*Ass!$Q98)*CPI</f>
        <v>0</v>
      </c>
      <c r="W19" s="15">
        <f>(SUMIF(Ass!$I$97:$P$97,W$7,Ass!$I98:$P98)+(W$7&gt;Ass!$P$97)*(W$7&lt;=Ass!$Q$97)*Ass!$Q98)*CPI</f>
        <v>0</v>
      </c>
      <c r="X19" s="15">
        <f>(SUMIF(Ass!$I$97:$P$97,X$7,Ass!$I98:$P98)+(X$7&gt;Ass!$P$97)*(X$7&lt;=Ass!$Q$97)*Ass!$Q98)*CPI</f>
        <v>0</v>
      </c>
      <c r="Y19" s="15">
        <f>(SUMIF(Ass!$I$97:$P$97,Y$7,Ass!$I98:$P98)+(Y$7&gt;Ass!$P$97)*(Y$7&lt;=Ass!$Q$97)*Ass!$Q98)*CPI</f>
        <v>0</v>
      </c>
      <c r="Z19" s="15">
        <f>(SUMIF(Ass!$I$97:$P$97,Z$7,Ass!$I98:$P98)+(Z$7&gt;Ass!$P$97)*(Z$7&lt;=Ass!$Q$97)*Ass!$Q98)*CPI</f>
        <v>0</v>
      </c>
      <c r="AA19" s="15">
        <f>(SUMIF(Ass!$I$97:$P$97,AA$7,Ass!$I98:$P98)+(AA$7&gt;Ass!$P$97)*(AA$7&lt;=Ass!$Q$97)*Ass!$Q98)*CPI</f>
        <v>0</v>
      </c>
      <c r="AB19" s="15">
        <f>(SUMIF(Ass!$I$97:$P$97,AB$7,Ass!$I98:$P98)+(AB$7&gt;Ass!$P$97)*(AB$7&lt;=Ass!$Q$97)*Ass!$Q98)*CPI</f>
        <v>0</v>
      </c>
      <c r="AC19" s="15">
        <f>(SUMIF(Ass!$I$97:$P$97,AC$7,Ass!$I98:$P98)+(AC$7&gt;Ass!$P$97)*(AC$7&lt;=Ass!$Q$97)*Ass!$Q98)*CPI</f>
        <v>0</v>
      </c>
      <c r="AD19" s="15">
        <f>(SUMIF(Ass!$I$97:$P$97,AD$7,Ass!$I98:$P98)+(AD$7&gt;Ass!$P$97)*(AD$7&lt;=Ass!$Q$97)*Ass!$Q98)*CPI</f>
        <v>0</v>
      </c>
      <c r="AE19" s="15">
        <f>(SUMIF(Ass!$I$97:$P$97,AE$7,Ass!$I98:$P98)+(AE$7&gt;Ass!$P$97)*(AE$7&lt;=Ass!$Q$97)*Ass!$Q98)*CPI</f>
        <v>0</v>
      </c>
      <c r="AF19" s="15">
        <f>(SUMIF(Ass!$I$97:$P$97,AF$7,Ass!$I98:$P98)+(AF$7&gt;Ass!$P$97)*(AF$7&lt;=Ass!$Q$97)*Ass!$Q98)*CPI</f>
        <v>0</v>
      </c>
      <c r="AG19" s="15">
        <f>(SUMIF(Ass!$I$97:$P$97,AG$7,Ass!$I98:$P98)+(AG$7&gt;Ass!$P$97)*(AG$7&lt;=Ass!$Q$97)*Ass!$Q98)*CPI</f>
        <v>0</v>
      </c>
      <c r="AH19" s="15">
        <f>(SUMIF(Ass!$I$97:$P$97,AH$7,Ass!$I98:$P98)+(AH$7&gt;Ass!$P$97)*(AH$7&lt;=Ass!$Q$97)*Ass!$Q98)*CPI</f>
        <v>0</v>
      </c>
      <c r="AI19" s="15">
        <f>(SUMIF(Ass!$I$97:$P$97,AI$7,Ass!$I98:$P98)+(AI$7&gt;Ass!$P$97)*(AI$7&lt;=Ass!$Q$97)*Ass!$Q98)*CPI</f>
        <v>0</v>
      </c>
      <c r="AJ19" s="15">
        <f>(SUMIF(Ass!$I$97:$P$97,AJ$7,Ass!$I98:$P98)+(AJ$7&gt;Ass!$P$97)*(AJ$7&lt;=Ass!$Q$97)*Ass!$Q98)*CPI</f>
        <v>0</v>
      </c>
      <c r="AK19" s="15">
        <f>(SUMIF(Ass!$I$97:$P$97,AK$7,Ass!$I98:$P98)+(AK$7&gt;Ass!$P$97)*(AK$7&lt;=Ass!$Q$97)*Ass!$Q98)*CPI</f>
        <v>0</v>
      </c>
      <c r="AL19" s="15">
        <f>(SUMIF(Ass!$I$97:$P$97,AL$7,Ass!$I98:$P98)+(AL$7&gt;Ass!$P$97)*(AL$7&lt;=Ass!$Q$97)*Ass!$Q98)*CPI</f>
        <v>0</v>
      </c>
      <c r="AM19" s="15">
        <f>(SUMIF(Ass!$I$97:$P$97,AM$7,Ass!$I98:$P98)+(AM$7&gt;Ass!$P$97)*(AM$7&lt;=Ass!$Q$97)*Ass!$Q98)*CPI</f>
        <v>0</v>
      </c>
      <c r="AN19" s="15">
        <f>(SUMIF(Ass!$I$97:$P$97,AN$7,Ass!$I98:$P98)+(AN$7&gt;Ass!$P$97)*(AN$7&lt;=Ass!$Q$97)*Ass!$Q98)*CPI</f>
        <v>0</v>
      </c>
      <c r="AO19" s="15">
        <f>(SUMIF(Ass!$I$97:$P$97,AO$7,Ass!$I98:$P98)+(AO$7&gt;Ass!$P$97)*(AO$7&lt;=Ass!$Q$97)*Ass!$Q98)*CPI</f>
        <v>0</v>
      </c>
      <c r="AP19" s="15">
        <f>(SUMIF(Ass!$I$97:$P$97,AP$7,Ass!$I98:$P98)+(AP$7&gt;Ass!$P$97)*(AP$7&lt;=Ass!$Q$97)*Ass!$Q98)*CPI</f>
        <v>0</v>
      </c>
      <c r="AQ19" s="15">
        <f>(SUMIF(Ass!$I$97:$P$97,AQ$7,Ass!$I98:$P98)+(AQ$7&gt;Ass!$P$97)*(AQ$7&lt;=Ass!$Q$97)*Ass!$Q98)*CPI</f>
        <v>0</v>
      </c>
      <c r="AR19" s="15">
        <f>(SUMIF(Ass!$I$97:$P$97,AR$7,Ass!$I98:$P98)+(AR$7&gt;Ass!$P$97)*(AR$7&lt;=Ass!$Q$97)*Ass!$Q98)*CPI</f>
        <v>0</v>
      </c>
      <c r="AS19" s="15">
        <f>(SUMIF(Ass!$I$97:$P$97,AS$7,Ass!$I98:$P98)+(AS$7&gt;Ass!$P$97)*(AS$7&lt;=Ass!$Q$97)*Ass!$Q98)*CPI</f>
        <v>0</v>
      </c>
      <c r="AT19" s="15">
        <f>(SUMIF(Ass!$I$97:$P$97,AT$7,Ass!$I98:$P98)+(AT$7&gt;Ass!$P$97)*(AT$7&lt;=Ass!$Q$97)*Ass!$Q98)*CPI</f>
        <v>0</v>
      </c>
      <c r="AU19" s="15">
        <f>(SUMIF(Ass!$I$97:$P$97,AU$7,Ass!$I98:$P98)+(AU$7&gt;Ass!$P$97)*(AU$7&lt;=Ass!$Q$97)*Ass!$Q98)*CPI</f>
        <v>0</v>
      </c>
      <c r="AV19" s="15">
        <f>(SUMIF(Ass!$I$97:$P$97,AV$7,Ass!$I98:$P98)+(AV$7&gt;Ass!$P$97)*(AV$7&lt;=Ass!$Q$97)*Ass!$Q98)*CPI</f>
        <v>0</v>
      </c>
      <c r="AW19" s="15">
        <f>(SUMIF(Ass!$I$97:$P$97,AW$7,Ass!$I98:$P98)+(AW$7&gt;Ass!$P$97)*(AW$7&lt;=Ass!$Q$97)*Ass!$Q98)*CPI</f>
        <v>0</v>
      </c>
      <c r="AX19" s="15">
        <f>(SUMIF(Ass!$I$97:$P$97,AX$7,Ass!$I98:$P98)+(AX$7&gt;Ass!$P$97)*(AX$7&lt;=Ass!$Q$97)*Ass!$Q98)*CPI</f>
        <v>0</v>
      </c>
      <c r="AY19" s="15">
        <f>(SUMIF(Ass!$I$97:$P$97,AY$7,Ass!$I98:$P98)+(AY$7&gt;Ass!$P$97)*(AY$7&lt;=Ass!$Q$97)*Ass!$Q98)*CPI</f>
        <v>0</v>
      </c>
      <c r="AZ19" s="15">
        <f>(SUMIF(Ass!$I$97:$P$97,AZ$7,Ass!$I98:$P98)+(AZ$7&gt;Ass!$P$97)*(AZ$7&lt;=Ass!$Q$97)*Ass!$Q98)*CPI</f>
        <v>0</v>
      </c>
      <c r="BA19" s="15">
        <f>(SUMIF(Ass!$I$97:$P$97,BA$7,Ass!$I98:$P98)+(BA$7&gt;Ass!$P$97)*(BA$7&lt;=Ass!$Q$97)*Ass!$Q98)*CPI</f>
        <v>0</v>
      </c>
      <c r="BB19" s="15">
        <f>(SUMIF(Ass!$I$97:$P$97,BB$7,Ass!$I98:$P98)+(BB$7&gt;Ass!$P$97)*(BB$7&lt;=Ass!$Q$97)*Ass!$Q98)*CPI</f>
        <v>0</v>
      </c>
      <c r="BC19" s="15">
        <f>(SUMIF(Ass!$I$97:$P$97,BC$7,Ass!$I98:$P98)+(BC$7&gt;Ass!$P$97)*(BC$7&lt;=Ass!$Q$97)*Ass!$Q98)*CPI</f>
        <v>0</v>
      </c>
      <c r="BD19" s="15">
        <f>(SUMIF(Ass!$I$97:$P$97,BD$7,Ass!$I98:$P98)+(BD$7&gt;Ass!$P$97)*(BD$7&lt;=Ass!$Q$97)*Ass!$Q98)*CPI</f>
        <v>0</v>
      </c>
      <c r="BE19" s="15">
        <f>(SUMIF(Ass!$I$97:$P$97,BE$7,Ass!$I98:$P98)+(BE$7&gt;Ass!$P$97)*(BE$7&lt;=Ass!$Q$97)*Ass!$Q98)*CPI</f>
        <v>0</v>
      </c>
      <c r="BF19" s="15">
        <f>(SUMIF(Ass!$I$97:$P$97,BF$7,Ass!$I98:$P98)+(BF$7&gt;Ass!$P$97)*(BF$7&lt;=Ass!$Q$97)*Ass!$Q98)*CPI</f>
        <v>0</v>
      </c>
      <c r="BG19" s="15">
        <f>(SUMIF(Ass!$I$97:$P$97,BG$7,Ass!$I98:$P98)+(BG$7&gt;Ass!$P$97)*(BG$7&lt;=Ass!$Q$97)*Ass!$Q98)*CPI</f>
        <v>0</v>
      </c>
      <c r="BH19" s="15">
        <f>(SUMIF(Ass!$I$97:$P$97,BH$7,Ass!$I98:$P98)+(BH$7&gt;Ass!$P$97)*(BH$7&lt;=Ass!$Q$97)*Ass!$Q98)*CPI</f>
        <v>0</v>
      </c>
      <c r="BI19" s="15">
        <f>(SUMIF(Ass!$I$97:$P$97,BI$7,Ass!$I98:$P98)+(BI$7&gt;Ass!$P$97)*(BI$7&lt;=Ass!$Q$97)*Ass!$Q98)*CPI</f>
        <v>0</v>
      </c>
      <c r="BJ19" s="15">
        <f>(SUMIF(Ass!$I$97:$P$97,BJ$7,Ass!$I98:$P98)+(BJ$7&gt;Ass!$P$97)*(BJ$7&lt;=Ass!$Q$97)*Ass!$Q98)*CPI</f>
        <v>0</v>
      </c>
      <c r="BK19" s="15">
        <f>(SUMIF(Ass!$I$97:$P$97,BK$7,Ass!$I98:$P98)+(BK$7&gt;Ass!$P$97)*(BK$7&lt;=Ass!$Q$97)*Ass!$Q98)*CPI</f>
        <v>0</v>
      </c>
      <c r="BL19" s="15">
        <f>(SUMIF(Ass!$I$97:$P$97,BL$7,Ass!$I98:$P98)+(BL$7&gt;Ass!$P$97)*(BL$7&lt;=Ass!$Q$97)*Ass!$Q98)*CPI</f>
        <v>0</v>
      </c>
      <c r="BM19" s="15">
        <f>(SUMIF(Ass!$I$97:$P$97,BM$7,Ass!$I98:$P98)+(BM$7&gt;Ass!$P$97)*(BM$7&lt;=Ass!$Q$97)*Ass!$Q98)*CPI</f>
        <v>0</v>
      </c>
      <c r="BN19" s="15">
        <f>(SUMIF(Ass!$I$97:$P$97,BN$7,Ass!$I98:$P98)+(BN$7&gt;Ass!$P$97)*(BN$7&lt;=Ass!$Q$97)*Ass!$Q98)*CPI</f>
        <v>0</v>
      </c>
      <c r="BO19" s="15">
        <f>(SUMIF(Ass!$I$97:$P$97,BO$7,Ass!$I98:$P98)+(BO$7&gt;Ass!$P$97)*(BO$7&lt;=Ass!$Q$97)*Ass!$Q98)*CPI</f>
        <v>0</v>
      </c>
      <c r="BP19" s="15">
        <f>(SUMIF(Ass!$I$97:$P$97,BP$7,Ass!$I98:$P98)+(BP$7&gt;Ass!$P$97)*(BP$7&lt;=Ass!$Q$97)*Ass!$Q98)*CPI</f>
        <v>0</v>
      </c>
      <c r="BQ19" s="15">
        <f>(SUMIF(Ass!$I$97:$P$97,BQ$7,Ass!$I98:$P98)+(BQ$7&gt;Ass!$P$97)*(BQ$7&lt;=Ass!$Q$97)*Ass!$Q98)*CPI</f>
        <v>0</v>
      </c>
      <c r="BR19" s="15">
        <f>(SUMIF(Ass!$I$97:$P$97,BR$7,Ass!$I98:$P98)+(BR$7&gt;Ass!$P$97)*(BR$7&lt;=Ass!$Q$97)*Ass!$Q98)*CPI</f>
        <v>0</v>
      </c>
      <c r="BS19" s="15">
        <f>(SUMIF(Ass!$I$97:$P$97,BS$7,Ass!$I98:$P98)+(BS$7&gt;Ass!$P$97)*(BS$7&lt;=Ass!$Q$97)*Ass!$Q98)*CPI</f>
        <v>0</v>
      </c>
      <c r="BT19" s="15">
        <f>(SUMIF(Ass!$I$97:$P$97,BT$7,Ass!$I98:$P98)+(BT$7&gt;Ass!$P$97)*(BT$7&lt;=Ass!$Q$97)*Ass!$Q98)*CPI</f>
        <v>0</v>
      </c>
      <c r="BU19" s="15">
        <f>(SUMIF(Ass!$I$97:$P$97,BU$7,Ass!$I98:$P98)+(BU$7&gt;Ass!$P$97)*(BU$7&lt;=Ass!$Q$97)*Ass!$Q98)*CPI</f>
        <v>0</v>
      </c>
      <c r="BV19" s="15">
        <f>(SUMIF(Ass!$I$97:$P$97,BV$7,Ass!$I98:$P98)+(BV$7&gt;Ass!$P$97)*(BV$7&lt;=Ass!$Q$97)*Ass!$Q98)*CPI</f>
        <v>0</v>
      </c>
      <c r="BW19" s="15">
        <f>(SUMIF(Ass!$I$97:$P$97,BW$7,Ass!$I98:$P98)+(BW$7&gt;Ass!$P$97)*(BW$7&lt;=Ass!$Q$97)*Ass!$Q98)*CPI</f>
        <v>0</v>
      </c>
      <c r="BX19" s="15">
        <f>(SUMIF(Ass!$I$97:$P$97,BX$7,Ass!$I98:$P98)+(BX$7&gt;Ass!$P$97)*(BX$7&lt;=Ass!$Q$97)*Ass!$Q98)*CPI</f>
        <v>0</v>
      </c>
      <c r="BY19" s="15">
        <f>(SUMIF(Ass!$I$97:$P$97,BY$7,Ass!$I98:$P98)+(BY$7&gt;Ass!$P$97)*(BY$7&lt;=Ass!$Q$97)*Ass!$Q98)*CPI</f>
        <v>0</v>
      </c>
      <c r="BZ19" s="15">
        <f>(SUMIF(Ass!$I$97:$P$97,BZ$7,Ass!$I98:$P98)+(BZ$7&gt;Ass!$P$97)*(BZ$7&lt;=Ass!$Q$97)*Ass!$Q98)*CPI</f>
        <v>0</v>
      </c>
      <c r="CA19" s="15">
        <f>(SUMIF(Ass!$I$97:$P$97,CA$7,Ass!$I98:$P98)+(CA$7&gt;Ass!$P$97)*(CA$7&lt;=Ass!$Q$97)*Ass!$Q98)*CPI</f>
        <v>0</v>
      </c>
      <c r="CB19" s="15">
        <f>(SUMIF(Ass!$I$97:$P$97,CB$7,Ass!$I98:$P98)+(CB$7&gt;Ass!$P$97)*(CB$7&lt;=Ass!$Q$97)*Ass!$Q98)*CPI</f>
        <v>0</v>
      </c>
      <c r="CC19" s="15">
        <f>(SUMIF(Ass!$I$97:$P$97,CC$7,Ass!$I98:$P98)+(CC$7&gt;Ass!$P$97)*(CC$7&lt;=Ass!$Q$97)*Ass!$Q98)*CPI</f>
        <v>0</v>
      </c>
      <c r="CD19" s="15">
        <f>(SUMIF(Ass!$I$97:$P$97,CD$7,Ass!$I98:$P98)+(CD$7&gt;Ass!$P$97)*(CD$7&lt;=Ass!$Q$97)*Ass!$Q98)*CPI</f>
        <v>0</v>
      </c>
      <c r="CE19" s="15">
        <f>(SUMIF(Ass!$I$97:$P$97,CE$7,Ass!$I98:$P98)+(CE$7&gt;Ass!$P$97)*(CE$7&lt;=Ass!$Q$97)*Ass!$Q98)*CPI</f>
        <v>0</v>
      </c>
      <c r="CF19" s="15">
        <f>(SUMIF(Ass!$I$97:$P$97,CF$7,Ass!$I98:$P98)+(CF$7&gt;Ass!$P$97)*(CF$7&lt;=Ass!$Q$97)*Ass!$Q98)*CPI</f>
        <v>0</v>
      </c>
      <c r="CG19" s="15">
        <f>(SUMIF(Ass!$I$97:$P$97,CG$7,Ass!$I98:$P98)+(CG$7&gt;Ass!$P$97)*(CG$7&lt;=Ass!$Q$97)*Ass!$Q98)*CPI</f>
        <v>0</v>
      </c>
      <c r="CH19" s="15">
        <f>(SUMIF(Ass!$I$97:$P$97,CH$7,Ass!$I98:$P98)+(CH$7&gt;Ass!$P$97)*(CH$7&lt;=Ass!$Q$97)*Ass!$Q98)*CPI</f>
        <v>0</v>
      </c>
      <c r="CI19" s="15">
        <f>(SUMIF(Ass!$I$97:$P$97,CI$7,Ass!$I98:$P98)+(CI$7&gt;Ass!$P$97)*(CI$7&lt;=Ass!$Q$97)*Ass!$Q98)*CPI</f>
        <v>0</v>
      </c>
      <c r="CJ19" s="15">
        <f>(SUMIF(Ass!$I$97:$P$97,CJ$7,Ass!$I98:$P98)+(CJ$7&gt;Ass!$P$97)*(CJ$7&lt;=Ass!$Q$97)*Ass!$Q98)*CPI</f>
        <v>0</v>
      </c>
      <c r="CK19" s="15">
        <f>(SUMIF(Ass!$I$97:$P$97,CK$7,Ass!$I98:$P98)+(CK$7&gt;Ass!$P$97)*(CK$7&lt;=Ass!$Q$97)*Ass!$Q98)*CPI</f>
        <v>0</v>
      </c>
      <c r="CL19" s="15">
        <f>(SUMIF(Ass!$I$97:$P$97,CL$7,Ass!$I98:$P98)+(CL$7&gt;Ass!$P$97)*(CL$7&lt;=Ass!$Q$97)*Ass!$Q98)*CPI</f>
        <v>0</v>
      </c>
      <c r="CM19" s="15">
        <f>(SUMIF(Ass!$I$97:$P$97,CM$7,Ass!$I98:$P98)+(CM$7&gt;Ass!$P$97)*(CM$7&lt;=Ass!$Q$97)*Ass!$Q98)*CPI</f>
        <v>0</v>
      </c>
      <c r="CN19" s="15">
        <f>(SUMIF(Ass!$I$97:$P$97,CN$7,Ass!$I98:$P98)+(CN$7&gt;Ass!$P$97)*(CN$7&lt;=Ass!$Q$97)*Ass!$Q98)*CPI</f>
        <v>0</v>
      </c>
    </row>
    <row r="20" spans="1:92" ht="12.75" customHeight="1" x14ac:dyDescent="0.3">
      <c r="D20" s="15" t="s">
        <v>75</v>
      </c>
      <c r="H20" s="16" t="s">
        <v>1</v>
      </c>
      <c r="J20" s="58">
        <f t="shared" si="7"/>
        <v>1013903.3484509259</v>
      </c>
      <c r="L20" s="15">
        <f>(SUMIF(Ass!$I$97:$P$97,L$7,Ass!$I99:$P99)+(L$7&gt;Ass!$P$97)*(L$7&lt;=Ass!$Q$97)*Ass!$Q99)*CPI</f>
        <v>0</v>
      </c>
      <c r="M20" s="15">
        <f>(SUMIF(Ass!$I$97:$P$97,M$7,Ass!$I99:$P99)+(M$7&gt;Ass!$P$97)*(M$7&lt;=Ass!$Q$97)*Ass!$Q99)*CPI</f>
        <v>0</v>
      </c>
      <c r="N20" s="15">
        <f>(SUMIF(Ass!$I$97:$P$97,N$7,Ass!$I99:$P99)+(N$7&gt;Ass!$P$97)*(N$7&lt;=Ass!$Q$97)*Ass!$Q99)*CPI</f>
        <v>0</v>
      </c>
      <c r="O20" s="15">
        <f>(SUMIF(Ass!$I$97:$P$97,O$7,Ass!$I99:$P99)+(O$7&gt;Ass!$P$97)*(O$7&lt;=Ass!$Q$97)*Ass!$Q99)*CPI</f>
        <v>1013903.3484509259</v>
      </c>
      <c r="P20" s="15">
        <f>(SUMIF(Ass!$I$97:$P$97,P$7,Ass!$I99:$P99)+(P$7&gt;Ass!$P$97)*(P$7&lt;=Ass!$Q$97)*Ass!$Q99)*CPI</f>
        <v>0</v>
      </c>
      <c r="Q20" s="15">
        <f>(SUMIF(Ass!$I$97:$P$97,Q$7,Ass!$I99:$P99)+(Q$7&gt;Ass!$P$97)*(Q$7&lt;=Ass!$Q$97)*Ass!$Q99)*CPI</f>
        <v>0</v>
      </c>
      <c r="R20" s="15">
        <f>(SUMIF(Ass!$I$97:$P$97,R$7,Ass!$I99:$P99)+(R$7&gt;Ass!$P$97)*(R$7&lt;=Ass!$Q$97)*Ass!$Q99)*CPI</f>
        <v>0</v>
      </c>
      <c r="S20" s="15">
        <f>(SUMIF(Ass!$I$97:$P$97,S$7,Ass!$I99:$P99)+(S$7&gt;Ass!$P$97)*(S$7&lt;=Ass!$Q$97)*Ass!$Q99)*CPI</f>
        <v>0</v>
      </c>
      <c r="T20" s="15">
        <f>(SUMIF(Ass!$I$97:$P$97,T$7,Ass!$I99:$P99)+(T$7&gt;Ass!$P$97)*(T$7&lt;=Ass!$Q$97)*Ass!$Q99)*CPI</f>
        <v>0</v>
      </c>
      <c r="U20" s="15">
        <f>(SUMIF(Ass!$I$97:$P$97,U$7,Ass!$I99:$P99)+(U$7&gt;Ass!$P$97)*(U$7&lt;=Ass!$Q$97)*Ass!$Q99)*CPI</f>
        <v>0</v>
      </c>
      <c r="V20" s="15">
        <f>(SUMIF(Ass!$I$97:$P$97,V$7,Ass!$I99:$P99)+(V$7&gt;Ass!$P$97)*(V$7&lt;=Ass!$Q$97)*Ass!$Q99)*CPI</f>
        <v>0</v>
      </c>
      <c r="W20" s="15">
        <f>(SUMIF(Ass!$I$97:$P$97,W$7,Ass!$I99:$P99)+(W$7&gt;Ass!$P$97)*(W$7&lt;=Ass!$Q$97)*Ass!$Q99)*CPI</f>
        <v>0</v>
      </c>
      <c r="X20" s="15">
        <f>(SUMIF(Ass!$I$97:$P$97,X$7,Ass!$I99:$P99)+(X$7&gt;Ass!$P$97)*(X$7&lt;=Ass!$Q$97)*Ass!$Q99)*CPI</f>
        <v>0</v>
      </c>
      <c r="Y20" s="15">
        <f>(SUMIF(Ass!$I$97:$P$97,Y$7,Ass!$I99:$P99)+(Y$7&gt;Ass!$P$97)*(Y$7&lt;=Ass!$Q$97)*Ass!$Q99)*CPI</f>
        <v>0</v>
      </c>
      <c r="Z20" s="15">
        <f>(SUMIF(Ass!$I$97:$P$97,Z$7,Ass!$I99:$P99)+(Z$7&gt;Ass!$P$97)*(Z$7&lt;=Ass!$Q$97)*Ass!$Q99)*CPI</f>
        <v>0</v>
      </c>
      <c r="AA20" s="15">
        <f>(SUMIF(Ass!$I$97:$P$97,AA$7,Ass!$I99:$P99)+(AA$7&gt;Ass!$P$97)*(AA$7&lt;=Ass!$Q$97)*Ass!$Q99)*CPI</f>
        <v>0</v>
      </c>
      <c r="AB20" s="15">
        <f>(SUMIF(Ass!$I$97:$P$97,AB$7,Ass!$I99:$P99)+(AB$7&gt;Ass!$P$97)*(AB$7&lt;=Ass!$Q$97)*Ass!$Q99)*CPI</f>
        <v>0</v>
      </c>
      <c r="AC20" s="15">
        <f>(SUMIF(Ass!$I$97:$P$97,AC$7,Ass!$I99:$P99)+(AC$7&gt;Ass!$P$97)*(AC$7&lt;=Ass!$Q$97)*Ass!$Q99)*CPI</f>
        <v>0</v>
      </c>
      <c r="AD20" s="15">
        <f>(SUMIF(Ass!$I$97:$P$97,AD$7,Ass!$I99:$P99)+(AD$7&gt;Ass!$P$97)*(AD$7&lt;=Ass!$Q$97)*Ass!$Q99)*CPI</f>
        <v>0</v>
      </c>
      <c r="AE20" s="15">
        <f>(SUMIF(Ass!$I$97:$P$97,AE$7,Ass!$I99:$P99)+(AE$7&gt;Ass!$P$97)*(AE$7&lt;=Ass!$Q$97)*Ass!$Q99)*CPI</f>
        <v>0</v>
      </c>
      <c r="AF20" s="15">
        <f>(SUMIF(Ass!$I$97:$P$97,AF$7,Ass!$I99:$P99)+(AF$7&gt;Ass!$P$97)*(AF$7&lt;=Ass!$Q$97)*Ass!$Q99)*CPI</f>
        <v>0</v>
      </c>
      <c r="AG20" s="15">
        <f>(SUMIF(Ass!$I$97:$P$97,AG$7,Ass!$I99:$P99)+(AG$7&gt;Ass!$P$97)*(AG$7&lt;=Ass!$Q$97)*Ass!$Q99)*CPI</f>
        <v>0</v>
      </c>
      <c r="AH20" s="15">
        <f>(SUMIF(Ass!$I$97:$P$97,AH$7,Ass!$I99:$P99)+(AH$7&gt;Ass!$P$97)*(AH$7&lt;=Ass!$Q$97)*Ass!$Q99)*CPI</f>
        <v>0</v>
      </c>
      <c r="AI20" s="15">
        <f>(SUMIF(Ass!$I$97:$P$97,AI$7,Ass!$I99:$P99)+(AI$7&gt;Ass!$P$97)*(AI$7&lt;=Ass!$Q$97)*Ass!$Q99)*CPI</f>
        <v>0</v>
      </c>
      <c r="AJ20" s="15">
        <f>(SUMIF(Ass!$I$97:$P$97,AJ$7,Ass!$I99:$P99)+(AJ$7&gt;Ass!$P$97)*(AJ$7&lt;=Ass!$Q$97)*Ass!$Q99)*CPI</f>
        <v>0</v>
      </c>
      <c r="AK20" s="15">
        <f>(SUMIF(Ass!$I$97:$P$97,AK$7,Ass!$I99:$P99)+(AK$7&gt;Ass!$P$97)*(AK$7&lt;=Ass!$Q$97)*Ass!$Q99)*CPI</f>
        <v>0</v>
      </c>
      <c r="AL20" s="15">
        <f>(SUMIF(Ass!$I$97:$P$97,AL$7,Ass!$I99:$P99)+(AL$7&gt;Ass!$P$97)*(AL$7&lt;=Ass!$Q$97)*Ass!$Q99)*CPI</f>
        <v>0</v>
      </c>
      <c r="AM20" s="15">
        <f>(SUMIF(Ass!$I$97:$P$97,AM$7,Ass!$I99:$P99)+(AM$7&gt;Ass!$P$97)*(AM$7&lt;=Ass!$Q$97)*Ass!$Q99)*CPI</f>
        <v>0</v>
      </c>
      <c r="AN20" s="15">
        <f>(SUMIF(Ass!$I$97:$P$97,AN$7,Ass!$I99:$P99)+(AN$7&gt;Ass!$P$97)*(AN$7&lt;=Ass!$Q$97)*Ass!$Q99)*CPI</f>
        <v>0</v>
      </c>
      <c r="AO20" s="15">
        <f>(SUMIF(Ass!$I$97:$P$97,AO$7,Ass!$I99:$P99)+(AO$7&gt;Ass!$P$97)*(AO$7&lt;=Ass!$Q$97)*Ass!$Q99)*CPI</f>
        <v>0</v>
      </c>
      <c r="AP20" s="15">
        <f>(SUMIF(Ass!$I$97:$P$97,AP$7,Ass!$I99:$P99)+(AP$7&gt;Ass!$P$97)*(AP$7&lt;=Ass!$Q$97)*Ass!$Q99)*CPI</f>
        <v>0</v>
      </c>
      <c r="AQ20" s="15">
        <f>(SUMIF(Ass!$I$97:$P$97,AQ$7,Ass!$I99:$P99)+(AQ$7&gt;Ass!$P$97)*(AQ$7&lt;=Ass!$Q$97)*Ass!$Q99)*CPI</f>
        <v>0</v>
      </c>
      <c r="AR20" s="15">
        <f>(SUMIF(Ass!$I$97:$P$97,AR$7,Ass!$I99:$P99)+(AR$7&gt;Ass!$P$97)*(AR$7&lt;=Ass!$Q$97)*Ass!$Q99)*CPI</f>
        <v>0</v>
      </c>
      <c r="AS20" s="15">
        <f>(SUMIF(Ass!$I$97:$P$97,AS$7,Ass!$I99:$P99)+(AS$7&gt;Ass!$P$97)*(AS$7&lt;=Ass!$Q$97)*Ass!$Q99)*CPI</f>
        <v>0</v>
      </c>
      <c r="AT20" s="15">
        <f>(SUMIF(Ass!$I$97:$P$97,AT$7,Ass!$I99:$P99)+(AT$7&gt;Ass!$P$97)*(AT$7&lt;=Ass!$Q$97)*Ass!$Q99)*CPI</f>
        <v>0</v>
      </c>
      <c r="AU20" s="15">
        <f>(SUMIF(Ass!$I$97:$P$97,AU$7,Ass!$I99:$P99)+(AU$7&gt;Ass!$P$97)*(AU$7&lt;=Ass!$Q$97)*Ass!$Q99)*CPI</f>
        <v>0</v>
      </c>
      <c r="AV20" s="15">
        <f>(SUMIF(Ass!$I$97:$P$97,AV$7,Ass!$I99:$P99)+(AV$7&gt;Ass!$P$97)*(AV$7&lt;=Ass!$Q$97)*Ass!$Q99)*CPI</f>
        <v>0</v>
      </c>
      <c r="AW20" s="15">
        <f>(SUMIF(Ass!$I$97:$P$97,AW$7,Ass!$I99:$P99)+(AW$7&gt;Ass!$P$97)*(AW$7&lt;=Ass!$Q$97)*Ass!$Q99)*CPI</f>
        <v>0</v>
      </c>
      <c r="AX20" s="15">
        <f>(SUMIF(Ass!$I$97:$P$97,AX$7,Ass!$I99:$P99)+(AX$7&gt;Ass!$P$97)*(AX$7&lt;=Ass!$Q$97)*Ass!$Q99)*CPI</f>
        <v>0</v>
      </c>
      <c r="AY20" s="15">
        <f>(SUMIF(Ass!$I$97:$P$97,AY$7,Ass!$I99:$P99)+(AY$7&gt;Ass!$P$97)*(AY$7&lt;=Ass!$Q$97)*Ass!$Q99)*CPI</f>
        <v>0</v>
      </c>
      <c r="AZ20" s="15">
        <f>(SUMIF(Ass!$I$97:$P$97,AZ$7,Ass!$I99:$P99)+(AZ$7&gt;Ass!$P$97)*(AZ$7&lt;=Ass!$Q$97)*Ass!$Q99)*CPI</f>
        <v>0</v>
      </c>
      <c r="BA20" s="15">
        <f>(SUMIF(Ass!$I$97:$P$97,BA$7,Ass!$I99:$P99)+(BA$7&gt;Ass!$P$97)*(BA$7&lt;=Ass!$Q$97)*Ass!$Q99)*CPI</f>
        <v>0</v>
      </c>
      <c r="BB20" s="15">
        <f>(SUMIF(Ass!$I$97:$P$97,BB$7,Ass!$I99:$P99)+(BB$7&gt;Ass!$P$97)*(BB$7&lt;=Ass!$Q$97)*Ass!$Q99)*CPI</f>
        <v>0</v>
      </c>
      <c r="BC20" s="15">
        <f>(SUMIF(Ass!$I$97:$P$97,BC$7,Ass!$I99:$P99)+(BC$7&gt;Ass!$P$97)*(BC$7&lt;=Ass!$Q$97)*Ass!$Q99)*CPI</f>
        <v>0</v>
      </c>
      <c r="BD20" s="15">
        <f>(SUMIF(Ass!$I$97:$P$97,BD$7,Ass!$I99:$P99)+(BD$7&gt;Ass!$P$97)*(BD$7&lt;=Ass!$Q$97)*Ass!$Q99)*CPI</f>
        <v>0</v>
      </c>
      <c r="BE20" s="15">
        <f>(SUMIF(Ass!$I$97:$P$97,BE$7,Ass!$I99:$P99)+(BE$7&gt;Ass!$P$97)*(BE$7&lt;=Ass!$Q$97)*Ass!$Q99)*CPI</f>
        <v>0</v>
      </c>
      <c r="BF20" s="15">
        <f>(SUMIF(Ass!$I$97:$P$97,BF$7,Ass!$I99:$P99)+(BF$7&gt;Ass!$P$97)*(BF$7&lt;=Ass!$Q$97)*Ass!$Q99)*CPI</f>
        <v>0</v>
      </c>
      <c r="BG20" s="15">
        <f>(SUMIF(Ass!$I$97:$P$97,BG$7,Ass!$I99:$P99)+(BG$7&gt;Ass!$P$97)*(BG$7&lt;=Ass!$Q$97)*Ass!$Q99)*CPI</f>
        <v>0</v>
      </c>
      <c r="BH20" s="15">
        <f>(SUMIF(Ass!$I$97:$P$97,BH$7,Ass!$I99:$P99)+(BH$7&gt;Ass!$P$97)*(BH$7&lt;=Ass!$Q$97)*Ass!$Q99)*CPI</f>
        <v>0</v>
      </c>
      <c r="BI20" s="15">
        <f>(SUMIF(Ass!$I$97:$P$97,BI$7,Ass!$I99:$P99)+(BI$7&gt;Ass!$P$97)*(BI$7&lt;=Ass!$Q$97)*Ass!$Q99)*CPI</f>
        <v>0</v>
      </c>
      <c r="BJ20" s="15">
        <f>(SUMIF(Ass!$I$97:$P$97,BJ$7,Ass!$I99:$P99)+(BJ$7&gt;Ass!$P$97)*(BJ$7&lt;=Ass!$Q$97)*Ass!$Q99)*CPI</f>
        <v>0</v>
      </c>
      <c r="BK20" s="15">
        <f>(SUMIF(Ass!$I$97:$P$97,BK$7,Ass!$I99:$P99)+(BK$7&gt;Ass!$P$97)*(BK$7&lt;=Ass!$Q$97)*Ass!$Q99)*CPI</f>
        <v>0</v>
      </c>
      <c r="BL20" s="15">
        <f>(SUMIF(Ass!$I$97:$P$97,BL$7,Ass!$I99:$P99)+(BL$7&gt;Ass!$P$97)*(BL$7&lt;=Ass!$Q$97)*Ass!$Q99)*CPI</f>
        <v>0</v>
      </c>
      <c r="BM20" s="15">
        <f>(SUMIF(Ass!$I$97:$P$97,BM$7,Ass!$I99:$P99)+(BM$7&gt;Ass!$P$97)*(BM$7&lt;=Ass!$Q$97)*Ass!$Q99)*CPI</f>
        <v>0</v>
      </c>
      <c r="BN20" s="15">
        <f>(SUMIF(Ass!$I$97:$P$97,BN$7,Ass!$I99:$P99)+(BN$7&gt;Ass!$P$97)*(BN$7&lt;=Ass!$Q$97)*Ass!$Q99)*CPI</f>
        <v>0</v>
      </c>
      <c r="BO20" s="15">
        <f>(SUMIF(Ass!$I$97:$P$97,BO$7,Ass!$I99:$P99)+(BO$7&gt;Ass!$P$97)*(BO$7&lt;=Ass!$Q$97)*Ass!$Q99)*CPI</f>
        <v>0</v>
      </c>
      <c r="BP20" s="15">
        <f>(SUMIF(Ass!$I$97:$P$97,BP$7,Ass!$I99:$P99)+(BP$7&gt;Ass!$P$97)*(BP$7&lt;=Ass!$Q$97)*Ass!$Q99)*CPI</f>
        <v>0</v>
      </c>
      <c r="BQ20" s="15">
        <f>(SUMIF(Ass!$I$97:$P$97,BQ$7,Ass!$I99:$P99)+(BQ$7&gt;Ass!$P$97)*(BQ$7&lt;=Ass!$Q$97)*Ass!$Q99)*CPI</f>
        <v>0</v>
      </c>
      <c r="BR20" s="15">
        <f>(SUMIF(Ass!$I$97:$P$97,BR$7,Ass!$I99:$P99)+(BR$7&gt;Ass!$P$97)*(BR$7&lt;=Ass!$Q$97)*Ass!$Q99)*CPI</f>
        <v>0</v>
      </c>
      <c r="BS20" s="15">
        <f>(SUMIF(Ass!$I$97:$P$97,BS$7,Ass!$I99:$P99)+(BS$7&gt;Ass!$P$97)*(BS$7&lt;=Ass!$Q$97)*Ass!$Q99)*CPI</f>
        <v>0</v>
      </c>
      <c r="BT20" s="15">
        <f>(SUMIF(Ass!$I$97:$P$97,BT$7,Ass!$I99:$P99)+(BT$7&gt;Ass!$P$97)*(BT$7&lt;=Ass!$Q$97)*Ass!$Q99)*CPI</f>
        <v>0</v>
      </c>
      <c r="BU20" s="15">
        <f>(SUMIF(Ass!$I$97:$P$97,BU$7,Ass!$I99:$P99)+(BU$7&gt;Ass!$P$97)*(BU$7&lt;=Ass!$Q$97)*Ass!$Q99)*CPI</f>
        <v>0</v>
      </c>
      <c r="BV20" s="15">
        <f>(SUMIF(Ass!$I$97:$P$97,BV$7,Ass!$I99:$P99)+(BV$7&gt;Ass!$P$97)*(BV$7&lt;=Ass!$Q$97)*Ass!$Q99)*CPI</f>
        <v>0</v>
      </c>
      <c r="BW20" s="15">
        <f>(SUMIF(Ass!$I$97:$P$97,BW$7,Ass!$I99:$P99)+(BW$7&gt;Ass!$P$97)*(BW$7&lt;=Ass!$Q$97)*Ass!$Q99)*CPI</f>
        <v>0</v>
      </c>
      <c r="BX20" s="15">
        <f>(SUMIF(Ass!$I$97:$P$97,BX$7,Ass!$I99:$P99)+(BX$7&gt;Ass!$P$97)*(BX$7&lt;=Ass!$Q$97)*Ass!$Q99)*CPI</f>
        <v>0</v>
      </c>
      <c r="BY20" s="15">
        <f>(SUMIF(Ass!$I$97:$P$97,BY$7,Ass!$I99:$P99)+(BY$7&gt;Ass!$P$97)*(BY$7&lt;=Ass!$Q$97)*Ass!$Q99)*CPI</f>
        <v>0</v>
      </c>
      <c r="BZ20" s="15">
        <f>(SUMIF(Ass!$I$97:$P$97,BZ$7,Ass!$I99:$P99)+(BZ$7&gt;Ass!$P$97)*(BZ$7&lt;=Ass!$Q$97)*Ass!$Q99)*CPI</f>
        <v>0</v>
      </c>
      <c r="CA20" s="15">
        <f>(SUMIF(Ass!$I$97:$P$97,CA$7,Ass!$I99:$P99)+(CA$7&gt;Ass!$P$97)*(CA$7&lt;=Ass!$Q$97)*Ass!$Q99)*CPI</f>
        <v>0</v>
      </c>
      <c r="CB20" s="15">
        <f>(SUMIF(Ass!$I$97:$P$97,CB$7,Ass!$I99:$P99)+(CB$7&gt;Ass!$P$97)*(CB$7&lt;=Ass!$Q$97)*Ass!$Q99)*CPI</f>
        <v>0</v>
      </c>
      <c r="CC20" s="15">
        <f>(SUMIF(Ass!$I$97:$P$97,CC$7,Ass!$I99:$P99)+(CC$7&gt;Ass!$P$97)*(CC$7&lt;=Ass!$Q$97)*Ass!$Q99)*CPI</f>
        <v>0</v>
      </c>
      <c r="CD20" s="15">
        <f>(SUMIF(Ass!$I$97:$P$97,CD$7,Ass!$I99:$P99)+(CD$7&gt;Ass!$P$97)*(CD$7&lt;=Ass!$Q$97)*Ass!$Q99)*CPI</f>
        <v>0</v>
      </c>
      <c r="CE20" s="15">
        <f>(SUMIF(Ass!$I$97:$P$97,CE$7,Ass!$I99:$P99)+(CE$7&gt;Ass!$P$97)*(CE$7&lt;=Ass!$Q$97)*Ass!$Q99)*CPI</f>
        <v>0</v>
      </c>
      <c r="CF20" s="15">
        <f>(SUMIF(Ass!$I$97:$P$97,CF$7,Ass!$I99:$P99)+(CF$7&gt;Ass!$P$97)*(CF$7&lt;=Ass!$Q$97)*Ass!$Q99)*CPI</f>
        <v>0</v>
      </c>
      <c r="CG20" s="15">
        <f>(SUMIF(Ass!$I$97:$P$97,CG$7,Ass!$I99:$P99)+(CG$7&gt;Ass!$P$97)*(CG$7&lt;=Ass!$Q$97)*Ass!$Q99)*CPI</f>
        <v>0</v>
      </c>
      <c r="CH20" s="15">
        <f>(SUMIF(Ass!$I$97:$P$97,CH$7,Ass!$I99:$P99)+(CH$7&gt;Ass!$P$97)*(CH$7&lt;=Ass!$Q$97)*Ass!$Q99)*CPI</f>
        <v>0</v>
      </c>
      <c r="CI20" s="15">
        <f>(SUMIF(Ass!$I$97:$P$97,CI$7,Ass!$I99:$P99)+(CI$7&gt;Ass!$P$97)*(CI$7&lt;=Ass!$Q$97)*Ass!$Q99)*CPI</f>
        <v>0</v>
      </c>
      <c r="CJ20" s="15">
        <f>(SUMIF(Ass!$I$97:$P$97,CJ$7,Ass!$I99:$P99)+(CJ$7&gt;Ass!$P$97)*(CJ$7&lt;=Ass!$Q$97)*Ass!$Q99)*CPI</f>
        <v>0</v>
      </c>
      <c r="CK20" s="15">
        <f>(SUMIF(Ass!$I$97:$P$97,CK$7,Ass!$I99:$P99)+(CK$7&gt;Ass!$P$97)*(CK$7&lt;=Ass!$Q$97)*Ass!$Q99)*CPI</f>
        <v>0</v>
      </c>
      <c r="CL20" s="15">
        <f>(SUMIF(Ass!$I$97:$P$97,CL$7,Ass!$I99:$P99)+(CL$7&gt;Ass!$P$97)*(CL$7&lt;=Ass!$Q$97)*Ass!$Q99)*CPI</f>
        <v>0</v>
      </c>
      <c r="CM20" s="15">
        <f>(SUMIF(Ass!$I$97:$P$97,CM$7,Ass!$I99:$P99)+(CM$7&gt;Ass!$P$97)*(CM$7&lt;=Ass!$Q$97)*Ass!$Q99)*CPI</f>
        <v>0</v>
      </c>
      <c r="CN20" s="15">
        <f>(SUMIF(Ass!$I$97:$P$97,CN$7,Ass!$I99:$P99)+(CN$7&gt;Ass!$P$97)*(CN$7&lt;=Ass!$Q$97)*Ass!$Q99)*CPI</f>
        <v>0</v>
      </c>
    </row>
    <row r="21" spans="1:92" ht="12.75" customHeight="1" x14ac:dyDescent="0.3">
      <c r="D21" s="15" t="s">
        <v>76</v>
      </c>
      <c r="H21" s="16" t="s">
        <v>1</v>
      </c>
      <c r="J21" s="58">
        <f t="shared" si="7"/>
        <v>1013927.5110502818</v>
      </c>
      <c r="L21" s="15">
        <f>(SUMIF(Ass!$I$97:$P$97,L$7,Ass!$I100:$P100)+(L$7&gt;Ass!$P$97)*(L$7&lt;=Ass!$Q$97)*Ass!$Q100)*CPI</f>
        <v>0</v>
      </c>
      <c r="M21" s="15">
        <f>(SUMIF(Ass!$I$97:$P$97,M$7,Ass!$I100:$P100)+(M$7&gt;Ass!$P$97)*(M$7&lt;=Ass!$Q$97)*Ass!$Q100)*CPI</f>
        <v>0</v>
      </c>
      <c r="N21" s="15">
        <f>(SUMIF(Ass!$I$97:$P$97,N$7,Ass!$I100:$P100)+(N$7&gt;Ass!$P$97)*(N$7&lt;=Ass!$Q$97)*Ass!$Q100)*CPI</f>
        <v>503463.83893258061</v>
      </c>
      <c r="O21" s="15">
        <f>(SUMIF(Ass!$I$97:$P$97,O$7,Ass!$I100:$P100)+(O$7&gt;Ass!$P$97)*(O$7&lt;=Ass!$Q$97)*Ass!$Q100)*CPI</f>
        <v>0</v>
      </c>
      <c r="P21" s="15">
        <f>(SUMIF(Ass!$I$97:$P$97,P$7,Ass!$I100:$P100)+(P$7&gt;Ass!$P$97)*(P$7&lt;=Ass!$Q$97)*Ass!$Q100)*CPI</f>
        <v>510463.67211770115</v>
      </c>
      <c r="Q21" s="15">
        <f>(SUMIF(Ass!$I$97:$P$97,Q$7,Ass!$I100:$P100)+(Q$7&gt;Ass!$P$97)*(Q$7&lt;=Ass!$Q$97)*Ass!$Q100)*CPI</f>
        <v>0</v>
      </c>
      <c r="R21" s="15">
        <f>(SUMIF(Ass!$I$97:$P$97,R$7,Ass!$I100:$P100)+(R$7&gt;Ass!$P$97)*(R$7&lt;=Ass!$Q$97)*Ass!$Q100)*CPI</f>
        <v>0</v>
      </c>
      <c r="S21" s="15">
        <f>(SUMIF(Ass!$I$97:$P$97,S$7,Ass!$I100:$P100)+(S$7&gt;Ass!$P$97)*(S$7&lt;=Ass!$Q$97)*Ass!$Q100)*CPI</f>
        <v>0</v>
      </c>
      <c r="T21" s="15">
        <f>(SUMIF(Ass!$I$97:$P$97,T$7,Ass!$I100:$P100)+(T$7&gt;Ass!$P$97)*(T$7&lt;=Ass!$Q$97)*Ass!$Q100)*CPI</f>
        <v>0</v>
      </c>
      <c r="U21" s="15">
        <f>(SUMIF(Ass!$I$97:$P$97,U$7,Ass!$I100:$P100)+(U$7&gt;Ass!$P$97)*(U$7&lt;=Ass!$Q$97)*Ass!$Q100)*CPI</f>
        <v>0</v>
      </c>
      <c r="V21" s="15">
        <f>(SUMIF(Ass!$I$97:$P$97,V$7,Ass!$I100:$P100)+(V$7&gt;Ass!$P$97)*(V$7&lt;=Ass!$Q$97)*Ass!$Q100)*CPI</f>
        <v>0</v>
      </c>
      <c r="W21" s="15">
        <f>(SUMIF(Ass!$I$97:$P$97,W$7,Ass!$I100:$P100)+(W$7&gt;Ass!$P$97)*(W$7&lt;=Ass!$Q$97)*Ass!$Q100)*CPI</f>
        <v>0</v>
      </c>
      <c r="X21" s="15">
        <f>(SUMIF(Ass!$I$97:$P$97,X$7,Ass!$I100:$P100)+(X$7&gt;Ass!$P$97)*(X$7&lt;=Ass!$Q$97)*Ass!$Q100)*CPI</f>
        <v>0</v>
      </c>
      <c r="Y21" s="15">
        <f>(SUMIF(Ass!$I$97:$P$97,Y$7,Ass!$I100:$P100)+(Y$7&gt;Ass!$P$97)*(Y$7&lt;=Ass!$Q$97)*Ass!$Q100)*CPI</f>
        <v>0</v>
      </c>
      <c r="Z21" s="15">
        <f>(SUMIF(Ass!$I$97:$P$97,Z$7,Ass!$I100:$P100)+(Z$7&gt;Ass!$P$97)*(Z$7&lt;=Ass!$Q$97)*Ass!$Q100)*CPI</f>
        <v>0</v>
      </c>
      <c r="AA21" s="15">
        <f>(SUMIF(Ass!$I$97:$P$97,AA$7,Ass!$I100:$P100)+(AA$7&gt;Ass!$P$97)*(AA$7&lt;=Ass!$Q$97)*Ass!$Q100)*CPI</f>
        <v>0</v>
      </c>
      <c r="AB21" s="15">
        <f>(SUMIF(Ass!$I$97:$P$97,AB$7,Ass!$I100:$P100)+(AB$7&gt;Ass!$P$97)*(AB$7&lt;=Ass!$Q$97)*Ass!$Q100)*CPI</f>
        <v>0</v>
      </c>
      <c r="AC21" s="15">
        <f>(SUMIF(Ass!$I$97:$P$97,AC$7,Ass!$I100:$P100)+(AC$7&gt;Ass!$P$97)*(AC$7&lt;=Ass!$Q$97)*Ass!$Q100)*CPI</f>
        <v>0</v>
      </c>
      <c r="AD21" s="15">
        <f>(SUMIF(Ass!$I$97:$P$97,AD$7,Ass!$I100:$P100)+(AD$7&gt;Ass!$P$97)*(AD$7&lt;=Ass!$Q$97)*Ass!$Q100)*CPI</f>
        <v>0</v>
      </c>
      <c r="AE21" s="15">
        <f>(SUMIF(Ass!$I$97:$P$97,AE$7,Ass!$I100:$P100)+(AE$7&gt;Ass!$P$97)*(AE$7&lt;=Ass!$Q$97)*Ass!$Q100)*CPI</f>
        <v>0</v>
      </c>
      <c r="AF21" s="15">
        <f>(SUMIF(Ass!$I$97:$P$97,AF$7,Ass!$I100:$P100)+(AF$7&gt;Ass!$P$97)*(AF$7&lt;=Ass!$Q$97)*Ass!$Q100)*CPI</f>
        <v>0</v>
      </c>
      <c r="AG21" s="15">
        <f>(SUMIF(Ass!$I$97:$P$97,AG$7,Ass!$I100:$P100)+(AG$7&gt;Ass!$P$97)*(AG$7&lt;=Ass!$Q$97)*Ass!$Q100)*CPI</f>
        <v>0</v>
      </c>
      <c r="AH21" s="15">
        <f>(SUMIF(Ass!$I$97:$P$97,AH$7,Ass!$I100:$P100)+(AH$7&gt;Ass!$P$97)*(AH$7&lt;=Ass!$Q$97)*Ass!$Q100)*CPI</f>
        <v>0</v>
      </c>
      <c r="AI21" s="15">
        <f>(SUMIF(Ass!$I$97:$P$97,AI$7,Ass!$I100:$P100)+(AI$7&gt;Ass!$P$97)*(AI$7&lt;=Ass!$Q$97)*Ass!$Q100)*CPI</f>
        <v>0</v>
      </c>
      <c r="AJ21" s="15">
        <f>(SUMIF(Ass!$I$97:$P$97,AJ$7,Ass!$I100:$P100)+(AJ$7&gt;Ass!$P$97)*(AJ$7&lt;=Ass!$Q$97)*Ass!$Q100)*CPI</f>
        <v>0</v>
      </c>
      <c r="AK21" s="15">
        <f>(SUMIF(Ass!$I$97:$P$97,AK$7,Ass!$I100:$P100)+(AK$7&gt;Ass!$P$97)*(AK$7&lt;=Ass!$Q$97)*Ass!$Q100)*CPI</f>
        <v>0</v>
      </c>
      <c r="AL21" s="15">
        <f>(SUMIF(Ass!$I$97:$P$97,AL$7,Ass!$I100:$P100)+(AL$7&gt;Ass!$P$97)*(AL$7&lt;=Ass!$Q$97)*Ass!$Q100)*CPI</f>
        <v>0</v>
      </c>
      <c r="AM21" s="15">
        <f>(SUMIF(Ass!$I$97:$P$97,AM$7,Ass!$I100:$P100)+(AM$7&gt;Ass!$P$97)*(AM$7&lt;=Ass!$Q$97)*Ass!$Q100)*CPI</f>
        <v>0</v>
      </c>
      <c r="AN21" s="15">
        <f>(SUMIF(Ass!$I$97:$P$97,AN$7,Ass!$I100:$P100)+(AN$7&gt;Ass!$P$97)*(AN$7&lt;=Ass!$Q$97)*Ass!$Q100)*CPI</f>
        <v>0</v>
      </c>
      <c r="AO21" s="15">
        <f>(SUMIF(Ass!$I$97:$P$97,AO$7,Ass!$I100:$P100)+(AO$7&gt;Ass!$P$97)*(AO$7&lt;=Ass!$Q$97)*Ass!$Q100)*CPI</f>
        <v>0</v>
      </c>
      <c r="AP21" s="15">
        <f>(SUMIF(Ass!$I$97:$P$97,AP$7,Ass!$I100:$P100)+(AP$7&gt;Ass!$P$97)*(AP$7&lt;=Ass!$Q$97)*Ass!$Q100)*CPI</f>
        <v>0</v>
      </c>
      <c r="AQ21" s="15">
        <f>(SUMIF(Ass!$I$97:$P$97,AQ$7,Ass!$I100:$P100)+(AQ$7&gt;Ass!$P$97)*(AQ$7&lt;=Ass!$Q$97)*Ass!$Q100)*CPI</f>
        <v>0</v>
      </c>
      <c r="AR21" s="15">
        <f>(SUMIF(Ass!$I$97:$P$97,AR$7,Ass!$I100:$P100)+(AR$7&gt;Ass!$P$97)*(AR$7&lt;=Ass!$Q$97)*Ass!$Q100)*CPI</f>
        <v>0</v>
      </c>
      <c r="AS21" s="15">
        <f>(SUMIF(Ass!$I$97:$P$97,AS$7,Ass!$I100:$P100)+(AS$7&gt;Ass!$P$97)*(AS$7&lt;=Ass!$Q$97)*Ass!$Q100)*CPI</f>
        <v>0</v>
      </c>
      <c r="AT21" s="15">
        <f>(SUMIF(Ass!$I$97:$P$97,AT$7,Ass!$I100:$P100)+(AT$7&gt;Ass!$P$97)*(AT$7&lt;=Ass!$Q$97)*Ass!$Q100)*CPI</f>
        <v>0</v>
      </c>
      <c r="AU21" s="15">
        <f>(SUMIF(Ass!$I$97:$P$97,AU$7,Ass!$I100:$P100)+(AU$7&gt;Ass!$P$97)*(AU$7&lt;=Ass!$Q$97)*Ass!$Q100)*CPI</f>
        <v>0</v>
      </c>
      <c r="AV21" s="15">
        <f>(SUMIF(Ass!$I$97:$P$97,AV$7,Ass!$I100:$P100)+(AV$7&gt;Ass!$P$97)*(AV$7&lt;=Ass!$Q$97)*Ass!$Q100)*CPI</f>
        <v>0</v>
      </c>
      <c r="AW21" s="15">
        <f>(SUMIF(Ass!$I$97:$P$97,AW$7,Ass!$I100:$P100)+(AW$7&gt;Ass!$P$97)*(AW$7&lt;=Ass!$Q$97)*Ass!$Q100)*CPI</f>
        <v>0</v>
      </c>
      <c r="AX21" s="15">
        <f>(SUMIF(Ass!$I$97:$P$97,AX$7,Ass!$I100:$P100)+(AX$7&gt;Ass!$P$97)*(AX$7&lt;=Ass!$Q$97)*Ass!$Q100)*CPI</f>
        <v>0</v>
      </c>
      <c r="AY21" s="15">
        <f>(SUMIF(Ass!$I$97:$P$97,AY$7,Ass!$I100:$P100)+(AY$7&gt;Ass!$P$97)*(AY$7&lt;=Ass!$Q$97)*Ass!$Q100)*CPI</f>
        <v>0</v>
      </c>
      <c r="AZ21" s="15">
        <f>(SUMIF(Ass!$I$97:$P$97,AZ$7,Ass!$I100:$P100)+(AZ$7&gt;Ass!$P$97)*(AZ$7&lt;=Ass!$Q$97)*Ass!$Q100)*CPI</f>
        <v>0</v>
      </c>
      <c r="BA21" s="15">
        <f>(SUMIF(Ass!$I$97:$P$97,BA$7,Ass!$I100:$P100)+(BA$7&gt;Ass!$P$97)*(BA$7&lt;=Ass!$Q$97)*Ass!$Q100)*CPI</f>
        <v>0</v>
      </c>
      <c r="BB21" s="15">
        <f>(SUMIF(Ass!$I$97:$P$97,BB$7,Ass!$I100:$P100)+(BB$7&gt;Ass!$P$97)*(BB$7&lt;=Ass!$Q$97)*Ass!$Q100)*CPI</f>
        <v>0</v>
      </c>
      <c r="BC21" s="15">
        <f>(SUMIF(Ass!$I$97:$P$97,BC$7,Ass!$I100:$P100)+(BC$7&gt;Ass!$P$97)*(BC$7&lt;=Ass!$Q$97)*Ass!$Q100)*CPI</f>
        <v>0</v>
      </c>
      <c r="BD21" s="15">
        <f>(SUMIF(Ass!$I$97:$P$97,BD$7,Ass!$I100:$P100)+(BD$7&gt;Ass!$P$97)*(BD$7&lt;=Ass!$Q$97)*Ass!$Q100)*CPI</f>
        <v>0</v>
      </c>
      <c r="BE21" s="15">
        <f>(SUMIF(Ass!$I$97:$P$97,BE$7,Ass!$I100:$P100)+(BE$7&gt;Ass!$P$97)*(BE$7&lt;=Ass!$Q$97)*Ass!$Q100)*CPI</f>
        <v>0</v>
      </c>
      <c r="BF21" s="15">
        <f>(SUMIF(Ass!$I$97:$P$97,BF$7,Ass!$I100:$P100)+(BF$7&gt;Ass!$P$97)*(BF$7&lt;=Ass!$Q$97)*Ass!$Q100)*CPI</f>
        <v>0</v>
      </c>
      <c r="BG21" s="15">
        <f>(SUMIF(Ass!$I$97:$P$97,BG$7,Ass!$I100:$P100)+(BG$7&gt;Ass!$P$97)*(BG$7&lt;=Ass!$Q$97)*Ass!$Q100)*CPI</f>
        <v>0</v>
      </c>
      <c r="BH21" s="15">
        <f>(SUMIF(Ass!$I$97:$P$97,BH$7,Ass!$I100:$P100)+(BH$7&gt;Ass!$P$97)*(BH$7&lt;=Ass!$Q$97)*Ass!$Q100)*CPI</f>
        <v>0</v>
      </c>
      <c r="BI21" s="15">
        <f>(SUMIF(Ass!$I$97:$P$97,BI$7,Ass!$I100:$P100)+(BI$7&gt;Ass!$P$97)*(BI$7&lt;=Ass!$Q$97)*Ass!$Q100)*CPI</f>
        <v>0</v>
      </c>
      <c r="BJ21" s="15">
        <f>(SUMIF(Ass!$I$97:$P$97,BJ$7,Ass!$I100:$P100)+(BJ$7&gt;Ass!$P$97)*(BJ$7&lt;=Ass!$Q$97)*Ass!$Q100)*CPI</f>
        <v>0</v>
      </c>
      <c r="BK21" s="15">
        <f>(SUMIF(Ass!$I$97:$P$97,BK$7,Ass!$I100:$P100)+(BK$7&gt;Ass!$P$97)*(BK$7&lt;=Ass!$Q$97)*Ass!$Q100)*CPI</f>
        <v>0</v>
      </c>
      <c r="BL21" s="15">
        <f>(SUMIF(Ass!$I$97:$P$97,BL$7,Ass!$I100:$P100)+(BL$7&gt;Ass!$P$97)*(BL$7&lt;=Ass!$Q$97)*Ass!$Q100)*CPI</f>
        <v>0</v>
      </c>
      <c r="BM21" s="15">
        <f>(SUMIF(Ass!$I$97:$P$97,BM$7,Ass!$I100:$P100)+(BM$7&gt;Ass!$P$97)*(BM$7&lt;=Ass!$Q$97)*Ass!$Q100)*CPI</f>
        <v>0</v>
      </c>
      <c r="BN21" s="15">
        <f>(SUMIF(Ass!$I$97:$P$97,BN$7,Ass!$I100:$P100)+(BN$7&gt;Ass!$P$97)*(BN$7&lt;=Ass!$Q$97)*Ass!$Q100)*CPI</f>
        <v>0</v>
      </c>
      <c r="BO21" s="15">
        <f>(SUMIF(Ass!$I$97:$P$97,BO$7,Ass!$I100:$P100)+(BO$7&gt;Ass!$P$97)*(BO$7&lt;=Ass!$Q$97)*Ass!$Q100)*CPI</f>
        <v>0</v>
      </c>
      <c r="BP21" s="15">
        <f>(SUMIF(Ass!$I$97:$P$97,BP$7,Ass!$I100:$P100)+(BP$7&gt;Ass!$P$97)*(BP$7&lt;=Ass!$Q$97)*Ass!$Q100)*CPI</f>
        <v>0</v>
      </c>
      <c r="BQ21" s="15">
        <f>(SUMIF(Ass!$I$97:$P$97,BQ$7,Ass!$I100:$P100)+(BQ$7&gt;Ass!$P$97)*(BQ$7&lt;=Ass!$Q$97)*Ass!$Q100)*CPI</f>
        <v>0</v>
      </c>
      <c r="BR21" s="15">
        <f>(SUMIF(Ass!$I$97:$P$97,BR$7,Ass!$I100:$P100)+(BR$7&gt;Ass!$P$97)*(BR$7&lt;=Ass!$Q$97)*Ass!$Q100)*CPI</f>
        <v>0</v>
      </c>
      <c r="BS21" s="15">
        <f>(SUMIF(Ass!$I$97:$P$97,BS$7,Ass!$I100:$P100)+(BS$7&gt;Ass!$P$97)*(BS$7&lt;=Ass!$Q$97)*Ass!$Q100)*CPI</f>
        <v>0</v>
      </c>
      <c r="BT21" s="15">
        <f>(SUMIF(Ass!$I$97:$P$97,BT$7,Ass!$I100:$P100)+(BT$7&gt;Ass!$P$97)*(BT$7&lt;=Ass!$Q$97)*Ass!$Q100)*CPI</f>
        <v>0</v>
      </c>
      <c r="BU21" s="15">
        <f>(SUMIF(Ass!$I$97:$P$97,BU$7,Ass!$I100:$P100)+(BU$7&gt;Ass!$P$97)*(BU$7&lt;=Ass!$Q$97)*Ass!$Q100)*CPI</f>
        <v>0</v>
      </c>
      <c r="BV21" s="15">
        <f>(SUMIF(Ass!$I$97:$P$97,BV$7,Ass!$I100:$P100)+(BV$7&gt;Ass!$P$97)*(BV$7&lt;=Ass!$Q$97)*Ass!$Q100)*CPI</f>
        <v>0</v>
      </c>
      <c r="BW21" s="15">
        <f>(SUMIF(Ass!$I$97:$P$97,BW$7,Ass!$I100:$P100)+(BW$7&gt;Ass!$P$97)*(BW$7&lt;=Ass!$Q$97)*Ass!$Q100)*CPI</f>
        <v>0</v>
      </c>
      <c r="BX21" s="15">
        <f>(SUMIF(Ass!$I$97:$P$97,BX$7,Ass!$I100:$P100)+(BX$7&gt;Ass!$P$97)*(BX$7&lt;=Ass!$Q$97)*Ass!$Q100)*CPI</f>
        <v>0</v>
      </c>
      <c r="BY21" s="15">
        <f>(SUMIF(Ass!$I$97:$P$97,BY$7,Ass!$I100:$P100)+(BY$7&gt;Ass!$P$97)*(BY$7&lt;=Ass!$Q$97)*Ass!$Q100)*CPI</f>
        <v>0</v>
      </c>
      <c r="BZ21" s="15">
        <f>(SUMIF(Ass!$I$97:$P$97,BZ$7,Ass!$I100:$P100)+(BZ$7&gt;Ass!$P$97)*(BZ$7&lt;=Ass!$Q$97)*Ass!$Q100)*CPI</f>
        <v>0</v>
      </c>
      <c r="CA21" s="15">
        <f>(SUMIF(Ass!$I$97:$P$97,CA$7,Ass!$I100:$P100)+(CA$7&gt;Ass!$P$97)*(CA$7&lt;=Ass!$Q$97)*Ass!$Q100)*CPI</f>
        <v>0</v>
      </c>
      <c r="CB21" s="15">
        <f>(SUMIF(Ass!$I$97:$P$97,CB$7,Ass!$I100:$P100)+(CB$7&gt;Ass!$P$97)*(CB$7&lt;=Ass!$Q$97)*Ass!$Q100)*CPI</f>
        <v>0</v>
      </c>
      <c r="CC21" s="15">
        <f>(SUMIF(Ass!$I$97:$P$97,CC$7,Ass!$I100:$P100)+(CC$7&gt;Ass!$P$97)*(CC$7&lt;=Ass!$Q$97)*Ass!$Q100)*CPI</f>
        <v>0</v>
      </c>
      <c r="CD21" s="15">
        <f>(SUMIF(Ass!$I$97:$P$97,CD$7,Ass!$I100:$P100)+(CD$7&gt;Ass!$P$97)*(CD$7&lt;=Ass!$Q$97)*Ass!$Q100)*CPI</f>
        <v>0</v>
      </c>
      <c r="CE21" s="15">
        <f>(SUMIF(Ass!$I$97:$P$97,CE$7,Ass!$I100:$P100)+(CE$7&gt;Ass!$P$97)*(CE$7&lt;=Ass!$Q$97)*Ass!$Q100)*CPI</f>
        <v>0</v>
      </c>
      <c r="CF21" s="15">
        <f>(SUMIF(Ass!$I$97:$P$97,CF$7,Ass!$I100:$P100)+(CF$7&gt;Ass!$P$97)*(CF$7&lt;=Ass!$Q$97)*Ass!$Q100)*CPI</f>
        <v>0</v>
      </c>
      <c r="CG21" s="15">
        <f>(SUMIF(Ass!$I$97:$P$97,CG$7,Ass!$I100:$P100)+(CG$7&gt;Ass!$P$97)*(CG$7&lt;=Ass!$Q$97)*Ass!$Q100)*CPI</f>
        <v>0</v>
      </c>
      <c r="CH21" s="15">
        <f>(SUMIF(Ass!$I$97:$P$97,CH$7,Ass!$I100:$P100)+(CH$7&gt;Ass!$P$97)*(CH$7&lt;=Ass!$Q$97)*Ass!$Q100)*CPI</f>
        <v>0</v>
      </c>
      <c r="CI21" s="15">
        <f>(SUMIF(Ass!$I$97:$P$97,CI$7,Ass!$I100:$P100)+(CI$7&gt;Ass!$P$97)*(CI$7&lt;=Ass!$Q$97)*Ass!$Q100)*CPI</f>
        <v>0</v>
      </c>
      <c r="CJ21" s="15">
        <f>(SUMIF(Ass!$I$97:$P$97,CJ$7,Ass!$I100:$P100)+(CJ$7&gt;Ass!$P$97)*(CJ$7&lt;=Ass!$Q$97)*Ass!$Q100)*CPI</f>
        <v>0</v>
      </c>
      <c r="CK21" s="15">
        <f>(SUMIF(Ass!$I$97:$P$97,CK$7,Ass!$I100:$P100)+(CK$7&gt;Ass!$P$97)*(CK$7&lt;=Ass!$Q$97)*Ass!$Q100)*CPI</f>
        <v>0</v>
      </c>
      <c r="CL21" s="15">
        <f>(SUMIF(Ass!$I$97:$P$97,CL$7,Ass!$I100:$P100)+(CL$7&gt;Ass!$P$97)*(CL$7&lt;=Ass!$Q$97)*Ass!$Q100)*CPI</f>
        <v>0</v>
      </c>
      <c r="CM21" s="15">
        <f>(SUMIF(Ass!$I$97:$P$97,CM$7,Ass!$I100:$P100)+(CM$7&gt;Ass!$P$97)*(CM$7&lt;=Ass!$Q$97)*Ass!$Q100)*CPI</f>
        <v>0</v>
      </c>
      <c r="CN21" s="15">
        <f>(SUMIF(Ass!$I$97:$P$97,CN$7,Ass!$I100:$P100)+(CN$7&gt;Ass!$P$97)*(CN$7&lt;=Ass!$Q$97)*Ass!$Q100)*CPI</f>
        <v>0</v>
      </c>
    </row>
    <row r="22" spans="1:92" ht="12.75" customHeight="1" x14ac:dyDescent="0.3">
      <c r="D22" s="15" t="s">
        <v>77</v>
      </c>
      <c r="H22" s="16" t="s">
        <v>1</v>
      </c>
      <c r="J22" s="58">
        <f t="shared" si="7"/>
        <v>9210613.4865287021</v>
      </c>
      <c r="L22" s="15">
        <f>(SUMIF(Ass!$I$97:$P$97,L$7,Ass!$I101:$P101)+(L$7&gt;Ass!$P$97)*(L$7&lt;=Ass!$Q$97)*Ass!$Q101)*CPI</f>
        <v>0</v>
      </c>
      <c r="M22" s="15">
        <f>(SUMIF(Ass!$I$97:$P$97,M$7,Ass!$I101:$P101)+(M$7&gt;Ass!$P$97)*(M$7&lt;=Ass!$Q$97)*Ass!$Q101)*CPI</f>
        <v>1000000</v>
      </c>
      <c r="N22" s="15">
        <f>(SUMIF(Ass!$I$97:$P$97,N$7,Ass!$I101:$P101)+(N$7&gt;Ass!$P$97)*(N$7&lt;=Ass!$Q$97)*Ass!$Q101)*CPI</f>
        <v>1510391.5167977419</v>
      </c>
      <c r="O22" s="15">
        <f>(SUMIF(Ass!$I$97:$P$97,O$7,Ass!$I101:$P101)+(O$7&gt;Ass!$P$97)*(O$7&lt;=Ass!$Q$97)*Ass!$Q101)*CPI</f>
        <v>1013903.3484509259</v>
      </c>
      <c r="P22" s="15">
        <f>(SUMIF(Ass!$I$97:$P$97,P$7,Ass!$I101:$P101)+(P$7&gt;Ass!$P$97)*(P$7&lt;=Ass!$Q$97)*Ass!$Q101)*CPI</f>
        <v>1531391.0163531036</v>
      </c>
      <c r="Q22" s="15">
        <f>(SUMIF(Ass!$I$97:$P$97,Q$7,Ass!$I101:$P101)+(Q$7&gt;Ass!$P$97)*(Q$7&lt;=Ass!$Q$97)*Ass!$Q101)*CPI</f>
        <v>1027999.9999999998</v>
      </c>
      <c r="R22" s="15">
        <f>(SUMIF(Ass!$I$97:$P$97,R$7,Ass!$I101:$P101)+(R$7&gt;Ass!$P$97)*(R$7&lt;=Ass!$Q$97)*Ass!$Q101)*CPI</f>
        <v>1035121.6528453855</v>
      </c>
      <c r="S22" s="15">
        <f>(SUMIF(Ass!$I$97:$P$97,S$7,Ass!$I101:$P101)+(S$7&gt;Ass!$P$97)*(S$7&lt;=Ass!$Q$97)*Ass!$Q101)*CPI</f>
        <v>1042292.6422075516</v>
      </c>
      <c r="T22" s="15">
        <f>(SUMIF(Ass!$I$97:$P$97,T$7,Ass!$I101:$P101)+(T$7&gt;Ass!$P$97)*(T$7&lt;=Ass!$Q$97)*Ass!$Q101)*CPI</f>
        <v>1049513.3098739933</v>
      </c>
      <c r="U22" s="15">
        <f>(SUMIF(Ass!$I$97:$P$97,U$7,Ass!$I101:$P101)+(U$7&gt;Ass!$P$97)*(U$7&lt;=Ass!$Q$97)*Ass!$Q101)*CPI</f>
        <v>0</v>
      </c>
      <c r="V22" s="15">
        <f>(SUMIF(Ass!$I$97:$P$97,V$7,Ass!$I101:$P101)+(V$7&gt;Ass!$P$97)*(V$7&lt;=Ass!$Q$97)*Ass!$Q101)*CPI</f>
        <v>0</v>
      </c>
      <c r="W22" s="15">
        <f>(SUMIF(Ass!$I$97:$P$97,W$7,Ass!$I101:$P101)+(W$7&gt;Ass!$P$97)*(W$7&lt;=Ass!$Q$97)*Ass!$Q101)*CPI</f>
        <v>0</v>
      </c>
      <c r="X22" s="15">
        <f>(SUMIF(Ass!$I$97:$P$97,X$7,Ass!$I101:$P101)+(X$7&gt;Ass!$P$97)*(X$7&lt;=Ass!$Q$97)*Ass!$Q101)*CPI</f>
        <v>0</v>
      </c>
      <c r="Y22" s="15">
        <f>(SUMIF(Ass!$I$97:$P$97,Y$7,Ass!$I101:$P101)+(Y$7&gt;Ass!$P$97)*(Y$7&lt;=Ass!$Q$97)*Ass!$Q101)*CPI</f>
        <v>0</v>
      </c>
      <c r="Z22" s="15">
        <f>(SUMIF(Ass!$I$97:$P$97,Z$7,Ass!$I101:$P101)+(Z$7&gt;Ass!$P$97)*(Z$7&lt;=Ass!$Q$97)*Ass!$Q101)*CPI</f>
        <v>0</v>
      </c>
      <c r="AA22" s="15">
        <f>(SUMIF(Ass!$I$97:$P$97,AA$7,Ass!$I101:$P101)+(AA$7&gt;Ass!$P$97)*(AA$7&lt;=Ass!$Q$97)*Ass!$Q101)*CPI</f>
        <v>0</v>
      </c>
      <c r="AB22" s="15">
        <f>(SUMIF(Ass!$I$97:$P$97,AB$7,Ass!$I101:$P101)+(AB$7&gt;Ass!$P$97)*(AB$7&lt;=Ass!$Q$97)*Ass!$Q101)*CPI</f>
        <v>0</v>
      </c>
      <c r="AC22" s="15">
        <f>(SUMIF(Ass!$I$97:$P$97,AC$7,Ass!$I101:$P101)+(AC$7&gt;Ass!$P$97)*(AC$7&lt;=Ass!$Q$97)*Ass!$Q101)*CPI</f>
        <v>0</v>
      </c>
      <c r="AD22" s="15">
        <f>(SUMIF(Ass!$I$97:$P$97,AD$7,Ass!$I101:$P101)+(AD$7&gt;Ass!$P$97)*(AD$7&lt;=Ass!$Q$97)*Ass!$Q101)*CPI</f>
        <v>0</v>
      </c>
      <c r="AE22" s="15">
        <f>(SUMIF(Ass!$I$97:$P$97,AE$7,Ass!$I101:$P101)+(AE$7&gt;Ass!$P$97)*(AE$7&lt;=Ass!$Q$97)*Ass!$Q101)*CPI</f>
        <v>0</v>
      </c>
      <c r="AF22" s="15">
        <f>(SUMIF(Ass!$I$97:$P$97,AF$7,Ass!$I101:$P101)+(AF$7&gt;Ass!$P$97)*(AF$7&lt;=Ass!$Q$97)*Ass!$Q101)*CPI</f>
        <v>0</v>
      </c>
      <c r="AG22" s="15">
        <f>(SUMIF(Ass!$I$97:$P$97,AG$7,Ass!$I101:$P101)+(AG$7&gt;Ass!$P$97)*(AG$7&lt;=Ass!$Q$97)*Ass!$Q101)*CPI</f>
        <v>0</v>
      </c>
      <c r="AH22" s="15">
        <f>(SUMIF(Ass!$I$97:$P$97,AH$7,Ass!$I101:$P101)+(AH$7&gt;Ass!$P$97)*(AH$7&lt;=Ass!$Q$97)*Ass!$Q101)*CPI</f>
        <v>0</v>
      </c>
      <c r="AI22" s="15">
        <f>(SUMIF(Ass!$I$97:$P$97,AI$7,Ass!$I101:$P101)+(AI$7&gt;Ass!$P$97)*(AI$7&lt;=Ass!$Q$97)*Ass!$Q101)*CPI</f>
        <v>0</v>
      </c>
      <c r="AJ22" s="15">
        <f>(SUMIF(Ass!$I$97:$P$97,AJ$7,Ass!$I101:$P101)+(AJ$7&gt;Ass!$P$97)*(AJ$7&lt;=Ass!$Q$97)*Ass!$Q101)*CPI</f>
        <v>0</v>
      </c>
      <c r="AK22" s="15">
        <f>(SUMIF(Ass!$I$97:$P$97,AK$7,Ass!$I101:$P101)+(AK$7&gt;Ass!$P$97)*(AK$7&lt;=Ass!$Q$97)*Ass!$Q101)*CPI</f>
        <v>0</v>
      </c>
      <c r="AL22" s="15">
        <f>(SUMIF(Ass!$I$97:$P$97,AL$7,Ass!$I101:$P101)+(AL$7&gt;Ass!$P$97)*(AL$7&lt;=Ass!$Q$97)*Ass!$Q101)*CPI</f>
        <v>0</v>
      </c>
      <c r="AM22" s="15">
        <f>(SUMIF(Ass!$I$97:$P$97,AM$7,Ass!$I101:$P101)+(AM$7&gt;Ass!$P$97)*(AM$7&lt;=Ass!$Q$97)*Ass!$Q101)*CPI</f>
        <v>0</v>
      </c>
      <c r="AN22" s="15">
        <f>(SUMIF(Ass!$I$97:$P$97,AN$7,Ass!$I101:$P101)+(AN$7&gt;Ass!$P$97)*(AN$7&lt;=Ass!$Q$97)*Ass!$Q101)*CPI</f>
        <v>0</v>
      </c>
      <c r="AO22" s="15">
        <f>(SUMIF(Ass!$I$97:$P$97,AO$7,Ass!$I101:$P101)+(AO$7&gt;Ass!$P$97)*(AO$7&lt;=Ass!$Q$97)*Ass!$Q101)*CPI</f>
        <v>0</v>
      </c>
      <c r="AP22" s="15">
        <f>(SUMIF(Ass!$I$97:$P$97,AP$7,Ass!$I101:$P101)+(AP$7&gt;Ass!$P$97)*(AP$7&lt;=Ass!$Q$97)*Ass!$Q101)*CPI</f>
        <v>0</v>
      </c>
      <c r="AQ22" s="15">
        <f>(SUMIF(Ass!$I$97:$P$97,AQ$7,Ass!$I101:$P101)+(AQ$7&gt;Ass!$P$97)*(AQ$7&lt;=Ass!$Q$97)*Ass!$Q101)*CPI</f>
        <v>0</v>
      </c>
      <c r="AR22" s="15">
        <f>(SUMIF(Ass!$I$97:$P$97,AR$7,Ass!$I101:$P101)+(AR$7&gt;Ass!$P$97)*(AR$7&lt;=Ass!$Q$97)*Ass!$Q101)*CPI</f>
        <v>0</v>
      </c>
      <c r="AS22" s="15">
        <f>(SUMIF(Ass!$I$97:$P$97,AS$7,Ass!$I101:$P101)+(AS$7&gt;Ass!$P$97)*(AS$7&lt;=Ass!$Q$97)*Ass!$Q101)*CPI</f>
        <v>0</v>
      </c>
      <c r="AT22" s="15">
        <f>(SUMIF(Ass!$I$97:$P$97,AT$7,Ass!$I101:$P101)+(AT$7&gt;Ass!$P$97)*(AT$7&lt;=Ass!$Q$97)*Ass!$Q101)*CPI</f>
        <v>0</v>
      </c>
      <c r="AU22" s="15">
        <f>(SUMIF(Ass!$I$97:$P$97,AU$7,Ass!$I101:$P101)+(AU$7&gt;Ass!$P$97)*(AU$7&lt;=Ass!$Q$97)*Ass!$Q101)*CPI</f>
        <v>0</v>
      </c>
      <c r="AV22" s="15">
        <f>(SUMIF(Ass!$I$97:$P$97,AV$7,Ass!$I101:$P101)+(AV$7&gt;Ass!$P$97)*(AV$7&lt;=Ass!$Q$97)*Ass!$Q101)*CPI</f>
        <v>0</v>
      </c>
      <c r="AW22" s="15">
        <f>(SUMIF(Ass!$I$97:$P$97,AW$7,Ass!$I101:$P101)+(AW$7&gt;Ass!$P$97)*(AW$7&lt;=Ass!$Q$97)*Ass!$Q101)*CPI</f>
        <v>0</v>
      </c>
      <c r="AX22" s="15">
        <f>(SUMIF(Ass!$I$97:$P$97,AX$7,Ass!$I101:$P101)+(AX$7&gt;Ass!$P$97)*(AX$7&lt;=Ass!$Q$97)*Ass!$Q101)*CPI</f>
        <v>0</v>
      </c>
      <c r="AY22" s="15">
        <f>(SUMIF(Ass!$I$97:$P$97,AY$7,Ass!$I101:$P101)+(AY$7&gt;Ass!$P$97)*(AY$7&lt;=Ass!$Q$97)*Ass!$Q101)*CPI</f>
        <v>0</v>
      </c>
      <c r="AZ22" s="15">
        <f>(SUMIF(Ass!$I$97:$P$97,AZ$7,Ass!$I101:$P101)+(AZ$7&gt;Ass!$P$97)*(AZ$7&lt;=Ass!$Q$97)*Ass!$Q101)*CPI</f>
        <v>0</v>
      </c>
      <c r="BA22" s="15">
        <f>(SUMIF(Ass!$I$97:$P$97,BA$7,Ass!$I101:$P101)+(BA$7&gt;Ass!$P$97)*(BA$7&lt;=Ass!$Q$97)*Ass!$Q101)*CPI</f>
        <v>0</v>
      </c>
      <c r="BB22" s="15">
        <f>(SUMIF(Ass!$I$97:$P$97,BB$7,Ass!$I101:$P101)+(BB$7&gt;Ass!$P$97)*(BB$7&lt;=Ass!$Q$97)*Ass!$Q101)*CPI</f>
        <v>0</v>
      </c>
      <c r="BC22" s="15">
        <f>(SUMIF(Ass!$I$97:$P$97,BC$7,Ass!$I101:$P101)+(BC$7&gt;Ass!$P$97)*(BC$7&lt;=Ass!$Q$97)*Ass!$Q101)*CPI</f>
        <v>0</v>
      </c>
      <c r="BD22" s="15">
        <f>(SUMIF(Ass!$I$97:$P$97,BD$7,Ass!$I101:$P101)+(BD$7&gt;Ass!$P$97)*(BD$7&lt;=Ass!$Q$97)*Ass!$Q101)*CPI</f>
        <v>0</v>
      </c>
      <c r="BE22" s="15">
        <f>(SUMIF(Ass!$I$97:$P$97,BE$7,Ass!$I101:$P101)+(BE$7&gt;Ass!$P$97)*(BE$7&lt;=Ass!$Q$97)*Ass!$Q101)*CPI</f>
        <v>0</v>
      </c>
      <c r="BF22" s="15">
        <f>(SUMIF(Ass!$I$97:$P$97,BF$7,Ass!$I101:$P101)+(BF$7&gt;Ass!$P$97)*(BF$7&lt;=Ass!$Q$97)*Ass!$Q101)*CPI</f>
        <v>0</v>
      </c>
      <c r="BG22" s="15">
        <f>(SUMIF(Ass!$I$97:$P$97,BG$7,Ass!$I101:$P101)+(BG$7&gt;Ass!$P$97)*(BG$7&lt;=Ass!$Q$97)*Ass!$Q101)*CPI</f>
        <v>0</v>
      </c>
      <c r="BH22" s="15">
        <f>(SUMIF(Ass!$I$97:$P$97,BH$7,Ass!$I101:$P101)+(BH$7&gt;Ass!$P$97)*(BH$7&lt;=Ass!$Q$97)*Ass!$Q101)*CPI</f>
        <v>0</v>
      </c>
      <c r="BI22" s="15">
        <f>(SUMIF(Ass!$I$97:$P$97,BI$7,Ass!$I101:$P101)+(BI$7&gt;Ass!$P$97)*(BI$7&lt;=Ass!$Q$97)*Ass!$Q101)*CPI</f>
        <v>0</v>
      </c>
      <c r="BJ22" s="15">
        <f>(SUMIF(Ass!$I$97:$P$97,BJ$7,Ass!$I101:$P101)+(BJ$7&gt;Ass!$P$97)*(BJ$7&lt;=Ass!$Q$97)*Ass!$Q101)*CPI</f>
        <v>0</v>
      </c>
      <c r="BK22" s="15">
        <f>(SUMIF(Ass!$I$97:$P$97,BK$7,Ass!$I101:$P101)+(BK$7&gt;Ass!$P$97)*(BK$7&lt;=Ass!$Q$97)*Ass!$Q101)*CPI</f>
        <v>0</v>
      </c>
      <c r="BL22" s="15">
        <f>(SUMIF(Ass!$I$97:$P$97,BL$7,Ass!$I101:$P101)+(BL$7&gt;Ass!$P$97)*(BL$7&lt;=Ass!$Q$97)*Ass!$Q101)*CPI</f>
        <v>0</v>
      </c>
      <c r="BM22" s="15">
        <f>(SUMIF(Ass!$I$97:$P$97,BM$7,Ass!$I101:$P101)+(BM$7&gt;Ass!$P$97)*(BM$7&lt;=Ass!$Q$97)*Ass!$Q101)*CPI</f>
        <v>0</v>
      </c>
      <c r="BN22" s="15">
        <f>(SUMIF(Ass!$I$97:$P$97,BN$7,Ass!$I101:$P101)+(BN$7&gt;Ass!$P$97)*(BN$7&lt;=Ass!$Q$97)*Ass!$Q101)*CPI</f>
        <v>0</v>
      </c>
      <c r="BO22" s="15">
        <f>(SUMIF(Ass!$I$97:$P$97,BO$7,Ass!$I101:$P101)+(BO$7&gt;Ass!$P$97)*(BO$7&lt;=Ass!$Q$97)*Ass!$Q101)*CPI</f>
        <v>0</v>
      </c>
      <c r="BP22" s="15">
        <f>(SUMIF(Ass!$I$97:$P$97,BP$7,Ass!$I101:$P101)+(BP$7&gt;Ass!$P$97)*(BP$7&lt;=Ass!$Q$97)*Ass!$Q101)*CPI</f>
        <v>0</v>
      </c>
      <c r="BQ22" s="15">
        <f>(SUMIF(Ass!$I$97:$P$97,BQ$7,Ass!$I101:$P101)+(BQ$7&gt;Ass!$P$97)*(BQ$7&lt;=Ass!$Q$97)*Ass!$Q101)*CPI</f>
        <v>0</v>
      </c>
      <c r="BR22" s="15">
        <f>(SUMIF(Ass!$I$97:$P$97,BR$7,Ass!$I101:$P101)+(BR$7&gt;Ass!$P$97)*(BR$7&lt;=Ass!$Q$97)*Ass!$Q101)*CPI</f>
        <v>0</v>
      </c>
      <c r="BS22" s="15">
        <f>(SUMIF(Ass!$I$97:$P$97,BS$7,Ass!$I101:$P101)+(BS$7&gt;Ass!$P$97)*(BS$7&lt;=Ass!$Q$97)*Ass!$Q101)*CPI</f>
        <v>0</v>
      </c>
      <c r="BT22" s="15">
        <f>(SUMIF(Ass!$I$97:$P$97,BT$7,Ass!$I101:$P101)+(BT$7&gt;Ass!$P$97)*(BT$7&lt;=Ass!$Q$97)*Ass!$Q101)*CPI</f>
        <v>0</v>
      </c>
      <c r="BU22" s="15">
        <f>(SUMIF(Ass!$I$97:$P$97,BU$7,Ass!$I101:$P101)+(BU$7&gt;Ass!$P$97)*(BU$7&lt;=Ass!$Q$97)*Ass!$Q101)*CPI</f>
        <v>0</v>
      </c>
      <c r="BV22" s="15">
        <f>(SUMIF(Ass!$I$97:$P$97,BV$7,Ass!$I101:$P101)+(BV$7&gt;Ass!$P$97)*(BV$7&lt;=Ass!$Q$97)*Ass!$Q101)*CPI</f>
        <v>0</v>
      </c>
      <c r="BW22" s="15">
        <f>(SUMIF(Ass!$I$97:$P$97,BW$7,Ass!$I101:$P101)+(BW$7&gt;Ass!$P$97)*(BW$7&lt;=Ass!$Q$97)*Ass!$Q101)*CPI</f>
        <v>0</v>
      </c>
      <c r="BX22" s="15">
        <f>(SUMIF(Ass!$I$97:$P$97,BX$7,Ass!$I101:$P101)+(BX$7&gt;Ass!$P$97)*(BX$7&lt;=Ass!$Q$97)*Ass!$Q101)*CPI</f>
        <v>0</v>
      </c>
      <c r="BY22" s="15">
        <f>(SUMIF(Ass!$I$97:$P$97,BY$7,Ass!$I101:$P101)+(BY$7&gt;Ass!$P$97)*(BY$7&lt;=Ass!$Q$97)*Ass!$Q101)*CPI</f>
        <v>0</v>
      </c>
      <c r="BZ22" s="15">
        <f>(SUMIF(Ass!$I$97:$P$97,BZ$7,Ass!$I101:$P101)+(BZ$7&gt;Ass!$P$97)*(BZ$7&lt;=Ass!$Q$97)*Ass!$Q101)*CPI</f>
        <v>0</v>
      </c>
      <c r="CA22" s="15">
        <f>(SUMIF(Ass!$I$97:$P$97,CA$7,Ass!$I101:$P101)+(CA$7&gt;Ass!$P$97)*(CA$7&lt;=Ass!$Q$97)*Ass!$Q101)*CPI</f>
        <v>0</v>
      </c>
      <c r="CB22" s="15">
        <f>(SUMIF(Ass!$I$97:$P$97,CB$7,Ass!$I101:$P101)+(CB$7&gt;Ass!$P$97)*(CB$7&lt;=Ass!$Q$97)*Ass!$Q101)*CPI</f>
        <v>0</v>
      </c>
      <c r="CC22" s="15">
        <f>(SUMIF(Ass!$I$97:$P$97,CC$7,Ass!$I101:$P101)+(CC$7&gt;Ass!$P$97)*(CC$7&lt;=Ass!$Q$97)*Ass!$Q101)*CPI</f>
        <v>0</v>
      </c>
      <c r="CD22" s="15">
        <f>(SUMIF(Ass!$I$97:$P$97,CD$7,Ass!$I101:$P101)+(CD$7&gt;Ass!$P$97)*(CD$7&lt;=Ass!$Q$97)*Ass!$Q101)*CPI</f>
        <v>0</v>
      </c>
      <c r="CE22" s="15">
        <f>(SUMIF(Ass!$I$97:$P$97,CE$7,Ass!$I101:$P101)+(CE$7&gt;Ass!$P$97)*(CE$7&lt;=Ass!$Q$97)*Ass!$Q101)*CPI</f>
        <v>0</v>
      </c>
      <c r="CF22" s="15">
        <f>(SUMIF(Ass!$I$97:$P$97,CF$7,Ass!$I101:$P101)+(CF$7&gt;Ass!$P$97)*(CF$7&lt;=Ass!$Q$97)*Ass!$Q101)*CPI</f>
        <v>0</v>
      </c>
      <c r="CG22" s="15">
        <f>(SUMIF(Ass!$I$97:$P$97,CG$7,Ass!$I101:$P101)+(CG$7&gt;Ass!$P$97)*(CG$7&lt;=Ass!$Q$97)*Ass!$Q101)*CPI</f>
        <v>0</v>
      </c>
      <c r="CH22" s="15">
        <f>(SUMIF(Ass!$I$97:$P$97,CH$7,Ass!$I101:$P101)+(CH$7&gt;Ass!$P$97)*(CH$7&lt;=Ass!$Q$97)*Ass!$Q101)*CPI</f>
        <v>0</v>
      </c>
      <c r="CI22" s="15">
        <f>(SUMIF(Ass!$I$97:$P$97,CI$7,Ass!$I101:$P101)+(CI$7&gt;Ass!$P$97)*(CI$7&lt;=Ass!$Q$97)*Ass!$Q101)*CPI</f>
        <v>0</v>
      </c>
      <c r="CJ22" s="15">
        <f>(SUMIF(Ass!$I$97:$P$97,CJ$7,Ass!$I101:$P101)+(CJ$7&gt;Ass!$P$97)*(CJ$7&lt;=Ass!$Q$97)*Ass!$Q101)*CPI</f>
        <v>0</v>
      </c>
      <c r="CK22" s="15">
        <f>(SUMIF(Ass!$I$97:$P$97,CK$7,Ass!$I101:$P101)+(CK$7&gt;Ass!$P$97)*(CK$7&lt;=Ass!$Q$97)*Ass!$Q101)*CPI</f>
        <v>0</v>
      </c>
      <c r="CL22" s="15">
        <f>(SUMIF(Ass!$I$97:$P$97,CL$7,Ass!$I101:$P101)+(CL$7&gt;Ass!$P$97)*(CL$7&lt;=Ass!$Q$97)*Ass!$Q101)*CPI</f>
        <v>0</v>
      </c>
      <c r="CM22" s="15">
        <f>(SUMIF(Ass!$I$97:$P$97,CM$7,Ass!$I101:$P101)+(CM$7&gt;Ass!$P$97)*(CM$7&lt;=Ass!$Q$97)*Ass!$Q101)*CPI</f>
        <v>0</v>
      </c>
      <c r="CN22" s="15">
        <f>(SUMIF(Ass!$I$97:$P$97,CN$7,Ass!$I101:$P101)+(CN$7&gt;Ass!$P$97)*(CN$7&lt;=Ass!$Q$97)*Ass!$Q101)*CPI</f>
        <v>0</v>
      </c>
    </row>
    <row r="23" spans="1:92" ht="12.75" customHeight="1" x14ac:dyDescent="0.3">
      <c r="D23" s="15" t="s">
        <v>10</v>
      </c>
      <c r="H23" s="16" t="s">
        <v>1</v>
      </c>
      <c r="J23" s="58">
        <f t="shared" si="7"/>
        <v>96498942.134498507</v>
      </c>
      <c r="L23" s="15">
        <f>(SUMIF(Ass!$I$97:$P$97,L$7,Ass!$I102:$P102)+(L$7&gt;Ass!$P$97)*(L$7&lt;=Ass!$Q$97)*Ass!$Q102)*CPI</f>
        <v>0</v>
      </c>
      <c r="M23" s="15">
        <f>(SUMIF(Ass!$I$97:$P$97,M$7,Ass!$I102:$P102)+(M$7&gt;Ass!$P$97)*(M$7&lt;=Ass!$Q$97)*Ass!$Q102)*CPI</f>
        <v>0</v>
      </c>
      <c r="N23" s="15">
        <f>(SUMIF(Ass!$I$97:$P$97,N$7,Ass!$I102:$P102)+(N$7&gt;Ass!$P$97)*(N$7&lt;=Ass!$Q$97)*Ass!$Q102)*CPI</f>
        <v>0</v>
      </c>
      <c r="O23" s="15">
        <f>(SUMIF(Ass!$I$97:$P$97,O$7,Ass!$I102:$P102)+(O$7&gt;Ass!$P$97)*(O$7&lt;=Ass!$Q$97)*Ass!$Q102)*CPI</f>
        <v>0</v>
      </c>
      <c r="P23" s="15">
        <f>(SUMIF(Ass!$I$97:$P$97,P$7,Ass!$I102:$P102)+(P$7&gt;Ass!$P$97)*(P$7&lt;=Ass!$Q$97)*Ass!$Q102)*CPI</f>
        <v>0</v>
      </c>
      <c r="Q23" s="15">
        <f>(SUMIF(Ass!$I$97:$P$97,Q$7,Ass!$I102:$P102)+(Q$7&gt;Ass!$P$97)*(Q$7&lt;=Ass!$Q$97)*Ass!$Q102)*CPI</f>
        <v>0</v>
      </c>
      <c r="R23" s="15">
        <f>(SUMIF(Ass!$I$97:$P$97,R$7,Ass!$I102:$P102)+(R$7&gt;Ass!$P$97)*(R$7&lt;=Ass!$Q$97)*Ass!$Q102)*CPI</f>
        <v>0</v>
      </c>
      <c r="S23" s="15">
        <f>(SUMIF(Ass!$I$97:$P$97,S$7,Ass!$I102:$P102)+(S$7&gt;Ass!$P$97)*(S$7&lt;=Ass!$Q$97)*Ass!$Q102)*CPI</f>
        <v>0</v>
      </c>
      <c r="T23" s="15">
        <f>(SUMIF(Ass!$I$97:$P$97,T$7,Ass!$I102:$P102)+(T$7&gt;Ass!$P$97)*(T$7&lt;=Ass!$Q$97)*Ass!$Q102)*CPI</f>
        <v>0</v>
      </c>
      <c r="U23" s="15">
        <f>(SUMIF(Ass!$I$97:$P$97,U$7,Ass!$I102:$P102)+(U$7&gt;Ass!$P$97)*(U$7&lt;=Ass!$Q$97)*Ass!$Q102)*CPI</f>
        <v>1056783.9999999995</v>
      </c>
      <c r="V23" s="15">
        <f>(SUMIF(Ass!$I$97:$P$97,V$7,Ass!$I102:$P102)+(V$7&gt;Ass!$P$97)*(V$7&lt;=Ass!$Q$97)*Ass!$Q102)*CPI</f>
        <v>1064105.059125056</v>
      </c>
      <c r="W23" s="15">
        <f>(SUMIF(Ass!$I$97:$P$97,W$7,Ass!$I102:$P102)+(W$7&gt;Ass!$P$97)*(W$7&lt;=Ass!$Q$97)*Ass!$Q102)*CPI</f>
        <v>1071476.8361893627</v>
      </c>
      <c r="X23" s="15">
        <f>(SUMIF(Ass!$I$97:$P$97,X$7,Ass!$I102:$P102)+(X$7&gt;Ass!$P$97)*(X$7&lt;=Ass!$Q$97)*Ass!$Q102)*CPI</f>
        <v>1078899.6825504648</v>
      </c>
      <c r="Y23" s="15">
        <f>(SUMIF(Ass!$I$97:$P$97,Y$7,Ass!$I102:$P102)+(Y$7&gt;Ass!$P$97)*(Y$7&lt;=Ass!$Q$97)*Ass!$Q102)*CPI</f>
        <v>1086373.9519999993</v>
      </c>
      <c r="Z23" s="15">
        <f>(SUMIF(Ass!$I$97:$P$97,Z$7,Ass!$I102:$P102)+(Z$7&gt;Ass!$P$97)*(Z$7&lt;=Ass!$Q$97)*Ass!$Q102)*CPI</f>
        <v>1093900.0007805575</v>
      </c>
      <c r="AA23" s="15">
        <f>(SUMIF(Ass!$I$97:$P$97,AA$7,Ass!$I102:$P102)+(AA$7&gt;Ass!$P$97)*(AA$7&lt;=Ass!$Q$97)*Ass!$Q102)*CPI</f>
        <v>1101478.1876026648</v>
      </c>
      <c r="AB23" s="15">
        <f>(SUMIF(Ass!$I$97:$P$97,AB$7,Ass!$I102:$P102)+(AB$7&gt;Ass!$P$97)*(AB$7&lt;=Ass!$Q$97)*Ass!$Q102)*CPI</f>
        <v>1109108.8736618778</v>
      </c>
      <c r="AC23" s="15">
        <f>(SUMIF(Ass!$I$97:$P$97,AC$7,Ass!$I102:$P102)+(AC$7&gt;Ass!$P$97)*(AC$7&lt;=Ass!$Q$97)*Ass!$Q102)*CPI</f>
        <v>1116792.4226559992</v>
      </c>
      <c r="AD23" s="15">
        <f>(SUMIF(Ass!$I$97:$P$97,AD$7,Ass!$I102:$P102)+(AD$7&gt;Ass!$P$97)*(AD$7&lt;=Ass!$Q$97)*Ass!$Q102)*CPI</f>
        <v>1124529.2008024128</v>
      </c>
      <c r="AE23" s="15">
        <f>(SUMIF(Ass!$I$97:$P$97,AE$7,Ass!$I102:$P102)+(AE$7&gt;Ass!$P$97)*(AE$7&lt;=Ass!$Q$97)*Ass!$Q102)*CPI</f>
        <v>1132319.5768555391</v>
      </c>
      <c r="AF23" s="15">
        <f>(SUMIF(Ass!$I$97:$P$97,AF$7,Ass!$I102:$P102)+(AF$7&gt;Ass!$P$97)*(AF$7&lt;=Ass!$Q$97)*Ass!$Q102)*CPI</f>
        <v>1140163.92212441</v>
      </c>
      <c r="AG23" s="15">
        <f>(SUMIF(Ass!$I$97:$P$97,AG$7,Ass!$I102:$P102)+(AG$7&gt;Ass!$P$97)*(AG$7&lt;=Ass!$Q$97)*Ass!$Q102)*CPI</f>
        <v>1148062.6104903666</v>
      </c>
      <c r="AH23" s="15">
        <f>(SUMIF(Ass!$I$97:$P$97,AH$7,Ass!$I102:$P102)+(AH$7&gt;Ass!$P$97)*(AH$7&lt;=Ass!$Q$97)*Ass!$Q102)*CPI</f>
        <v>1156016.01842488</v>
      </c>
      <c r="AI23" s="15">
        <f>(SUMIF(Ass!$I$97:$P$97,AI$7,Ass!$I102:$P102)+(AI$7&gt;Ass!$P$97)*(AI$7&lt;=Ass!$Q$97)*Ass!$Q102)*CPI</f>
        <v>1164024.5250074938</v>
      </c>
      <c r="AJ23" s="15">
        <f>(SUMIF(Ass!$I$97:$P$97,AJ$7,Ass!$I102:$P102)+(AJ$7&gt;Ass!$P$97)*(AJ$7&lt;=Ass!$Q$97)*Ass!$Q102)*CPI</f>
        <v>1172088.511943893</v>
      </c>
      <c r="AK23" s="15">
        <f>(SUMIF(Ass!$I$97:$P$97,AK$7,Ass!$I102:$P102)+(AK$7&gt;Ass!$P$97)*(AK$7&lt;=Ass!$Q$97)*Ass!$Q102)*CPI</f>
        <v>1180208.3635840965</v>
      </c>
      <c r="AL23" s="15">
        <f>(SUMIF(Ass!$I$97:$P$97,AL$7,Ass!$I102:$P102)+(AL$7&gt;Ass!$P$97)*(AL$7&lt;=Ass!$Q$97)*Ass!$Q102)*CPI</f>
        <v>1188384.4669407762</v>
      </c>
      <c r="AM23" s="15">
        <f>(SUMIF(Ass!$I$97:$P$97,AM$7,Ass!$I102:$P102)+(AM$7&gt;Ass!$P$97)*(AM$7&lt;=Ass!$Q$97)*Ass!$Q102)*CPI</f>
        <v>1196617.2117077033</v>
      </c>
      <c r="AN23" s="15">
        <f>(SUMIF(Ass!$I$97:$P$97,AN$7,Ass!$I102:$P102)+(AN$7&gt;Ass!$P$97)*(AN$7&lt;=Ass!$Q$97)*Ass!$Q102)*CPI</f>
        <v>1204906.9902783216</v>
      </c>
      <c r="AO23" s="15">
        <f>(SUMIF(Ass!$I$97:$P$97,AO$7,Ass!$I102:$P102)+(AO$7&gt;Ass!$P$97)*(AO$7&lt;=Ass!$Q$97)*Ass!$Q102)*CPI</f>
        <v>1213254.1977644509</v>
      </c>
      <c r="AP23" s="15">
        <f>(SUMIF(Ass!$I$97:$P$97,AP$7,Ass!$I102:$P102)+(AP$7&gt;Ass!$P$97)*(AP$7&lt;=Ass!$Q$97)*Ass!$Q102)*CPI</f>
        <v>1221659.2320151175</v>
      </c>
      <c r="AQ23" s="15">
        <f>(SUMIF(Ass!$I$97:$P$97,AQ$7,Ass!$I102:$P102)+(AQ$7&gt;Ass!$P$97)*(AQ$7&lt;=Ass!$Q$97)*Ass!$Q102)*CPI</f>
        <v>1230122.4936355187</v>
      </c>
      <c r="AR23" s="15">
        <f>(SUMIF(Ass!$I$97:$P$97,AR$7,Ass!$I102:$P102)+(AR$7&gt;Ass!$P$97)*(AR$7&lt;=Ass!$Q$97)*Ass!$Q102)*CPI</f>
        <v>1238644.3860061143</v>
      </c>
      <c r="AS23" s="15">
        <f>(SUMIF(Ass!$I$97:$P$97,AS$7,Ass!$I102:$P102)+(AS$7&gt;Ass!$P$97)*(AS$7&lt;=Ass!$Q$97)*Ass!$Q102)*CPI</f>
        <v>1247225.3153018551</v>
      </c>
      <c r="AT23" s="15">
        <f>(SUMIF(Ass!$I$97:$P$97,AT$7,Ass!$I102:$P102)+(AT$7&gt;Ass!$P$97)*(AT$7&lt;=Ass!$Q$97)*Ass!$Q102)*CPI</f>
        <v>1255865.6905115405</v>
      </c>
      <c r="AU23" s="15">
        <f>(SUMIF(Ass!$I$97:$P$97,AU$7,Ass!$I102:$P102)+(AU$7&gt;Ass!$P$97)*(AU$7&lt;=Ass!$Q$97)*Ass!$Q102)*CPI</f>
        <v>1264565.9234573126</v>
      </c>
      <c r="AV23" s="15">
        <f>(SUMIF(Ass!$I$97:$P$97,AV$7,Ass!$I102:$P102)+(AV$7&gt;Ass!$P$97)*(AV$7&lt;=Ass!$Q$97)*Ass!$Q102)*CPI</f>
        <v>1273326.428814285</v>
      </c>
      <c r="AW23" s="15">
        <f>(SUMIF(Ass!$I$97:$P$97,AW$7,Ass!$I102:$P102)+(AW$7&gt;Ass!$P$97)*(AW$7&lt;=Ass!$Q$97)*Ass!$Q102)*CPI</f>
        <v>1282147.6241303065</v>
      </c>
      <c r="AX23" s="15">
        <f>(SUMIF(Ass!$I$97:$P$97,AX$7,Ass!$I102:$P102)+(AX$7&gt;Ass!$P$97)*(AX$7&lt;=Ass!$Q$97)*Ass!$Q102)*CPI</f>
        <v>1291029.9298458633</v>
      </c>
      <c r="AY23" s="15">
        <f>(SUMIF(Ass!$I$97:$P$97,AY$7,Ass!$I102:$P102)+(AY$7&gt;Ass!$P$97)*(AY$7&lt;=Ass!$Q$97)*Ass!$Q102)*CPI</f>
        <v>1299973.769314117</v>
      </c>
      <c r="AZ23" s="15">
        <f>(SUMIF(Ass!$I$97:$P$97,AZ$7,Ass!$I102:$P102)+(AZ$7&gt;Ass!$P$97)*(AZ$7&lt;=Ass!$Q$97)*Ass!$Q102)*CPI</f>
        <v>1308979.5688210847</v>
      </c>
      <c r="BA23" s="15">
        <f>(SUMIF(Ass!$I$97:$P$97,BA$7,Ass!$I102:$P102)+(BA$7&gt;Ass!$P$97)*(BA$7&lt;=Ass!$Q$97)*Ass!$Q102)*CPI</f>
        <v>1318047.7576059548</v>
      </c>
      <c r="BB23" s="15">
        <f>(SUMIF(Ass!$I$97:$P$97,BB$7,Ass!$I102:$P102)+(BB$7&gt;Ass!$P$97)*(BB$7&lt;=Ass!$Q$97)*Ass!$Q102)*CPI</f>
        <v>1327178.7678815469</v>
      </c>
      <c r="BC23" s="15">
        <f>(SUMIF(Ass!$I$97:$P$97,BC$7,Ass!$I102:$P102)+(BC$7&gt;Ass!$P$97)*(BC$7&lt;=Ass!$Q$97)*Ass!$Q102)*CPI</f>
        <v>1336373.034854912</v>
      </c>
      <c r="BD23" s="15">
        <f>(SUMIF(Ass!$I$97:$P$97,BD$7,Ass!$I102:$P102)+(BD$7&gt;Ass!$P$97)*(BD$7&lt;=Ass!$Q$97)*Ass!$Q102)*CPI</f>
        <v>1345630.9967480747</v>
      </c>
      <c r="BE23" s="15">
        <f>(SUMIF(Ass!$I$97:$P$97,BE$7,Ass!$I102:$P102)+(BE$7&gt;Ass!$P$97)*(BE$7&lt;=Ass!$Q$97)*Ass!$Q102)*CPI</f>
        <v>1354953.0948189211</v>
      </c>
      <c r="BF23" s="15">
        <f>(SUMIF(Ass!$I$97:$P$97,BF$7,Ass!$I102:$P102)+(BF$7&gt;Ass!$P$97)*(BF$7&lt;=Ass!$Q$97)*Ass!$Q102)*CPI</f>
        <v>1364339.7733822297</v>
      </c>
      <c r="BG23" s="15">
        <f>(SUMIF(Ass!$I$97:$P$97,BG$7,Ass!$I102:$P102)+(BG$7&gt;Ass!$P$97)*(BG$7&lt;=Ass!$Q$97)*Ass!$Q102)*CPI</f>
        <v>1373791.479830849</v>
      </c>
      <c r="BH23" s="15">
        <f>(SUMIF(Ass!$I$97:$P$97,BH$7,Ass!$I102:$P102)+(BH$7&gt;Ass!$P$97)*(BH$7&lt;=Ass!$Q$97)*Ass!$Q102)*CPI</f>
        <v>1383308.6646570202</v>
      </c>
      <c r="BI23" s="15">
        <f>(SUMIF(Ass!$I$97:$P$97,BI$7,Ass!$I102:$P102)+(BI$7&gt;Ass!$P$97)*(BI$7&lt;=Ass!$Q$97)*Ass!$Q102)*CPI</f>
        <v>1392891.7814738504</v>
      </c>
      <c r="BJ23" s="15">
        <f>(SUMIF(Ass!$I$97:$P$97,BJ$7,Ass!$I102:$P102)+(BJ$7&gt;Ass!$P$97)*(BJ$7&lt;=Ass!$Q$97)*Ass!$Q102)*CPI</f>
        <v>1402541.2870369318</v>
      </c>
      <c r="BK23" s="15">
        <f>(SUMIF(Ass!$I$97:$P$97,BK$7,Ass!$I102:$P102)+(BK$7&gt;Ass!$P$97)*(BK$7&lt;=Ass!$Q$97)*Ass!$Q102)*CPI</f>
        <v>1412257.6412661122</v>
      </c>
      <c r="BL23" s="15">
        <f>(SUMIF(Ass!$I$97:$P$97,BL$7,Ass!$I102:$P102)+(BL$7&gt;Ass!$P$97)*(BL$7&lt;=Ass!$Q$97)*Ass!$Q102)*CPI</f>
        <v>1422041.3072674163</v>
      </c>
      <c r="BM23" s="15">
        <f>(SUMIF(Ass!$I$97:$P$97,BM$7,Ass!$I102:$P102)+(BM$7&gt;Ass!$P$97)*(BM$7&lt;=Ass!$Q$97)*Ass!$Q102)*CPI</f>
        <v>1431892.7513551177</v>
      </c>
      <c r="BN23" s="15">
        <f>(SUMIF(Ass!$I$97:$P$97,BN$7,Ass!$I102:$P102)+(BN$7&gt;Ass!$P$97)*(BN$7&lt;=Ass!$Q$97)*Ass!$Q102)*CPI</f>
        <v>1441812.4430739654</v>
      </c>
      <c r="BO23" s="15">
        <f>(SUMIF(Ass!$I$97:$P$97,BO$7,Ass!$I102:$P102)+(BO$7&gt;Ass!$P$97)*(BO$7&lt;=Ass!$Q$97)*Ass!$Q102)*CPI</f>
        <v>1451800.8552215628</v>
      </c>
      <c r="BP23" s="15">
        <f>(SUMIF(Ass!$I$97:$P$97,BP$7,Ass!$I102:$P102)+(BP$7&gt;Ass!$P$97)*(BP$7&lt;=Ass!$Q$97)*Ass!$Q102)*CPI</f>
        <v>1461858.4638709035</v>
      </c>
      <c r="BQ23" s="15">
        <f>(SUMIF(Ass!$I$97:$P$97,BQ$7,Ass!$I102:$P102)+(BQ$7&gt;Ass!$P$97)*(BQ$7&lt;=Ass!$Q$97)*Ass!$Q102)*CPI</f>
        <v>1471985.7483930606</v>
      </c>
      <c r="BR23" s="15">
        <f>(SUMIF(Ass!$I$97:$P$97,BR$7,Ass!$I102:$P102)+(BR$7&gt;Ass!$P$97)*(BR$7&lt;=Ass!$Q$97)*Ass!$Q102)*CPI</f>
        <v>1482183.1914800361</v>
      </c>
      <c r="BS23" s="15">
        <f>(SUMIF(Ass!$I$97:$P$97,BS$7,Ass!$I102:$P102)+(BS$7&gt;Ass!$P$97)*(BS$7&lt;=Ass!$Q$97)*Ass!$Q102)*CPI</f>
        <v>1492451.2791677664</v>
      </c>
      <c r="BT23" s="15">
        <f>(SUMIF(Ass!$I$97:$P$97,BT$7,Ass!$I102:$P102)+(BT$7&gt;Ass!$P$97)*(BT$7&lt;=Ass!$Q$97)*Ass!$Q102)*CPI</f>
        <v>1502790.5008592885</v>
      </c>
      <c r="BU23" s="15">
        <f>(SUMIF(Ass!$I$97:$P$97,BU$7,Ass!$I102:$P102)+(BU$7&gt;Ass!$P$97)*(BU$7&lt;=Ass!$Q$97)*Ass!$Q102)*CPI</f>
        <v>1513201.3493480661</v>
      </c>
      <c r="BV23" s="15">
        <f>(SUMIF(Ass!$I$97:$P$97,BV$7,Ass!$I102:$P102)+(BV$7&gt;Ass!$P$97)*(BV$7&lt;=Ass!$Q$97)*Ass!$Q102)*CPI</f>
        <v>1523684.3208414768</v>
      </c>
      <c r="BW23" s="15">
        <f>(SUMIF(Ass!$I$97:$P$97,BW$7,Ass!$I102:$P102)+(BW$7&gt;Ass!$P$97)*(BW$7&lt;=Ass!$Q$97)*Ass!$Q102)*CPI</f>
        <v>1534239.9149844635</v>
      </c>
      <c r="BX23" s="15">
        <f>(SUMIF(Ass!$I$97:$P$97,BX$7,Ass!$I102:$P102)+(BX$7&gt;Ass!$P$97)*(BX$7&lt;=Ass!$Q$97)*Ass!$Q102)*CPI</f>
        <v>1544868.6348833481</v>
      </c>
      <c r="BY23" s="15">
        <f>(SUMIF(Ass!$I$97:$P$97,BY$7,Ass!$I102:$P102)+(BY$7&gt;Ass!$P$97)*(BY$7&lt;=Ass!$Q$97)*Ass!$Q102)*CPI</f>
        <v>1555570.9871298117</v>
      </c>
      <c r="BZ23" s="15">
        <f>(SUMIF(Ass!$I$97:$P$97,BZ$7,Ass!$I102:$P102)+(BZ$7&gt;Ass!$P$97)*(BZ$7&lt;=Ass!$Q$97)*Ass!$Q102)*CPI</f>
        <v>1566347.4818250379</v>
      </c>
      <c r="CA23" s="15">
        <f>(SUMIF(Ass!$I$97:$P$97,CA$7,Ass!$I102:$P102)+(CA$7&gt;Ass!$P$97)*(CA$7&lt;=Ass!$Q$97)*Ass!$Q102)*CPI</f>
        <v>1577198.6326040281</v>
      </c>
      <c r="CB23" s="15">
        <f>(SUMIF(Ass!$I$97:$P$97,CB$7,Ass!$I102:$P102)+(CB$7&gt;Ass!$P$97)*(CB$7&lt;=Ass!$Q$97)*Ass!$Q102)*CPI</f>
        <v>1588124.9566600816</v>
      </c>
      <c r="CC23" s="15">
        <f>(SUMIF(Ass!$I$97:$P$97,CC$7,Ass!$I102:$P102)+(CC$7&gt;Ass!$P$97)*(CC$7&lt;=Ass!$Q$97)*Ass!$Q102)*CPI</f>
        <v>1599126.9747694458</v>
      </c>
      <c r="CD23" s="15">
        <f>(SUMIF(Ass!$I$97:$P$97,CD$7,Ass!$I102:$P102)+(CD$7&gt;Ass!$P$97)*(CD$7&lt;=Ass!$Q$97)*Ass!$Q102)*CPI</f>
        <v>1610205.2113161385</v>
      </c>
      <c r="CE23" s="15">
        <f>(SUMIF(Ass!$I$97:$P$97,CE$7,Ass!$I102:$P102)+(CE$7&gt;Ass!$P$97)*(CE$7&lt;=Ass!$Q$97)*Ass!$Q102)*CPI</f>
        <v>1621360.1943169406</v>
      </c>
      <c r="CF23" s="15">
        <f>(SUMIF(Ass!$I$97:$P$97,CF$7,Ass!$I102:$P102)+(CF$7&gt;Ass!$P$97)*(CF$7&lt;=Ass!$Q$97)*Ass!$Q102)*CPI</f>
        <v>1632592.4554465637</v>
      </c>
      <c r="CG23" s="15">
        <f>(SUMIF(Ass!$I$97:$P$97,CG$7,Ass!$I102:$P102)+(CG$7&gt;Ass!$P$97)*(CG$7&lt;=Ass!$Q$97)*Ass!$Q102)*CPI</f>
        <v>1643902.53006299</v>
      </c>
      <c r="CH23" s="15">
        <f>(SUMIF(Ass!$I$97:$P$97,CH$7,Ass!$I102:$P102)+(CH$7&gt;Ass!$P$97)*(CH$7&lt;=Ass!$Q$97)*Ass!$Q102)*CPI</f>
        <v>1655290.9572329898</v>
      </c>
      <c r="CI23" s="15">
        <f>(SUMIF(Ass!$I$97:$P$97,CI$7,Ass!$I102:$P102)+(CI$7&gt;Ass!$P$97)*(CI$7&lt;=Ass!$Q$97)*Ass!$Q102)*CPI</f>
        <v>1666758.2797578145</v>
      </c>
      <c r="CJ23" s="15">
        <f>(SUMIF(Ass!$I$97:$P$97,CJ$7,Ass!$I102:$P102)+(CJ$7&gt;Ass!$P$97)*(CJ$7&lt;=Ass!$Q$97)*Ass!$Q102)*CPI</f>
        <v>1678305.0441990667</v>
      </c>
      <c r="CK23" s="15">
        <f>(SUMIF(Ass!$I$97:$P$97,CK$7,Ass!$I102:$P102)+(CK$7&gt;Ass!$P$97)*(CK$7&lt;=Ass!$Q$97)*Ass!$Q102)*CPI</f>
        <v>1689931.8009047529</v>
      </c>
      <c r="CL23" s="15">
        <f>(SUMIF(Ass!$I$97:$P$97,CL$7,Ass!$I102:$P102)+(CL$7&gt;Ass!$P$97)*(CL$7&lt;=Ass!$Q$97)*Ass!$Q102)*CPI</f>
        <v>1701639.104035513</v>
      </c>
      <c r="CM23" s="15">
        <f>(SUMIF(Ass!$I$97:$P$97,CM$7,Ass!$I102:$P102)+(CM$7&gt;Ass!$P$97)*(CM$7&lt;=Ass!$Q$97)*Ass!$Q102)*CPI</f>
        <v>1713427.5115910326</v>
      </c>
      <c r="CN23" s="15">
        <f>(SUMIF(Ass!$I$97:$P$97,CN$7,Ass!$I102:$P102)+(CN$7&gt;Ass!$P$97)*(CN$7&lt;=Ass!$Q$97)*Ass!$Q102)*CPI</f>
        <v>0</v>
      </c>
    </row>
    <row r="24" spans="1:92" ht="12.75" customHeight="1" x14ac:dyDescent="0.3">
      <c r="D24" s="50" t="s">
        <v>104</v>
      </c>
      <c r="H24" s="16" t="s">
        <v>1</v>
      </c>
      <c r="J24" s="59">
        <f t="shared" si="7"/>
        <v>108643621.39060706</v>
      </c>
      <c r="L24" s="50">
        <f>SUM(L19:L23)</f>
        <v>0</v>
      </c>
      <c r="M24" s="50">
        <f t="shared" ref="M24:BX24" si="8">SUM(M19:M23)</f>
        <v>1000000</v>
      </c>
      <c r="N24" s="50">
        <f t="shared" si="8"/>
        <v>2920090.2658089679</v>
      </c>
      <c r="O24" s="50">
        <f t="shared" si="8"/>
        <v>2027806.6969018518</v>
      </c>
      <c r="P24" s="50">
        <f t="shared" si="8"/>
        <v>2041854.6884708046</v>
      </c>
      <c r="Q24" s="50">
        <f t="shared" si="8"/>
        <v>1027999.9999999998</v>
      </c>
      <c r="R24" s="50">
        <f t="shared" si="8"/>
        <v>1035121.6528453855</v>
      </c>
      <c r="S24" s="50">
        <f t="shared" si="8"/>
        <v>1042292.6422075516</v>
      </c>
      <c r="T24" s="50">
        <f t="shared" si="8"/>
        <v>1049513.3098739933</v>
      </c>
      <c r="U24" s="50">
        <f t="shared" si="8"/>
        <v>1056783.9999999995</v>
      </c>
      <c r="V24" s="50">
        <f t="shared" si="8"/>
        <v>1064105.059125056</v>
      </c>
      <c r="W24" s="50">
        <f t="shared" si="8"/>
        <v>1071476.8361893627</v>
      </c>
      <c r="X24" s="50">
        <f t="shared" si="8"/>
        <v>1078899.6825504648</v>
      </c>
      <c r="Y24" s="50">
        <f t="shared" si="8"/>
        <v>1086373.9519999993</v>
      </c>
      <c r="Z24" s="50">
        <f t="shared" si="8"/>
        <v>1093900.0007805575</v>
      </c>
      <c r="AA24" s="50">
        <f t="shared" si="8"/>
        <v>1101478.1876026648</v>
      </c>
      <c r="AB24" s="50">
        <f t="shared" si="8"/>
        <v>1109108.8736618778</v>
      </c>
      <c r="AC24" s="50">
        <f t="shared" si="8"/>
        <v>1116792.4226559992</v>
      </c>
      <c r="AD24" s="50">
        <f t="shared" si="8"/>
        <v>1124529.2008024128</v>
      </c>
      <c r="AE24" s="50">
        <f t="shared" si="8"/>
        <v>1132319.5768555391</v>
      </c>
      <c r="AF24" s="50">
        <f t="shared" si="8"/>
        <v>1140163.92212441</v>
      </c>
      <c r="AG24" s="50">
        <f t="shared" si="8"/>
        <v>1148062.6104903666</v>
      </c>
      <c r="AH24" s="50">
        <f t="shared" si="8"/>
        <v>1156016.01842488</v>
      </c>
      <c r="AI24" s="50">
        <f t="shared" si="8"/>
        <v>1164024.5250074938</v>
      </c>
      <c r="AJ24" s="50">
        <f t="shared" si="8"/>
        <v>1172088.511943893</v>
      </c>
      <c r="AK24" s="50">
        <f t="shared" si="8"/>
        <v>1180208.3635840965</v>
      </c>
      <c r="AL24" s="50">
        <f t="shared" si="8"/>
        <v>1188384.4669407762</v>
      </c>
      <c r="AM24" s="50">
        <f t="shared" si="8"/>
        <v>1196617.2117077033</v>
      </c>
      <c r="AN24" s="50">
        <f t="shared" si="8"/>
        <v>1204906.9902783216</v>
      </c>
      <c r="AO24" s="50">
        <f t="shared" si="8"/>
        <v>1213254.1977644509</v>
      </c>
      <c r="AP24" s="50">
        <f t="shared" si="8"/>
        <v>1221659.2320151175</v>
      </c>
      <c r="AQ24" s="50">
        <f t="shared" si="8"/>
        <v>1230122.4936355187</v>
      </c>
      <c r="AR24" s="50">
        <f t="shared" si="8"/>
        <v>1238644.3860061143</v>
      </c>
      <c r="AS24" s="50">
        <f t="shared" si="8"/>
        <v>1247225.3153018551</v>
      </c>
      <c r="AT24" s="50">
        <f t="shared" si="8"/>
        <v>1255865.6905115405</v>
      </c>
      <c r="AU24" s="50">
        <f t="shared" si="8"/>
        <v>1264565.9234573126</v>
      </c>
      <c r="AV24" s="50">
        <f t="shared" si="8"/>
        <v>1273326.428814285</v>
      </c>
      <c r="AW24" s="50">
        <f t="shared" si="8"/>
        <v>1282147.6241303065</v>
      </c>
      <c r="AX24" s="50">
        <f t="shared" si="8"/>
        <v>1291029.9298458633</v>
      </c>
      <c r="AY24" s="50">
        <f t="shared" si="8"/>
        <v>1299973.769314117</v>
      </c>
      <c r="AZ24" s="50">
        <f t="shared" si="8"/>
        <v>1308979.5688210847</v>
      </c>
      <c r="BA24" s="50">
        <f t="shared" si="8"/>
        <v>1318047.7576059548</v>
      </c>
      <c r="BB24" s="50">
        <f t="shared" si="8"/>
        <v>1327178.7678815469</v>
      </c>
      <c r="BC24" s="50">
        <f t="shared" si="8"/>
        <v>1336373.034854912</v>
      </c>
      <c r="BD24" s="50">
        <f t="shared" si="8"/>
        <v>1345630.9967480747</v>
      </c>
      <c r="BE24" s="50">
        <f t="shared" si="8"/>
        <v>1354953.0948189211</v>
      </c>
      <c r="BF24" s="50">
        <f t="shared" si="8"/>
        <v>1364339.7733822297</v>
      </c>
      <c r="BG24" s="50">
        <f t="shared" si="8"/>
        <v>1373791.479830849</v>
      </c>
      <c r="BH24" s="50">
        <f t="shared" si="8"/>
        <v>1383308.6646570202</v>
      </c>
      <c r="BI24" s="50">
        <f t="shared" si="8"/>
        <v>1392891.7814738504</v>
      </c>
      <c r="BJ24" s="50">
        <f t="shared" si="8"/>
        <v>1402541.2870369318</v>
      </c>
      <c r="BK24" s="50">
        <f t="shared" si="8"/>
        <v>1412257.6412661122</v>
      </c>
      <c r="BL24" s="50">
        <f t="shared" si="8"/>
        <v>1422041.3072674163</v>
      </c>
      <c r="BM24" s="50">
        <f t="shared" si="8"/>
        <v>1431892.7513551177</v>
      </c>
      <c r="BN24" s="50">
        <f t="shared" si="8"/>
        <v>1441812.4430739654</v>
      </c>
      <c r="BO24" s="50">
        <f t="shared" si="8"/>
        <v>1451800.8552215628</v>
      </c>
      <c r="BP24" s="50">
        <f t="shared" si="8"/>
        <v>1461858.4638709035</v>
      </c>
      <c r="BQ24" s="50">
        <f t="shared" si="8"/>
        <v>1471985.7483930606</v>
      </c>
      <c r="BR24" s="50">
        <f t="shared" si="8"/>
        <v>1482183.1914800361</v>
      </c>
      <c r="BS24" s="50">
        <f t="shared" si="8"/>
        <v>1492451.2791677664</v>
      </c>
      <c r="BT24" s="50">
        <f t="shared" si="8"/>
        <v>1502790.5008592885</v>
      </c>
      <c r="BU24" s="50">
        <f t="shared" si="8"/>
        <v>1513201.3493480661</v>
      </c>
      <c r="BV24" s="50">
        <f t="shared" si="8"/>
        <v>1523684.3208414768</v>
      </c>
      <c r="BW24" s="50">
        <f t="shared" si="8"/>
        <v>1534239.9149844635</v>
      </c>
      <c r="BX24" s="50">
        <f t="shared" si="8"/>
        <v>1544868.6348833481</v>
      </c>
      <c r="BY24" s="50">
        <f t="shared" ref="BY24:CN24" si="9">SUM(BY19:BY23)</f>
        <v>1555570.9871298117</v>
      </c>
      <c r="BZ24" s="50">
        <f t="shared" si="9"/>
        <v>1566347.4818250379</v>
      </c>
      <c r="CA24" s="50">
        <f t="shared" si="9"/>
        <v>1577198.6326040281</v>
      </c>
      <c r="CB24" s="50">
        <f t="shared" si="9"/>
        <v>1588124.9566600816</v>
      </c>
      <c r="CC24" s="50">
        <f t="shared" si="9"/>
        <v>1599126.9747694458</v>
      </c>
      <c r="CD24" s="50">
        <f t="shared" si="9"/>
        <v>1610205.2113161385</v>
      </c>
      <c r="CE24" s="50">
        <f t="shared" si="9"/>
        <v>1621360.1943169406</v>
      </c>
      <c r="CF24" s="50">
        <f t="shared" si="9"/>
        <v>1632592.4554465637</v>
      </c>
      <c r="CG24" s="50">
        <f t="shared" si="9"/>
        <v>1643902.53006299</v>
      </c>
      <c r="CH24" s="50">
        <f t="shared" si="9"/>
        <v>1655290.9572329898</v>
      </c>
      <c r="CI24" s="50">
        <f t="shared" si="9"/>
        <v>1666758.2797578145</v>
      </c>
      <c r="CJ24" s="50">
        <f t="shared" si="9"/>
        <v>1678305.0441990667</v>
      </c>
      <c r="CK24" s="50">
        <f t="shared" si="9"/>
        <v>1689931.8009047529</v>
      </c>
      <c r="CL24" s="50">
        <f t="shared" si="9"/>
        <v>1701639.104035513</v>
      </c>
      <c r="CM24" s="50">
        <f t="shared" si="9"/>
        <v>1713427.5115910326</v>
      </c>
      <c r="CN24" s="50">
        <f t="shared" si="9"/>
        <v>0</v>
      </c>
    </row>
    <row r="25" spans="1:92" ht="12.75" customHeight="1" x14ac:dyDescent="0.3">
      <c r="D25" s="15"/>
      <c r="H25" s="16"/>
      <c r="J25" s="58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</row>
    <row r="26" spans="1:92" ht="13.2" x14ac:dyDescent="0.25">
      <c r="A26" s="14">
        <f>MAX(A$3:A25)+0.01</f>
        <v>3.0299999999999994</v>
      </c>
      <c r="B26" s="14"/>
      <c r="C26" s="14" t="s">
        <v>189</v>
      </c>
      <c r="D26" s="20"/>
      <c r="E26" s="14"/>
      <c r="F26" s="14"/>
      <c r="G26" s="14"/>
      <c r="H26" s="5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</row>
    <row r="27" spans="1:92" ht="12.75" customHeight="1" x14ac:dyDescent="0.3">
      <c r="C27" s="17"/>
      <c r="D27" s="15"/>
      <c r="H27" s="16"/>
      <c r="J27" s="5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</row>
    <row r="28" spans="1:92" ht="12.75" customHeight="1" x14ac:dyDescent="0.3">
      <c r="C28" s="17" t="s">
        <v>180</v>
      </c>
      <c r="D28" s="15"/>
      <c r="H28" s="16"/>
      <c r="J28" s="15"/>
    </row>
    <row r="29" spans="1:92" ht="12.75" customHeight="1" x14ac:dyDescent="0.3">
      <c r="D29" s="15" t="s">
        <v>181</v>
      </c>
      <c r="H29" s="16" t="s">
        <v>1</v>
      </c>
      <c r="J29" s="15"/>
      <c r="L29" s="15">
        <f>K32</f>
        <v>0</v>
      </c>
      <c r="M29" s="15">
        <f t="shared" ref="M29:T29" si="10">L32</f>
        <v>168400000</v>
      </c>
      <c r="N29" s="15">
        <f t="shared" si="10"/>
        <v>157875000</v>
      </c>
      <c r="O29" s="15">
        <f t="shared" si="10"/>
        <v>147350000</v>
      </c>
      <c r="P29" s="15">
        <f t="shared" si="10"/>
        <v>136825000</v>
      </c>
      <c r="Q29" s="15">
        <f t="shared" si="10"/>
        <v>126300000</v>
      </c>
      <c r="R29" s="15">
        <f t="shared" si="10"/>
        <v>115775000</v>
      </c>
      <c r="S29" s="15">
        <f t="shared" si="10"/>
        <v>105250000</v>
      </c>
      <c r="T29" s="15">
        <f t="shared" si="10"/>
        <v>94725000</v>
      </c>
      <c r="U29" s="15">
        <f t="shared" ref="U29:CF29" si="11">T32</f>
        <v>86305000</v>
      </c>
      <c r="V29" s="15">
        <f t="shared" si="11"/>
        <v>77885000</v>
      </c>
      <c r="W29" s="15">
        <f t="shared" si="11"/>
        <v>69465000</v>
      </c>
      <c r="X29" s="15">
        <f t="shared" si="11"/>
        <v>61045000</v>
      </c>
      <c r="Y29" s="15">
        <f t="shared" si="11"/>
        <v>52625000</v>
      </c>
      <c r="Z29" s="15">
        <f t="shared" si="11"/>
        <v>44205000</v>
      </c>
      <c r="AA29" s="15">
        <f t="shared" si="11"/>
        <v>35785000</v>
      </c>
      <c r="AB29" s="15">
        <f t="shared" si="11"/>
        <v>27365000</v>
      </c>
      <c r="AC29" s="15">
        <f t="shared" si="11"/>
        <v>18945000</v>
      </c>
      <c r="AD29" s="15">
        <f t="shared" si="11"/>
        <v>10525000</v>
      </c>
      <c r="AE29" s="15">
        <f t="shared" si="11"/>
        <v>2105000</v>
      </c>
      <c r="AF29" s="15">
        <f t="shared" si="11"/>
        <v>0</v>
      </c>
      <c r="AG29" s="15">
        <f t="shared" si="11"/>
        <v>0</v>
      </c>
      <c r="AH29" s="15">
        <f t="shared" si="11"/>
        <v>0</v>
      </c>
      <c r="AI29" s="15">
        <f t="shared" si="11"/>
        <v>0</v>
      </c>
      <c r="AJ29" s="15">
        <f t="shared" si="11"/>
        <v>0</v>
      </c>
      <c r="AK29" s="15">
        <f t="shared" si="11"/>
        <v>0</v>
      </c>
      <c r="AL29" s="15">
        <f t="shared" si="11"/>
        <v>0</v>
      </c>
      <c r="AM29" s="15">
        <f t="shared" si="11"/>
        <v>0</v>
      </c>
      <c r="AN29" s="15">
        <f t="shared" si="11"/>
        <v>0</v>
      </c>
      <c r="AO29" s="15">
        <f t="shared" si="11"/>
        <v>0</v>
      </c>
      <c r="AP29" s="15">
        <f t="shared" si="11"/>
        <v>0</v>
      </c>
      <c r="AQ29" s="15">
        <f t="shared" si="11"/>
        <v>0</v>
      </c>
      <c r="AR29" s="15">
        <f t="shared" si="11"/>
        <v>0</v>
      </c>
      <c r="AS29" s="15">
        <f t="shared" si="11"/>
        <v>0</v>
      </c>
      <c r="AT29" s="15">
        <f t="shared" si="11"/>
        <v>0</v>
      </c>
      <c r="AU29" s="15">
        <f t="shared" si="11"/>
        <v>0</v>
      </c>
      <c r="AV29" s="15">
        <f t="shared" si="11"/>
        <v>0</v>
      </c>
      <c r="AW29" s="15">
        <f t="shared" si="11"/>
        <v>0</v>
      </c>
      <c r="AX29" s="15">
        <f t="shared" si="11"/>
        <v>0</v>
      </c>
      <c r="AY29" s="15">
        <f t="shared" si="11"/>
        <v>0</v>
      </c>
      <c r="AZ29" s="15">
        <f t="shared" si="11"/>
        <v>0</v>
      </c>
      <c r="BA29" s="15">
        <f t="shared" si="11"/>
        <v>0</v>
      </c>
      <c r="BB29" s="15">
        <f t="shared" si="11"/>
        <v>0</v>
      </c>
      <c r="BC29" s="15">
        <f t="shared" si="11"/>
        <v>0</v>
      </c>
      <c r="BD29" s="15">
        <f t="shared" si="11"/>
        <v>0</v>
      </c>
      <c r="BE29" s="15">
        <f t="shared" si="11"/>
        <v>0</v>
      </c>
      <c r="BF29" s="15">
        <f t="shared" si="11"/>
        <v>0</v>
      </c>
      <c r="BG29" s="15">
        <f t="shared" si="11"/>
        <v>0</v>
      </c>
      <c r="BH29" s="15">
        <f t="shared" si="11"/>
        <v>0</v>
      </c>
      <c r="BI29" s="15">
        <f t="shared" si="11"/>
        <v>0</v>
      </c>
      <c r="BJ29" s="15">
        <f t="shared" si="11"/>
        <v>0</v>
      </c>
      <c r="BK29" s="15">
        <f t="shared" si="11"/>
        <v>0</v>
      </c>
      <c r="BL29" s="15">
        <f t="shared" si="11"/>
        <v>0</v>
      </c>
      <c r="BM29" s="15">
        <f t="shared" si="11"/>
        <v>0</v>
      </c>
      <c r="BN29" s="15">
        <f t="shared" si="11"/>
        <v>0</v>
      </c>
      <c r="BO29" s="15">
        <f t="shared" si="11"/>
        <v>0</v>
      </c>
      <c r="BP29" s="15">
        <f t="shared" si="11"/>
        <v>0</v>
      </c>
      <c r="BQ29" s="15">
        <f t="shared" si="11"/>
        <v>0</v>
      </c>
      <c r="BR29" s="15">
        <f t="shared" si="11"/>
        <v>0</v>
      </c>
      <c r="BS29" s="15">
        <f t="shared" si="11"/>
        <v>0</v>
      </c>
      <c r="BT29" s="15">
        <f t="shared" si="11"/>
        <v>0</v>
      </c>
      <c r="BU29" s="15">
        <f t="shared" si="11"/>
        <v>0</v>
      </c>
      <c r="BV29" s="15">
        <f t="shared" si="11"/>
        <v>0</v>
      </c>
      <c r="BW29" s="15">
        <f t="shared" si="11"/>
        <v>0</v>
      </c>
      <c r="BX29" s="15">
        <f t="shared" si="11"/>
        <v>0</v>
      </c>
      <c r="BY29" s="15">
        <f t="shared" si="11"/>
        <v>0</v>
      </c>
      <c r="BZ29" s="15">
        <f t="shared" si="11"/>
        <v>0</v>
      </c>
      <c r="CA29" s="15">
        <f t="shared" si="11"/>
        <v>0</v>
      </c>
      <c r="CB29" s="15">
        <f t="shared" si="11"/>
        <v>0</v>
      </c>
      <c r="CC29" s="15">
        <f t="shared" si="11"/>
        <v>0</v>
      </c>
      <c r="CD29" s="15">
        <f t="shared" si="11"/>
        <v>0</v>
      </c>
      <c r="CE29" s="15">
        <f t="shared" si="11"/>
        <v>0</v>
      </c>
      <c r="CF29" s="15">
        <f t="shared" si="11"/>
        <v>0</v>
      </c>
      <c r="CG29" s="15">
        <f t="shared" ref="CG29:CN29" si="12">CF32</f>
        <v>0</v>
      </c>
      <c r="CH29" s="15">
        <f t="shared" si="12"/>
        <v>0</v>
      </c>
      <c r="CI29" s="15">
        <f t="shared" si="12"/>
        <v>0</v>
      </c>
      <c r="CJ29" s="15">
        <f t="shared" si="12"/>
        <v>0</v>
      </c>
      <c r="CK29" s="15">
        <f t="shared" si="12"/>
        <v>0</v>
      </c>
      <c r="CL29" s="15">
        <f t="shared" si="12"/>
        <v>0</v>
      </c>
      <c r="CM29" s="15">
        <f t="shared" si="12"/>
        <v>0</v>
      </c>
      <c r="CN29" s="15">
        <f t="shared" si="12"/>
        <v>0</v>
      </c>
    </row>
    <row r="30" spans="1:92" ht="12.75" customHeight="1" x14ac:dyDescent="0.3">
      <c r="D30" s="15" t="s">
        <v>182</v>
      </c>
      <c r="H30" s="16" t="s">
        <v>1</v>
      </c>
      <c r="J30" s="58">
        <f>SUM(L30:CN30)</f>
        <v>168400000</v>
      </c>
      <c r="L30" s="78">
        <f>(L$7=Ass!$I$12)*Ass!$I$140</f>
        <v>168400000</v>
      </c>
      <c r="M30" s="78">
        <f>(M$7=Ass!$I$12)*Ass!$I$140</f>
        <v>0</v>
      </c>
      <c r="N30" s="78">
        <f>(N$7=Ass!$I$12)*Ass!$I$140</f>
        <v>0</v>
      </c>
      <c r="O30" s="78">
        <f>(O$7=Ass!$I$12)*Ass!$I$140</f>
        <v>0</v>
      </c>
      <c r="P30" s="78">
        <f>(P$7=Ass!$I$12)*Ass!$I$140</f>
        <v>0</v>
      </c>
      <c r="Q30" s="78">
        <f>(Q$7=Ass!$I$12)*Ass!$I$140</f>
        <v>0</v>
      </c>
      <c r="R30" s="78">
        <f>(R$7=Ass!$I$12)*Ass!$I$140</f>
        <v>0</v>
      </c>
      <c r="S30" s="78">
        <f>(S$7=Ass!$I$12)*Ass!$I$140</f>
        <v>0</v>
      </c>
      <c r="T30" s="78">
        <f>(T$7=Ass!$I$12)*Ass!$I$140</f>
        <v>0</v>
      </c>
      <c r="U30" s="78">
        <f>(U$7=Ass!$I$12)*Ass!$I$140</f>
        <v>0</v>
      </c>
      <c r="V30" s="78">
        <f>(V$7=Ass!$I$12)*Ass!$I$140</f>
        <v>0</v>
      </c>
      <c r="W30" s="78">
        <f>(W$7=Ass!$I$12)*Ass!$I$140</f>
        <v>0</v>
      </c>
      <c r="X30" s="78">
        <f>(X$7=Ass!$I$12)*Ass!$I$140</f>
        <v>0</v>
      </c>
      <c r="Y30" s="78">
        <f>(Y$7=Ass!$I$12)*Ass!$I$140</f>
        <v>0</v>
      </c>
      <c r="Z30" s="78">
        <f>(Z$7=Ass!$I$12)*Ass!$I$140</f>
        <v>0</v>
      </c>
      <c r="AA30" s="78">
        <f>(AA$7=Ass!$I$12)*Ass!$I$140</f>
        <v>0</v>
      </c>
      <c r="AB30" s="78">
        <f>(AB$7=Ass!$I$12)*Ass!$I$140</f>
        <v>0</v>
      </c>
      <c r="AC30" s="78">
        <f>(AC$7=Ass!$I$12)*Ass!$I$140</f>
        <v>0</v>
      </c>
      <c r="AD30" s="78">
        <f>(AD$7=Ass!$I$12)*Ass!$I$140</f>
        <v>0</v>
      </c>
      <c r="AE30" s="78">
        <f>(AE$7=Ass!$I$12)*Ass!$I$140</f>
        <v>0</v>
      </c>
      <c r="AF30" s="78">
        <f>(AF$7=Ass!$I$12)*Ass!$I$140</f>
        <v>0</v>
      </c>
      <c r="AG30" s="78">
        <f>(AG$7=Ass!$I$12)*Ass!$I$140</f>
        <v>0</v>
      </c>
      <c r="AH30" s="78">
        <f>(AH$7=Ass!$I$12)*Ass!$I$140</f>
        <v>0</v>
      </c>
      <c r="AI30" s="78">
        <f>(AI$7=Ass!$I$12)*Ass!$I$140</f>
        <v>0</v>
      </c>
      <c r="AJ30" s="78">
        <f>(AJ$7=Ass!$I$12)*Ass!$I$140</f>
        <v>0</v>
      </c>
      <c r="AK30" s="78">
        <f>(AK$7=Ass!$I$12)*Ass!$I$140</f>
        <v>0</v>
      </c>
      <c r="AL30" s="78">
        <f>(AL$7=Ass!$I$12)*Ass!$I$140</f>
        <v>0</v>
      </c>
      <c r="AM30" s="78">
        <f>(AM$7=Ass!$I$12)*Ass!$I$140</f>
        <v>0</v>
      </c>
      <c r="AN30" s="78">
        <f>(AN$7=Ass!$I$12)*Ass!$I$140</f>
        <v>0</v>
      </c>
      <c r="AO30" s="78">
        <f>(AO$7=Ass!$I$12)*Ass!$I$140</f>
        <v>0</v>
      </c>
      <c r="AP30" s="78">
        <f>(AP$7=Ass!$I$12)*Ass!$I$140</f>
        <v>0</v>
      </c>
      <c r="AQ30" s="78">
        <f>(AQ$7=Ass!$I$12)*Ass!$I$140</f>
        <v>0</v>
      </c>
      <c r="AR30" s="78">
        <f>(AR$7=Ass!$I$12)*Ass!$I$140</f>
        <v>0</v>
      </c>
      <c r="AS30" s="78">
        <f>(AS$7=Ass!$I$12)*Ass!$I$140</f>
        <v>0</v>
      </c>
      <c r="AT30" s="78">
        <f>(AT$7=Ass!$I$12)*Ass!$I$140</f>
        <v>0</v>
      </c>
      <c r="AU30" s="78">
        <f>(AU$7=Ass!$I$12)*Ass!$I$140</f>
        <v>0</v>
      </c>
      <c r="AV30" s="78">
        <f>(AV$7=Ass!$I$12)*Ass!$I$140</f>
        <v>0</v>
      </c>
      <c r="AW30" s="78">
        <f>(AW$7=Ass!$I$12)*Ass!$I$140</f>
        <v>0</v>
      </c>
      <c r="AX30" s="78">
        <f>(AX$7=Ass!$I$12)*Ass!$I$140</f>
        <v>0</v>
      </c>
      <c r="AY30" s="78">
        <f>(AY$7=Ass!$I$12)*Ass!$I$140</f>
        <v>0</v>
      </c>
      <c r="AZ30" s="78">
        <f>(AZ$7=Ass!$I$12)*Ass!$I$140</f>
        <v>0</v>
      </c>
      <c r="BA30" s="78">
        <f>(BA$7=Ass!$I$12)*Ass!$I$140</f>
        <v>0</v>
      </c>
      <c r="BB30" s="78">
        <f>(BB$7=Ass!$I$12)*Ass!$I$140</f>
        <v>0</v>
      </c>
      <c r="BC30" s="78">
        <f>(BC$7=Ass!$I$12)*Ass!$I$140</f>
        <v>0</v>
      </c>
      <c r="BD30" s="78">
        <f>(BD$7=Ass!$I$12)*Ass!$I$140</f>
        <v>0</v>
      </c>
      <c r="BE30" s="78">
        <f>(BE$7=Ass!$I$12)*Ass!$I$140</f>
        <v>0</v>
      </c>
      <c r="BF30" s="78">
        <f>(BF$7=Ass!$I$12)*Ass!$I$140</f>
        <v>0</v>
      </c>
      <c r="BG30" s="78">
        <f>(BG$7=Ass!$I$12)*Ass!$I$140</f>
        <v>0</v>
      </c>
      <c r="BH30" s="78">
        <f>(BH$7=Ass!$I$12)*Ass!$I$140</f>
        <v>0</v>
      </c>
      <c r="BI30" s="78">
        <f>(BI$7=Ass!$I$12)*Ass!$I$140</f>
        <v>0</v>
      </c>
      <c r="BJ30" s="78">
        <f>(BJ$7=Ass!$I$12)*Ass!$I$140</f>
        <v>0</v>
      </c>
      <c r="BK30" s="78">
        <f>(BK$7=Ass!$I$12)*Ass!$I$140</f>
        <v>0</v>
      </c>
      <c r="BL30" s="78">
        <f>(BL$7=Ass!$I$12)*Ass!$I$140</f>
        <v>0</v>
      </c>
      <c r="BM30" s="78">
        <f>(BM$7=Ass!$I$12)*Ass!$I$140</f>
        <v>0</v>
      </c>
      <c r="BN30" s="78">
        <f>(BN$7=Ass!$I$12)*Ass!$I$140</f>
        <v>0</v>
      </c>
      <c r="BO30" s="78">
        <f>(BO$7=Ass!$I$12)*Ass!$I$140</f>
        <v>0</v>
      </c>
      <c r="BP30" s="78">
        <f>(BP$7=Ass!$I$12)*Ass!$I$140</f>
        <v>0</v>
      </c>
      <c r="BQ30" s="78">
        <f>(BQ$7=Ass!$I$12)*Ass!$I$140</f>
        <v>0</v>
      </c>
      <c r="BR30" s="78">
        <f>(BR$7=Ass!$I$12)*Ass!$I$140</f>
        <v>0</v>
      </c>
      <c r="BS30" s="78">
        <f>(BS$7=Ass!$I$12)*Ass!$I$140</f>
        <v>0</v>
      </c>
      <c r="BT30" s="78">
        <f>(BT$7=Ass!$I$12)*Ass!$I$140</f>
        <v>0</v>
      </c>
      <c r="BU30" s="78">
        <f>(BU$7=Ass!$I$12)*Ass!$I$140</f>
        <v>0</v>
      </c>
      <c r="BV30" s="78">
        <f>(BV$7=Ass!$I$12)*Ass!$I$140</f>
        <v>0</v>
      </c>
      <c r="BW30" s="78">
        <f>(BW$7=Ass!$I$12)*Ass!$I$140</f>
        <v>0</v>
      </c>
      <c r="BX30" s="78">
        <f>(BX$7=Ass!$I$12)*Ass!$I$140</f>
        <v>0</v>
      </c>
      <c r="BY30" s="78">
        <f>(BY$7=Ass!$I$12)*Ass!$I$140</f>
        <v>0</v>
      </c>
      <c r="BZ30" s="78">
        <f>(BZ$7=Ass!$I$12)*Ass!$I$140</f>
        <v>0</v>
      </c>
      <c r="CA30" s="78">
        <f>(CA$7=Ass!$I$12)*Ass!$I$140</f>
        <v>0</v>
      </c>
      <c r="CB30" s="78">
        <f>(CB$7=Ass!$I$12)*Ass!$I$140</f>
        <v>0</v>
      </c>
      <c r="CC30" s="78">
        <f>(CC$7=Ass!$I$12)*Ass!$I$140</f>
        <v>0</v>
      </c>
      <c r="CD30" s="78">
        <f>(CD$7=Ass!$I$12)*Ass!$I$140</f>
        <v>0</v>
      </c>
      <c r="CE30" s="78">
        <f>(CE$7=Ass!$I$12)*Ass!$I$140</f>
        <v>0</v>
      </c>
      <c r="CF30" s="78">
        <f>(CF$7=Ass!$I$12)*Ass!$I$140</f>
        <v>0</v>
      </c>
      <c r="CG30" s="78">
        <f>(CG$7=Ass!$I$12)*Ass!$I$140</f>
        <v>0</v>
      </c>
      <c r="CH30" s="78">
        <f>(CH$7=Ass!$I$12)*Ass!$I$140</f>
        <v>0</v>
      </c>
      <c r="CI30" s="78">
        <f>(CI$7=Ass!$I$12)*Ass!$I$140</f>
        <v>0</v>
      </c>
      <c r="CJ30" s="78">
        <f>(CJ$7=Ass!$I$12)*Ass!$I$140</f>
        <v>0</v>
      </c>
      <c r="CK30" s="78">
        <f>(CK$7=Ass!$I$12)*Ass!$I$140</f>
        <v>0</v>
      </c>
      <c r="CL30" s="78">
        <f>(CL$7=Ass!$I$12)*Ass!$I$140</f>
        <v>0</v>
      </c>
      <c r="CM30" s="78">
        <f>(CM$7=Ass!$I$12)*Ass!$I$140</f>
        <v>0</v>
      </c>
      <c r="CN30" s="78">
        <f>(CN$7=Ass!$I$12)*Ass!$I$140</f>
        <v>0</v>
      </c>
    </row>
    <row r="31" spans="1:92" ht="12.75" customHeight="1" x14ac:dyDescent="0.3">
      <c r="D31" s="15" t="s">
        <v>183</v>
      </c>
      <c r="H31" s="16" t="s">
        <v>1</v>
      </c>
      <c r="J31" s="58">
        <f>SUM(L31:CN31)</f>
        <v>-168400000</v>
      </c>
      <c r="L31" s="15">
        <f>-SUMIF(Ass!$I$127:$AH$127,L$7,Ass!$I$129:$AH$129)</f>
        <v>0</v>
      </c>
      <c r="M31" s="15">
        <f>-SUMIF(Ass!$I$127:$AH$127,M$7,Ass!$I$129:$AH$129)</f>
        <v>-10525000</v>
      </c>
      <c r="N31" s="15">
        <f>-SUMIF(Ass!$I$127:$AH$127,N$7,Ass!$I$129:$AH$129)</f>
        <v>-10525000</v>
      </c>
      <c r="O31" s="15">
        <f>-SUMIF(Ass!$I$127:$AH$127,O$7,Ass!$I$129:$AH$129)</f>
        <v>-10525000</v>
      </c>
      <c r="P31" s="15">
        <f>-SUMIF(Ass!$I$127:$AH$127,P$7,Ass!$I$129:$AH$129)</f>
        <v>-10525000</v>
      </c>
      <c r="Q31" s="15">
        <f>-SUMIF(Ass!$I$127:$AH$127,Q$7,Ass!$I$129:$AH$129)</f>
        <v>-10525000</v>
      </c>
      <c r="R31" s="15">
        <f>-SUMIF(Ass!$I$127:$AH$127,R$7,Ass!$I$129:$AH$129)</f>
        <v>-10525000</v>
      </c>
      <c r="S31" s="15">
        <f>-SUMIF(Ass!$I$127:$AH$127,S$7,Ass!$I$129:$AH$129)</f>
        <v>-10525000</v>
      </c>
      <c r="T31" s="15">
        <f>-SUMIF(Ass!$I$127:$AH$127,T$7,Ass!$I$129:$AH$129)</f>
        <v>-8420000</v>
      </c>
      <c r="U31" s="15">
        <f>-SUMIF(Ass!$I$127:$AH$127,U$7,Ass!$I$129:$AH$129)</f>
        <v>-8420000</v>
      </c>
      <c r="V31" s="15">
        <f>-SUMIF(Ass!$I$127:$AH$127,V$7,Ass!$I$129:$AH$129)</f>
        <v>-8420000</v>
      </c>
      <c r="W31" s="15">
        <f>-SUMIF(Ass!$I$127:$AH$127,W$7,Ass!$I$129:$AH$129)</f>
        <v>-8420000</v>
      </c>
      <c r="X31" s="15">
        <f>-SUMIF(Ass!$I$127:$AH$127,X$7,Ass!$I$129:$AH$129)</f>
        <v>-8420000</v>
      </c>
      <c r="Y31" s="15">
        <f>-SUMIF(Ass!$I$127:$AH$127,Y$7,Ass!$I$129:$AH$129)</f>
        <v>-8420000</v>
      </c>
      <c r="Z31" s="15">
        <f>-SUMIF(Ass!$I$127:$AH$127,Z$7,Ass!$I$129:$AH$129)</f>
        <v>-8420000</v>
      </c>
      <c r="AA31" s="15">
        <f>-SUMIF(Ass!$I$127:$AH$127,AA$7,Ass!$I$129:$AH$129)</f>
        <v>-8420000</v>
      </c>
      <c r="AB31" s="15">
        <f>-SUMIF(Ass!$I$127:$AH$127,AB$7,Ass!$I$129:$AH$129)</f>
        <v>-8420000</v>
      </c>
      <c r="AC31" s="15">
        <f>-SUMIF(Ass!$I$127:$AH$127,AC$7,Ass!$I$129:$AH$129)</f>
        <v>-8420000</v>
      </c>
      <c r="AD31" s="15">
        <f>-SUMIF(Ass!$I$127:$AH$127,AD$7,Ass!$I$129:$AH$129)</f>
        <v>-8420000</v>
      </c>
      <c r="AE31" s="15">
        <f>-SUMIF(Ass!$I$127:$AH$127,AE$7,Ass!$I$129:$AH$129)</f>
        <v>-2105000</v>
      </c>
      <c r="AF31" s="15">
        <f>-SUMIF(Ass!$I$127:$AH$127,AF$7,Ass!$I$129:$AH$129)</f>
        <v>0</v>
      </c>
      <c r="AG31" s="15">
        <f>-SUMIF(Ass!$I$127:$AH$127,AG$7,Ass!$I$129:$AH$129)</f>
        <v>0</v>
      </c>
      <c r="AH31" s="15">
        <f>-SUMIF(Ass!$I$127:$AH$127,AH$7,Ass!$I$129:$AH$129)</f>
        <v>0</v>
      </c>
      <c r="AI31" s="15">
        <f>-SUMIF(Ass!$I$127:$AH$127,AI$7,Ass!$I$129:$AH$129)</f>
        <v>0</v>
      </c>
      <c r="AJ31" s="15">
        <f>-SUMIF(Ass!$I$127:$AH$127,AJ$7,Ass!$I$129:$AH$129)</f>
        <v>0</v>
      </c>
      <c r="AK31" s="15">
        <f>-SUMIF(Ass!$I$127:$AH$127,AK$7,Ass!$I$129:$AH$129)</f>
        <v>0</v>
      </c>
      <c r="AL31" s="15">
        <f>-SUMIF(Ass!$I$127:$AH$127,AL$7,Ass!$I$129:$AH$129)</f>
        <v>0</v>
      </c>
      <c r="AM31" s="15">
        <f>-SUMIF(Ass!$I$127:$AH$127,AM$7,Ass!$I$129:$AH$129)</f>
        <v>0</v>
      </c>
      <c r="AN31" s="15">
        <f>-SUMIF(Ass!$I$127:$AH$127,AN$7,Ass!$I$129:$AH$129)</f>
        <v>0</v>
      </c>
      <c r="AO31" s="15">
        <f>-SUMIF(Ass!$I$127:$AH$127,AO$7,Ass!$I$129:$AH$129)</f>
        <v>0</v>
      </c>
      <c r="AP31" s="15">
        <f>-SUMIF(Ass!$I$127:$AH$127,AP$7,Ass!$I$129:$AH$129)</f>
        <v>0</v>
      </c>
      <c r="AQ31" s="15">
        <f>-SUMIF(Ass!$I$127:$AH$127,AQ$7,Ass!$I$129:$AH$129)</f>
        <v>0</v>
      </c>
      <c r="AR31" s="15">
        <f>-SUMIF(Ass!$I$127:$AH$127,AR$7,Ass!$I$129:$AH$129)</f>
        <v>0</v>
      </c>
      <c r="AS31" s="15">
        <f>-SUMIF(Ass!$I$127:$AH$127,AS$7,Ass!$I$129:$AH$129)</f>
        <v>0</v>
      </c>
      <c r="AT31" s="15">
        <f>-SUMIF(Ass!$I$127:$AH$127,AT$7,Ass!$I$129:$AH$129)</f>
        <v>0</v>
      </c>
      <c r="AU31" s="15">
        <f>-SUMIF(Ass!$I$127:$AH$127,AU$7,Ass!$I$129:$AH$129)</f>
        <v>0</v>
      </c>
      <c r="AV31" s="15">
        <f>-SUMIF(Ass!$I$127:$AH$127,AV$7,Ass!$I$129:$AH$129)</f>
        <v>0</v>
      </c>
      <c r="AW31" s="15">
        <f>-SUMIF(Ass!$I$127:$AH$127,AW$7,Ass!$I$129:$AH$129)</f>
        <v>0</v>
      </c>
      <c r="AX31" s="15">
        <f>-SUMIF(Ass!$I$127:$AH$127,AX$7,Ass!$I$129:$AH$129)</f>
        <v>0</v>
      </c>
      <c r="AY31" s="15">
        <f>-SUMIF(Ass!$I$127:$AH$127,AY$7,Ass!$I$129:$AH$129)</f>
        <v>0</v>
      </c>
      <c r="AZ31" s="15">
        <f>-SUMIF(Ass!$I$127:$AH$127,AZ$7,Ass!$I$129:$AH$129)</f>
        <v>0</v>
      </c>
      <c r="BA31" s="15">
        <f>-SUMIF(Ass!$I$127:$AH$127,BA$7,Ass!$I$129:$AH$129)</f>
        <v>0</v>
      </c>
      <c r="BB31" s="15">
        <f>-SUMIF(Ass!$I$127:$AH$127,BB$7,Ass!$I$129:$AH$129)</f>
        <v>0</v>
      </c>
      <c r="BC31" s="15">
        <f>-SUMIF(Ass!$I$127:$AH$127,BC$7,Ass!$I$129:$AH$129)</f>
        <v>0</v>
      </c>
      <c r="BD31" s="15">
        <f>-SUMIF(Ass!$I$127:$AH$127,BD$7,Ass!$I$129:$AH$129)</f>
        <v>0</v>
      </c>
      <c r="BE31" s="15">
        <f>-SUMIF(Ass!$I$127:$AH$127,BE$7,Ass!$I$129:$AH$129)</f>
        <v>0</v>
      </c>
      <c r="BF31" s="15">
        <f>-SUMIF(Ass!$I$127:$AH$127,BF$7,Ass!$I$129:$AH$129)</f>
        <v>0</v>
      </c>
      <c r="BG31" s="15">
        <f>-SUMIF(Ass!$I$127:$AH$127,BG$7,Ass!$I$129:$AH$129)</f>
        <v>0</v>
      </c>
      <c r="BH31" s="15">
        <f>-SUMIF(Ass!$I$127:$AH$127,BH$7,Ass!$I$129:$AH$129)</f>
        <v>0</v>
      </c>
      <c r="BI31" s="15">
        <f>-SUMIF(Ass!$I$127:$AH$127,BI$7,Ass!$I$129:$AH$129)</f>
        <v>0</v>
      </c>
      <c r="BJ31" s="15">
        <f>-SUMIF(Ass!$I$127:$AH$127,BJ$7,Ass!$I$129:$AH$129)</f>
        <v>0</v>
      </c>
      <c r="BK31" s="15">
        <f>-SUMIF(Ass!$I$127:$AH$127,BK$7,Ass!$I$129:$AH$129)</f>
        <v>0</v>
      </c>
      <c r="BL31" s="15">
        <f>-SUMIF(Ass!$I$127:$AH$127,BL$7,Ass!$I$129:$AH$129)</f>
        <v>0</v>
      </c>
      <c r="BM31" s="15">
        <f>-SUMIF(Ass!$I$127:$AH$127,BM$7,Ass!$I$129:$AH$129)</f>
        <v>0</v>
      </c>
      <c r="BN31" s="15">
        <f>-SUMIF(Ass!$I$127:$AH$127,BN$7,Ass!$I$129:$AH$129)</f>
        <v>0</v>
      </c>
      <c r="BO31" s="15">
        <f>-SUMIF(Ass!$I$127:$AH$127,BO$7,Ass!$I$129:$AH$129)</f>
        <v>0</v>
      </c>
      <c r="BP31" s="15">
        <f>-SUMIF(Ass!$I$127:$AH$127,BP$7,Ass!$I$129:$AH$129)</f>
        <v>0</v>
      </c>
      <c r="BQ31" s="15">
        <f>-SUMIF(Ass!$I$127:$AH$127,BQ$7,Ass!$I$129:$AH$129)</f>
        <v>0</v>
      </c>
      <c r="BR31" s="15">
        <f>-SUMIF(Ass!$I$127:$AH$127,BR$7,Ass!$I$129:$AH$129)</f>
        <v>0</v>
      </c>
      <c r="BS31" s="15">
        <f>-SUMIF(Ass!$I$127:$AH$127,BS$7,Ass!$I$129:$AH$129)</f>
        <v>0</v>
      </c>
      <c r="BT31" s="15">
        <f>-SUMIF(Ass!$I$127:$AH$127,BT$7,Ass!$I$129:$AH$129)</f>
        <v>0</v>
      </c>
      <c r="BU31" s="15">
        <f>-SUMIF(Ass!$I$127:$AH$127,BU$7,Ass!$I$129:$AH$129)</f>
        <v>0</v>
      </c>
      <c r="BV31" s="15">
        <f>-SUMIF(Ass!$I$127:$AH$127,BV$7,Ass!$I$129:$AH$129)</f>
        <v>0</v>
      </c>
      <c r="BW31" s="15">
        <f>-SUMIF(Ass!$I$127:$AH$127,BW$7,Ass!$I$129:$AH$129)</f>
        <v>0</v>
      </c>
      <c r="BX31" s="15">
        <f>-SUMIF(Ass!$I$127:$AH$127,BX$7,Ass!$I$129:$AH$129)</f>
        <v>0</v>
      </c>
      <c r="BY31" s="15">
        <f>-SUMIF(Ass!$I$127:$AH$127,BY$7,Ass!$I$129:$AH$129)</f>
        <v>0</v>
      </c>
      <c r="BZ31" s="15">
        <f>-SUMIF(Ass!$I$127:$AH$127,BZ$7,Ass!$I$129:$AH$129)</f>
        <v>0</v>
      </c>
      <c r="CA31" s="15">
        <f>-SUMIF(Ass!$I$127:$AH$127,CA$7,Ass!$I$129:$AH$129)</f>
        <v>0</v>
      </c>
      <c r="CB31" s="15">
        <f>-SUMIF(Ass!$I$127:$AH$127,CB$7,Ass!$I$129:$AH$129)</f>
        <v>0</v>
      </c>
      <c r="CC31" s="15">
        <f>-SUMIF(Ass!$I$127:$AH$127,CC$7,Ass!$I$129:$AH$129)</f>
        <v>0</v>
      </c>
      <c r="CD31" s="15">
        <f>-SUMIF(Ass!$I$127:$AH$127,CD$7,Ass!$I$129:$AH$129)</f>
        <v>0</v>
      </c>
      <c r="CE31" s="15">
        <f>-SUMIF(Ass!$I$127:$AH$127,CE$7,Ass!$I$129:$AH$129)</f>
        <v>0</v>
      </c>
      <c r="CF31" s="15">
        <f>-SUMIF(Ass!$I$127:$AH$127,CF$7,Ass!$I$129:$AH$129)</f>
        <v>0</v>
      </c>
      <c r="CG31" s="15">
        <f>-SUMIF(Ass!$I$127:$AH$127,CG$7,Ass!$I$129:$AH$129)</f>
        <v>0</v>
      </c>
      <c r="CH31" s="15">
        <f>-SUMIF(Ass!$I$127:$AH$127,CH$7,Ass!$I$129:$AH$129)</f>
        <v>0</v>
      </c>
      <c r="CI31" s="15">
        <f>-SUMIF(Ass!$I$127:$AH$127,CI$7,Ass!$I$129:$AH$129)</f>
        <v>0</v>
      </c>
      <c r="CJ31" s="15">
        <f>-SUMIF(Ass!$I$127:$AH$127,CJ$7,Ass!$I$129:$AH$129)</f>
        <v>0</v>
      </c>
      <c r="CK31" s="15">
        <f>-SUMIF(Ass!$I$127:$AH$127,CK$7,Ass!$I$129:$AH$129)</f>
        <v>0</v>
      </c>
      <c r="CL31" s="15">
        <f>-SUMIF(Ass!$I$127:$AH$127,CL$7,Ass!$I$129:$AH$129)</f>
        <v>0</v>
      </c>
      <c r="CM31" s="15">
        <f>-SUMIF(Ass!$I$127:$AH$127,CM$7,Ass!$I$129:$AH$129)</f>
        <v>0</v>
      </c>
      <c r="CN31" s="15">
        <f>-SUMIF(Ass!$I$127:$AH$127,CN$7,Ass!$I$129:$AH$129)</f>
        <v>0</v>
      </c>
    </row>
    <row r="32" spans="1:92" ht="12.75" customHeight="1" x14ac:dyDescent="0.3">
      <c r="D32" s="50" t="s">
        <v>184</v>
      </c>
      <c r="H32" s="16" t="s">
        <v>1</v>
      </c>
      <c r="J32" s="50">
        <f t="shared" ref="J32" si="13">SUM(J29:J31)</f>
        <v>0</v>
      </c>
      <c r="L32" s="50">
        <f t="shared" ref="L32" si="14">SUM(L29:L31)</f>
        <v>168400000</v>
      </c>
      <c r="M32" s="50">
        <f t="shared" ref="M32" si="15">SUM(M29:M31)</f>
        <v>157875000</v>
      </c>
      <c r="N32" s="50">
        <f t="shared" ref="N32" si="16">SUM(N29:N31)</f>
        <v>147350000</v>
      </c>
      <c r="O32" s="50">
        <f t="shared" ref="O32" si="17">SUM(O29:O31)</f>
        <v>136825000</v>
      </c>
      <c r="P32" s="50">
        <f t="shared" ref="P32" si="18">SUM(P29:P31)</f>
        <v>126300000</v>
      </c>
      <c r="Q32" s="50">
        <f t="shared" ref="Q32" si="19">SUM(Q29:Q31)</f>
        <v>115775000</v>
      </c>
      <c r="R32" s="50">
        <f t="shared" ref="R32" si="20">SUM(R29:R31)</f>
        <v>105250000</v>
      </c>
      <c r="S32" s="50">
        <f t="shared" ref="S32" si="21">SUM(S29:S31)</f>
        <v>94725000</v>
      </c>
      <c r="T32" s="50">
        <f t="shared" ref="T32" si="22">SUM(T29:T31)</f>
        <v>86305000</v>
      </c>
      <c r="U32" s="50">
        <f t="shared" ref="U32" si="23">SUM(U29:U31)</f>
        <v>77885000</v>
      </c>
      <c r="V32" s="50">
        <f t="shared" ref="V32" si="24">SUM(V29:V31)</f>
        <v>69465000</v>
      </c>
      <c r="W32" s="50">
        <f t="shared" ref="W32" si="25">SUM(W29:W31)</f>
        <v>61045000</v>
      </c>
      <c r="X32" s="50">
        <f t="shared" ref="X32" si="26">SUM(X29:X31)</f>
        <v>52625000</v>
      </c>
      <c r="Y32" s="50">
        <f t="shared" ref="Y32" si="27">SUM(Y29:Y31)</f>
        <v>44205000</v>
      </c>
      <c r="Z32" s="50">
        <f t="shared" ref="Z32" si="28">SUM(Z29:Z31)</f>
        <v>35785000</v>
      </c>
      <c r="AA32" s="50">
        <f t="shared" ref="AA32" si="29">SUM(AA29:AA31)</f>
        <v>27365000</v>
      </c>
      <c r="AB32" s="50">
        <f t="shared" ref="AB32" si="30">SUM(AB29:AB31)</f>
        <v>18945000</v>
      </c>
      <c r="AC32" s="50">
        <f t="shared" ref="AC32" si="31">SUM(AC29:AC31)</f>
        <v>10525000</v>
      </c>
      <c r="AD32" s="50">
        <f t="shared" ref="AD32" si="32">SUM(AD29:AD31)</f>
        <v>2105000</v>
      </c>
      <c r="AE32" s="50">
        <f t="shared" ref="AE32" si="33">SUM(AE29:AE31)</f>
        <v>0</v>
      </c>
      <c r="AF32" s="50">
        <f t="shared" ref="AF32" si="34">SUM(AF29:AF31)</f>
        <v>0</v>
      </c>
      <c r="AG32" s="50">
        <f t="shared" ref="AG32" si="35">SUM(AG29:AG31)</f>
        <v>0</v>
      </c>
      <c r="AH32" s="50">
        <f t="shared" ref="AH32" si="36">SUM(AH29:AH31)</f>
        <v>0</v>
      </c>
      <c r="AI32" s="50">
        <f t="shared" ref="AI32" si="37">SUM(AI29:AI31)</f>
        <v>0</v>
      </c>
      <c r="AJ32" s="50">
        <f t="shared" ref="AJ32" si="38">SUM(AJ29:AJ31)</f>
        <v>0</v>
      </c>
      <c r="AK32" s="50">
        <f t="shared" ref="AK32" si="39">SUM(AK29:AK31)</f>
        <v>0</v>
      </c>
      <c r="AL32" s="50">
        <f t="shared" ref="AL32" si="40">SUM(AL29:AL31)</f>
        <v>0</v>
      </c>
      <c r="AM32" s="50">
        <f t="shared" ref="AM32" si="41">SUM(AM29:AM31)</f>
        <v>0</v>
      </c>
      <c r="AN32" s="50">
        <f t="shared" ref="AN32" si="42">SUM(AN29:AN31)</f>
        <v>0</v>
      </c>
      <c r="AO32" s="50">
        <f t="shared" ref="AO32" si="43">SUM(AO29:AO31)</f>
        <v>0</v>
      </c>
      <c r="AP32" s="50">
        <f t="shared" ref="AP32" si="44">SUM(AP29:AP31)</f>
        <v>0</v>
      </c>
      <c r="AQ32" s="50">
        <f t="shared" ref="AQ32" si="45">SUM(AQ29:AQ31)</f>
        <v>0</v>
      </c>
      <c r="AR32" s="50">
        <f t="shared" ref="AR32" si="46">SUM(AR29:AR31)</f>
        <v>0</v>
      </c>
      <c r="AS32" s="50">
        <f t="shared" ref="AS32" si="47">SUM(AS29:AS31)</f>
        <v>0</v>
      </c>
      <c r="AT32" s="50">
        <f t="shared" ref="AT32" si="48">SUM(AT29:AT31)</f>
        <v>0</v>
      </c>
      <c r="AU32" s="50">
        <f t="shared" ref="AU32" si="49">SUM(AU29:AU31)</f>
        <v>0</v>
      </c>
      <c r="AV32" s="50">
        <f t="shared" ref="AV32" si="50">SUM(AV29:AV31)</f>
        <v>0</v>
      </c>
      <c r="AW32" s="50">
        <f t="shared" ref="AW32" si="51">SUM(AW29:AW31)</f>
        <v>0</v>
      </c>
      <c r="AX32" s="50">
        <f t="shared" ref="AX32" si="52">SUM(AX29:AX31)</f>
        <v>0</v>
      </c>
      <c r="AY32" s="50">
        <f t="shared" ref="AY32" si="53">SUM(AY29:AY31)</f>
        <v>0</v>
      </c>
      <c r="AZ32" s="50">
        <f t="shared" ref="AZ32" si="54">SUM(AZ29:AZ31)</f>
        <v>0</v>
      </c>
      <c r="BA32" s="50">
        <f t="shared" ref="BA32" si="55">SUM(BA29:BA31)</f>
        <v>0</v>
      </c>
      <c r="BB32" s="50">
        <f t="shared" ref="BB32" si="56">SUM(BB29:BB31)</f>
        <v>0</v>
      </c>
      <c r="BC32" s="50">
        <f t="shared" ref="BC32" si="57">SUM(BC29:BC31)</f>
        <v>0</v>
      </c>
      <c r="BD32" s="50">
        <f t="shared" ref="BD32" si="58">SUM(BD29:BD31)</f>
        <v>0</v>
      </c>
      <c r="BE32" s="50">
        <f t="shared" ref="BE32" si="59">SUM(BE29:BE31)</f>
        <v>0</v>
      </c>
      <c r="BF32" s="50">
        <f t="shared" ref="BF32" si="60">SUM(BF29:BF31)</f>
        <v>0</v>
      </c>
      <c r="BG32" s="50">
        <f t="shared" ref="BG32" si="61">SUM(BG29:BG31)</f>
        <v>0</v>
      </c>
      <c r="BH32" s="50">
        <f t="shared" ref="BH32" si="62">SUM(BH29:BH31)</f>
        <v>0</v>
      </c>
      <c r="BI32" s="50">
        <f t="shared" ref="BI32" si="63">SUM(BI29:BI31)</f>
        <v>0</v>
      </c>
      <c r="BJ32" s="50">
        <f t="shared" ref="BJ32" si="64">SUM(BJ29:BJ31)</f>
        <v>0</v>
      </c>
      <c r="BK32" s="50">
        <f t="shared" ref="BK32" si="65">SUM(BK29:BK31)</f>
        <v>0</v>
      </c>
      <c r="BL32" s="50">
        <f t="shared" ref="BL32" si="66">SUM(BL29:BL31)</f>
        <v>0</v>
      </c>
      <c r="BM32" s="50">
        <f t="shared" ref="BM32" si="67">SUM(BM29:BM31)</f>
        <v>0</v>
      </c>
      <c r="BN32" s="50">
        <f t="shared" ref="BN32" si="68">SUM(BN29:BN31)</f>
        <v>0</v>
      </c>
      <c r="BO32" s="50">
        <f t="shared" ref="BO32" si="69">SUM(BO29:BO31)</f>
        <v>0</v>
      </c>
      <c r="BP32" s="50">
        <f t="shared" ref="BP32" si="70">SUM(BP29:BP31)</f>
        <v>0</v>
      </c>
      <c r="BQ32" s="50">
        <f t="shared" ref="BQ32" si="71">SUM(BQ29:BQ31)</f>
        <v>0</v>
      </c>
      <c r="BR32" s="50">
        <f t="shared" ref="BR32" si="72">SUM(BR29:BR31)</f>
        <v>0</v>
      </c>
      <c r="BS32" s="50">
        <f t="shared" ref="BS32" si="73">SUM(BS29:BS31)</f>
        <v>0</v>
      </c>
      <c r="BT32" s="50">
        <f t="shared" ref="BT32" si="74">SUM(BT29:BT31)</f>
        <v>0</v>
      </c>
      <c r="BU32" s="50">
        <f t="shared" ref="BU32" si="75">SUM(BU29:BU31)</f>
        <v>0</v>
      </c>
      <c r="BV32" s="50">
        <f t="shared" ref="BV32" si="76">SUM(BV29:BV31)</f>
        <v>0</v>
      </c>
      <c r="BW32" s="50">
        <f t="shared" ref="BW32" si="77">SUM(BW29:BW31)</f>
        <v>0</v>
      </c>
      <c r="BX32" s="50">
        <f t="shared" ref="BX32" si="78">SUM(BX29:BX31)</f>
        <v>0</v>
      </c>
      <c r="BY32" s="50">
        <f t="shared" ref="BY32" si="79">SUM(BY29:BY31)</f>
        <v>0</v>
      </c>
      <c r="BZ32" s="50">
        <f t="shared" ref="BZ32" si="80">SUM(BZ29:BZ31)</f>
        <v>0</v>
      </c>
      <c r="CA32" s="50">
        <f t="shared" ref="CA32" si="81">SUM(CA29:CA31)</f>
        <v>0</v>
      </c>
      <c r="CB32" s="50">
        <f t="shared" ref="CB32" si="82">SUM(CB29:CB31)</f>
        <v>0</v>
      </c>
      <c r="CC32" s="50">
        <f t="shared" ref="CC32" si="83">SUM(CC29:CC31)</f>
        <v>0</v>
      </c>
      <c r="CD32" s="50">
        <f t="shared" ref="CD32" si="84">SUM(CD29:CD31)</f>
        <v>0</v>
      </c>
      <c r="CE32" s="50">
        <f t="shared" ref="CE32" si="85">SUM(CE29:CE31)</f>
        <v>0</v>
      </c>
      <c r="CF32" s="50">
        <f t="shared" ref="CF32" si="86">SUM(CF29:CF31)</f>
        <v>0</v>
      </c>
      <c r="CG32" s="50">
        <f t="shared" ref="CG32" si="87">SUM(CG29:CG31)</f>
        <v>0</v>
      </c>
      <c r="CH32" s="50">
        <f t="shared" ref="CH32" si="88">SUM(CH29:CH31)</f>
        <v>0</v>
      </c>
      <c r="CI32" s="50">
        <f t="shared" ref="CI32" si="89">SUM(CI29:CI31)</f>
        <v>0</v>
      </c>
      <c r="CJ32" s="50">
        <f t="shared" ref="CJ32" si="90">SUM(CJ29:CJ31)</f>
        <v>0</v>
      </c>
      <c r="CK32" s="50">
        <f t="shared" ref="CK32" si="91">SUM(CK29:CK31)</f>
        <v>0</v>
      </c>
      <c r="CL32" s="50">
        <f t="shared" ref="CL32" si="92">SUM(CL29:CL31)</f>
        <v>0</v>
      </c>
      <c r="CM32" s="50">
        <f t="shared" ref="CM32" si="93">SUM(CM29:CM31)</f>
        <v>0</v>
      </c>
      <c r="CN32" s="50">
        <f t="shared" ref="CN32" si="94">SUM(CN29:CN31)</f>
        <v>0</v>
      </c>
    </row>
    <row r="33" spans="1:92" ht="12.75" customHeight="1" x14ac:dyDescent="0.3">
      <c r="D33" s="15"/>
      <c r="H33" s="16"/>
      <c r="J33" s="15"/>
    </row>
    <row r="34" spans="1:92" ht="12.75" customHeight="1" x14ac:dyDescent="0.3">
      <c r="C34" s="17" t="s">
        <v>185</v>
      </c>
      <c r="D34" s="15"/>
      <c r="H34" s="16"/>
      <c r="J34" s="15"/>
    </row>
    <row r="35" spans="1:92" ht="12.75" customHeight="1" x14ac:dyDescent="0.3">
      <c r="D35" s="15" t="s">
        <v>181</v>
      </c>
      <c r="H35" s="16" t="s">
        <v>1</v>
      </c>
      <c r="J35" s="15"/>
      <c r="L35" s="15">
        <f>K38</f>
        <v>0</v>
      </c>
      <c r="M35" s="15">
        <f t="shared" ref="M35:T35" si="95">L38</f>
        <v>42535013.505508944</v>
      </c>
      <c r="N35" s="15">
        <f t="shared" si="95"/>
        <v>36336285.681508943</v>
      </c>
      <c r="O35" s="15">
        <f t="shared" si="95"/>
        <v>30757430.63990894</v>
      </c>
      <c r="P35" s="15">
        <f t="shared" si="95"/>
        <v>25736461.102468938</v>
      </c>
      <c r="Q35" s="15">
        <f t="shared" si="95"/>
        <v>21217588.518772934</v>
      </c>
      <c r="R35" s="15">
        <f t="shared" si="95"/>
        <v>17150603.193446532</v>
      </c>
      <c r="S35" s="15">
        <f t="shared" si="95"/>
        <v>13490316.40065277</v>
      </c>
      <c r="T35" s="15">
        <f t="shared" si="95"/>
        <v>10196058.287138384</v>
      </c>
      <c r="U35" s="15">
        <f t="shared" ref="U35:CF35" si="96">T38</f>
        <v>7231225.9849754358</v>
      </c>
      <c r="V35" s="15">
        <f t="shared" si="96"/>
        <v>4562876.9130287822</v>
      </c>
      <c r="W35" s="15">
        <f t="shared" si="96"/>
        <v>2161362.7482767934</v>
      </c>
      <c r="X35" s="15">
        <f t="shared" si="96"/>
        <v>0</v>
      </c>
      <c r="Y35" s="15">
        <f t="shared" si="96"/>
        <v>0</v>
      </c>
      <c r="Z35" s="15">
        <f t="shared" si="96"/>
        <v>0</v>
      </c>
      <c r="AA35" s="15">
        <f t="shared" si="96"/>
        <v>0</v>
      </c>
      <c r="AB35" s="15">
        <f t="shared" si="96"/>
        <v>0</v>
      </c>
      <c r="AC35" s="15">
        <f t="shared" si="96"/>
        <v>0</v>
      </c>
      <c r="AD35" s="15">
        <f t="shared" si="96"/>
        <v>0</v>
      </c>
      <c r="AE35" s="15">
        <f t="shared" si="96"/>
        <v>0</v>
      </c>
      <c r="AF35" s="15">
        <f t="shared" si="96"/>
        <v>0</v>
      </c>
      <c r="AG35" s="15">
        <f t="shared" si="96"/>
        <v>0</v>
      </c>
      <c r="AH35" s="15">
        <f t="shared" si="96"/>
        <v>0</v>
      </c>
      <c r="AI35" s="15">
        <f t="shared" si="96"/>
        <v>0</v>
      </c>
      <c r="AJ35" s="15">
        <f t="shared" si="96"/>
        <v>0</v>
      </c>
      <c r="AK35" s="15">
        <f t="shared" si="96"/>
        <v>0</v>
      </c>
      <c r="AL35" s="15">
        <f t="shared" si="96"/>
        <v>0</v>
      </c>
      <c r="AM35" s="15">
        <f t="shared" si="96"/>
        <v>0</v>
      </c>
      <c r="AN35" s="15">
        <f t="shared" si="96"/>
        <v>0</v>
      </c>
      <c r="AO35" s="15">
        <f t="shared" si="96"/>
        <v>0</v>
      </c>
      <c r="AP35" s="15">
        <f t="shared" si="96"/>
        <v>0</v>
      </c>
      <c r="AQ35" s="15">
        <f t="shared" si="96"/>
        <v>0</v>
      </c>
      <c r="AR35" s="15">
        <f t="shared" si="96"/>
        <v>0</v>
      </c>
      <c r="AS35" s="15">
        <f t="shared" si="96"/>
        <v>0</v>
      </c>
      <c r="AT35" s="15">
        <f t="shared" si="96"/>
        <v>0</v>
      </c>
      <c r="AU35" s="15">
        <f t="shared" si="96"/>
        <v>0</v>
      </c>
      <c r="AV35" s="15">
        <f t="shared" si="96"/>
        <v>0</v>
      </c>
      <c r="AW35" s="15">
        <f t="shared" si="96"/>
        <v>0</v>
      </c>
      <c r="AX35" s="15">
        <f t="shared" si="96"/>
        <v>0</v>
      </c>
      <c r="AY35" s="15">
        <f t="shared" si="96"/>
        <v>0</v>
      </c>
      <c r="AZ35" s="15">
        <f t="shared" si="96"/>
        <v>0</v>
      </c>
      <c r="BA35" s="15">
        <f t="shared" si="96"/>
        <v>0</v>
      </c>
      <c r="BB35" s="15">
        <f t="shared" si="96"/>
        <v>0</v>
      </c>
      <c r="BC35" s="15">
        <f t="shared" si="96"/>
        <v>0</v>
      </c>
      <c r="BD35" s="15">
        <f t="shared" si="96"/>
        <v>0</v>
      </c>
      <c r="BE35" s="15">
        <f t="shared" si="96"/>
        <v>0</v>
      </c>
      <c r="BF35" s="15">
        <f t="shared" si="96"/>
        <v>0</v>
      </c>
      <c r="BG35" s="15">
        <f t="shared" si="96"/>
        <v>0</v>
      </c>
      <c r="BH35" s="15">
        <f t="shared" si="96"/>
        <v>0</v>
      </c>
      <c r="BI35" s="15">
        <f t="shared" si="96"/>
        <v>0</v>
      </c>
      <c r="BJ35" s="15">
        <f t="shared" si="96"/>
        <v>0</v>
      </c>
      <c r="BK35" s="15">
        <f t="shared" si="96"/>
        <v>0</v>
      </c>
      <c r="BL35" s="15">
        <f t="shared" si="96"/>
        <v>0</v>
      </c>
      <c r="BM35" s="15">
        <f t="shared" si="96"/>
        <v>0</v>
      </c>
      <c r="BN35" s="15">
        <f t="shared" si="96"/>
        <v>0</v>
      </c>
      <c r="BO35" s="15">
        <f t="shared" si="96"/>
        <v>0</v>
      </c>
      <c r="BP35" s="15">
        <f t="shared" si="96"/>
        <v>0</v>
      </c>
      <c r="BQ35" s="15">
        <f t="shared" si="96"/>
        <v>0</v>
      </c>
      <c r="BR35" s="15">
        <f t="shared" si="96"/>
        <v>0</v>
      </c>
      <c r="BS35" s="15">
        <f t="shared" si="96"/>
        <v>0</v>
      </c>
      <c r="BT35" s="15">
        <f t="shared" si="96"/>
        <v>0</v>
      </c>
      <c r="BU35" s="15">
        <f t="shared" si="96"/>
        <v>0</v>
      </c>
      <c r="BV35" s="15">
        <f t="shared" si="96"/>
        <v>0</v>
      </c>
      <c r="BW35" s="15">
        <f t="shared" si="96"/>
        <v>0</v>
      </c>
      <c r="BX35" s="15">
        <f t="shared" si="96"/>
        <v>0</v>
      </c>
      <c r="BY35" s="15">
        <f t="shared" si="96"/>
        <v>0</v>
      </c>
      <c r="BZ35" s="15">
        <f t="shared" si="96"/>
        <v>0</v>
      </c>
      <c r="CA35" s="15">
        <f t="shared" si="96"/>
        <v>0</v>
      </c>
      <c r="CB35" s="15">
        <f t="shared" si="96"/>
        <v>0</v>
      </c>
      <c r="CC35" s="15">
        <f t="shared" si="96"/>
        <v>0</v>
      </c>
      <c r="CD35" s="15">
        <f t="shared" si="96"/>
        <v>0</v>
      </c>
      <c r="CE35" s="15">
        <f t="shared" si="96"/>
        <v>0</v>
      </c>
      <c r="CF35" s="15">
        <f t="shared" si="96"/>
        <v>0</v>
      </c>
      <c r="CG35" s="15">
        <f t="shared" ref="CG35:CN35" si="97">CF38</f>
        <v>0</v>
      </c>
      <c r="CH35" s="15">
        <f t="shared" si="97"/>
        <v>0</v>
      </c>
      <c r="CI35" s="15">
        <f t="shared" si="97"/>
        <v>0</v>
      </c>
      <c r="CJ35" s="15">
        <f t="shared" si="97"/>
        <v>0</v>
      </c>
      <c r="CK35" s="15">
        <f t="shared" si="97"/>
        <v>0</v>
      </c>
      <c r="CL35" s="15">
        <f t="shared" si="97"/>
        <v>0</v>
      </c>
      <c r="CM35" s="15">
        <f t="shared" si="97"/>
        <v>0</v>
      </c>
      <c r="CN35" s="15">
        <f t="shared" si="97"/>
        <v>0</v>
      </c>
    </row>
    <row r="36" spans="1:92" ht="12.75" customHeight="1" x14ac:dyDescent="0.3">
      <c r="D36" s="15" t="s">
        <v>182</v>
      </c>
      <c r="H36" s="16" t="s">
        <v>1</v>
      </c>
      <c r="J36" s="58">
        <f>SUM(L36:CN36)</f>
        <v>42535013.505508944</v>
      </c>
      <c r="L36" s="78">
        <f>(L$7=Ass!$I$12)*Ass!$I$131</f>
        <v>42535013.505508944</v>
      </c>
      <c r="M36" s="78">
        <f>(M$7=Ass!$I$12)*Ass!$I$131</f>
        <v>0</v>
      </c>
      <c r="N36" s="78">
        <f>(N$7=Ass!$I$12)*Ass!$I$131</f>
        <v>0</v>
      </c>
      <c r="O36" s="78">
        <f>(O$7=Ass!$I$12)*Ass!$I$131</f>
        <v>0</v>
      </c>
      <c r="P36" s="78">
        <f>(P$7=Ass!$I$12)*Ass!$I$131</f>
        <v>0</v>
      </c>
      <c r="Q36" s="78">
        <f>(Q$7=Ass!$I$12)*Ass!$I$131</f>
        <v>0</v>
      </c>
      <c r="R36" s="78">
        <f>(R$7=Ass!$I$12)*Ass!$I$131</f>
        <v>0</v>
      </c>
      <c r="S36" s="78">
        <f>(S$7=Ass!$I$12)*Ass!$I$131</f>
        <v>0</v>
      </c>
      <c r="T36" s="78">
        <f>(T$7=Ass!$I$12)*Ass!$I$131</f>
        <v>0</v>
      </c>
      <c r="U36" s="78">
        <f>(U$7=Ass!$I$12)*Ass!$I$131</f>
        <v>0</v>
      </c>
      <c r="V36" s="78">
        <f>(V$7=Ass!$I$12)*Ass!$I$131</f>
        <v>0</v>
      </c>
      <c r="W36" s="78">
        <f>(W$7=Ass!$I$12)*Ass!$I$131</f>
        <v>0</v>
      </c>
      <c r="X36" s="78">
        <f>(X$7=Ass!$I$12)*Ass!$I$131</f>
        <v>0</v>
      </c>
      <c r="Y36" s="78">
        <f>(Y$7=Ass!$I$12)*Ass!$I$131</f>
        <v>0</v>
      </c>
      <c r="Z36" s="78">
        <f>(Z$7=Ass!$I$12)*Ass!$I$131</f>
        <v>0</v>
      </c>
      <c r="AA36" s="78">
        <f>(AA$7=Ass!$I$12)*Ass!$I$131</f>
        <v>0</v>
      </c>
      <c r="AB36" s="78">
        <f>(AB$7=Ass!$I$12)*Ass!$I$131</f>
        <v>0</v>
      </c>
      <c r="AC36" s="78">
        <f>(AC$7=Ass!$I$12)*Ass!$I$131</f>
        <v>0</v>
      </c>
      <c r="AD36" s="78">
        <f>(AD$7=Ass!$I$12)*Ass!$I$131</f>
        <v>0</v>
      </c>
      <c r="AE36" s="78">
        <f>(AE$7=Ass!$I$12)*Ass!$I$131</f>
        <v>0</v>
      </c>
      <c r="AF36" s="78">
        <f>(AF$7=Ass!$I$12)*Ass!$I$131</f>
        <v>0</v>
      </c>
      <c r="AG36" s="78">
        <f>(AG$7=Ass!$I$12)*Ass!$I$131</f>
        <v>0</v>
      </c>
      <c r="AH36" s="78">
        <f>(AH$7=Ass!$I$12)*Ass!$I$131</f>
        <v>0</v>
      </c>
      <c r="AI36" s="78">
        <f>(AI$7=Ass!$I$12)*Ass!$I$131</f>
        <v>0</v>
      </c>
      <c r="AJ36" s="78">
        <f>(AJ$7=Ass!$I$12)*Ass!$I$131</f>
        <v>0</v>
      </c>
      <c r="AK36" s="78">
        <f>(AK$7=Ass!$I$12)*Ass!$I$131</f>
        <v>0</v>
      </c>
      <c r="AL36" s="78">
        <f>(AL$7=Ass!$I$12)*Ass!$I$131</f>
        <v>0</v>
      </c>
      <c r="AM36" s="78">
        <f>(AM$7=Ass!$I$12)*Ass!$I$131</f>
        <v>0</v>
      </c>
      <c r="AN36" s="78">
        <f>(AN$7=Ass!$I$12)*Ass!$I$131</f>
        <v>0</v>
      </c>
      <c r="AO36" s="78">
        <f>(AO$7=Ass!$I$12)*Ass!$I$131</f>
        <v>0</v>
      </c>
      <c r="AP36" s="78">
        <f>(AP$7=Ass!$I$12)*Ass!$I$131</f>
        <v>0</v>
      </c>
      <c r="AQ36" s="78">
        <f>(AQ$7=Ass!$I$12)*Ass!$I$131</f>
        <v>0</v>
      </c>
      <c r="AR36" s="78">
        <f>(AR$7=Ass!$I$12)*Ass!$I$131</f>
        <v>0</v>
      </c>
      <c r="AS36" s="78">
        <f>(AS$7=Ass!$I$12)*Ass!$I$131</f>
        <v>0</v>
      </c>
      <c r="AT36" s="78">
        <f>(AT$7=Ass!$I$12)*Ass!$I$131</f>
        <v>0</v>
      </c>
      <c r="AU36" s="78">
        <f>(AU$7=Ass!$I$12)*Ass!$I$131</f>
        <v>0</v>
      </c>
      <c r="AV36" s="78">
        <f>(AV$7=Ass!$I$12)*Ass!$I$131</f>
        <v>0</v>
      </c>
      <c r="AW36" s="78">
        <f>(AW$7=Ass!$I$12)*Ass!$I$131</f>
        <v>0</v>
      </c>
      <c r="AX36" s="78">
        <f>(AX$7=Ass!$I$12)*Ass!$I$131</f>
        <v>0</v>
      </c>
      <c r="AY36" s="78">
        <f>(AY$7=Ass!$I$12)*Ass!$I$131</f>
        <v>0</v>
      </c>
      <c r="AZ36" s="78">
        <f>(AZ$7=Ass!$I$12)*Ass!$I$131</f>
        <v>0</v>
      </c>
      <c r="BA36" s="78">
        <f>(BA$7=Ass!$I$12)*Ass!$I$131</f>
        <v>0</v>
      </c>
      <c r="BB36" s="78">
        <f>(BB$7=Ass!$I$12)*Ass!$I$131</f>
        <v>0</v>
      </c>
      <c r="BC36" s="78">
        <f>(BC$7=Ass!$I$12)*Ass!$I$131</f>
        <v>0</v>
      </c>
      <c r="BD36" s="78">
        <f>(BD$7=Ass!$I$12)*Ass!$I$131</f>
        <v>0</v>
      </c>
      <c r="BE36" s="78">
        <f>(BE$7=Ass!$I$12)*Ass!$I$131</f>
        <v>0</v>
      </c>
      <c r="BF36" s="78">
        <f>(BF$7=Ass!$I$12)*Ass!$I$131</f>
        <v>0</v>
      </c>
      <c r="BG36" s="78">
        <f>(BG$7=Ass!$I$12)*Ass!$I$131</f>
        <v>0</v>
      </c>
      <c r="BH36" s="78">
        <f>(BH$7=Ass!$I$12)*Ass!$I$131</f>
        <v>0</v>
      </c>
      <c r="BI36" s="78">
        <f>(BI$7=Ass!$I$12)*Ass!$I$131</f>
        <v>0</v>
      </c>
      <c r="BJ36" s="78">
        <f>(BJ$7=Ass!$I$12)*Ass!$I$131</f>
        <v>0</v>
      </c>
      <c r="BK36" s="78">
        <f>(BK$7=Ass!$I$12)*Ass!$I$131</f>
        <v>0</v>
      </c>
      <c r="BL36" s="78">
        <f>(BL$7=Ass!$I$12)*Ass!$I$131</f>
        <v>0</v>
      </c>
      <c r="BM36" s="78">
        <f>(BM$7=Ass!$I$12)*Ass!$I$131</f>
        <v>0</v>
      </c>
      <c r="BN36" s="78">
        <f>(BN$7=Ass!$I$12)*Ass!$I$131</f>
        <v>0</v>
      </c>
      <c r="BO36" s="78">
        <f>(BO$7=Ass!$I$12)*Ass!$I$131</f>
        <v>0</v>
      </c>
      <c r="BP36" s="78">
        <f>(BP$7=Ass!$I$12)*Ass!$I$131</f>
        <v>0</v>
      </c>
      <c r="BQ36" s="78">
        <f>(BQ$7=Ass!$I$12)*Ass!$I$131</f>
        <v>0</v>
      </c>
      <c r="BR36" s="78">
        <f>(BR$7=Ass!$I$12)*Ass!$I$131</f>
        <v>0</v>
      </c>
      <c r="BS36" s="78">
        <f>(BS$7=Ass!$I$12)*Ass!$I$131</f>
        <v>0</v>
      </c>
      <c r="BT36" s="78">
        <f>(BT$7=Ass!$I$12)*Ass!$I$131</f>
        <v>0</v>
      </c>
      <c r="BU36" s="78">
        <f>(BU$7=Ass!$I$12)*Ass!$I$131</f>
        <v>0</v>
      </c>
      <c r="BV36" s="78">
        <f>(BV$7=Ass!$I$12)*Ass!$I$131</f>
        <v>0</v>
      </c>
      <c r="BW36" s="78">
        <f>(BW$7=Ass!$I$12)*Ass!$I$131</f>
        <v>0</v>
      </c>
      <c r="BX36" s="78">
        <f>(BX$7=Ass!$I$12)*Ass!$I$131</f>
        <v>0</v>
      </c>
      <c r="BY36" s="78">
        <f>(BY$7=Ass!$I$12)*Ass!$I$131</f>
        <v>0</v>
      </c>
      <c r="BZ36" s="78">
        <f>(BZ$7=Ass!$I$12)*Ass!$I$131</f>
        <v>0</v>
      </c>
      <c r="CA36" s="78">
        <f>(CA$7=Ass!$I$12)*Ass!$I$131</f>
        <v>0</v>
      </c>
      <c r="CB36" s="78">
        <f>(CB$7=Ass!$I$12)*Ass!$I$131</f>
        <v>0</v>
      </c>
      <c r="CC36" s="78">
        <f>(CC$7=Ass!$I$12)*Ass!$I$131</f>
        <v>0</v>
      </c>
      <c r="CD36" s="78">
        <f>(CD$7=Ass!$I$12)*Ass!$I$131</f>
        <v>0</v>
      </c>
      <c r="CE36" s="78">
        <f>(CE$7=Ass!$I$12)*Ass!$I$131</f>
        <v>0</v>
      </c>
      <c r="CF36" s="78">
        <f>(CF$7=Ass!$I$12)*Ass!$I$131</f>
        <v>0</v>
      </c>
      <c r="CG36" s="78">
        <f>(CG$7=Ass!$I$12)*Ass!$I$131</f>
        <v>0</v>
      </c>
      <c r="CH36" s="78">
        <f>(CH$7=Ass!$I$12)*Ass!$I$131</f>
        <v>0</v>
      </c>
      <c r="CI36" s="78">
        <f>(CI$7=Ass!$I$12)*Ass!$I$131</f>
        <v>0</v>
      </c>
      <c r="CJ36" s="78">
        <f>(CJ$7=Ass!$I$12)*Ass!$I$131</f>
        <v>0</v>
      </c>
      <c r="CK36" s="78">
        <f>(CK$7=Ass!$I$12)*Ass!$I$131</f>
        <v>0</v>
      </c>
      <c r="CL36" s="78">
        <f>(CL$7=Ass!$I$12)*Ass!$I$131</f>
        <v>0</v>
      </c>
      <c r="CM36" s="78">
        <f>(CM$7=Ass!$I$12)*Ass!$I$131</f>
        <v>0</v>
      </c>
      <c r="CN36" s="78">
        <f>(CN$7=Ass!$I$12)*Ass!$I$131</f>
        <v>0</v>
      </c>
    </row>
    <row r="37" spans="1:92" ht="12.75" customHeight="1" x14ac:dyDescent="0.3">
      <c r="D37" s="15" t="s">
        <v>183</v>
      </c>
      <c r="H37" s="16" t="s">
        <v>1</v>
      </c>
      <c r="J37" s="58">
        <f>SUM(L37:CN37)</f>
        <v>-42535013.505508944</v>
      </c>
      <c r="L37" s="15">
        <f>-SUMIF(Ass!$I$127:$AH$127,L$7,Ass!$I$128:$AH$128)</f>
        <v>0</v>
      </c>
      <c r="M37" s="15">
        <f>-SUMIF(Ass!$I$127:$AH$127,M$7,Ass!$I$128:$AH$128)</f>
        <v>-6198727.8240000028</v>
      </c>
      <c r="N37" s="15">
        <f>-SUMIF(Ass!$I$127:$AH$127,N$7,Ass!$I$128:$AH$128)</f>
        <v>-5578855.0416000038</v>
      </c>
      <c r="O37" s="15">
        <f>-SUMIF(Ass!$I$127:$AH$127,O$7,Ass!$I$128:$AH$128)</f>
        <v>-5020969.5374400029</v>
      </c>
      <c r="P37" s="15">
        <f>-SUMIF(Ass!$I$127:$AH$127,P$7,Ass!$I$128:$AH$128)</f>
        <v>-4518872.5836960031</v>
      </c>
      <c r="Q37" s="15">
        <f>-SUMIF(Ass!$I$127:$AH$127,Q$7,Ass!$I$128:$AH$128)</f>
        <v>-4066985.3253264031</v>
      </c>
      <c r="R37" s="15">
        <f>-SUMIF(Ass!$I$127:$AH$127,R$7,Ass!$I$128:$AH$128)</f>
        <v>-3660286.7927937629</v>
      </c>
      <c r="S37" s="15">
        <f>-SUMIF(Ass!$I$127:$AH$127,S$7,Ass!$I$128:$AH$128)</f>
        <v>-3294258.1135143861</v>
      </c>
      <c r="T37" s="15">
        <f>-SUMIF(Ass!$I$127:$AH$127,T$7,Ass!$I$128:$AH$128)</f>
        <v>-2964832.3021629481</v>
      </c>
      <c r="U37" s="15">
        <f>-SUMIF(Ass!$I$127:$AH$127,U$7,Ass!$I$128:$AH$128)</f>
        <v>-2668349.071946654</v>
      </c>
      <c r="V37" s="15">
        <f>-SUMIF(Ass!$I$127:$AH$127,V$7,Ass!$I$128:$AH$128)</f>
        <v>-2401514.1647519888</v>
      </c>
      <c r="W37" s="15">
        <f>-SUMIF(Ass!$I$127:$AH$127,W$7,Ass!$I$128:$AH$128)</f>
        <v>-2161362.7482767906</v>
      </c>
      <c r="X37" s="15">
        <f>-SUMIF(Ass!$I$127:$AH$127,X$7,Ass!$I$128:$AH$128)</f>
        <v>0</v>
      </c>
      <c r="Y37" s="15">
        <f>-SUMIF(Ass!$I$127:$AH$127,Y$7,Ass!$I$128:$AH$128)</f>
        <v>0</v>
      </c>
      <c r="Z37" s="15">
        <f>-SUMIF(Ass!$I$127:$AH$127,Z$7,Ass!$I$128:$AH$128)</f>
        <v>0</v>
      </c>
      <c r="AA37" s="15">
        <f>-SUMIF(Ass!$I$127:$AH$127,AA$7,Ass!$I$128:$AH$128)</f>
        <v>0</v>
      </c>
      <c r="AB37" s="15">
        <f>-SUMIF(Ass!$I$127:$AH$127,AB$7,Ass!$I$128:$AH$128)</f>
        <v>0</v>
      </c>
      <c r="AC37" s="15">
        <f>-SUMIF(Ass!$I$127:$AH$127,AC$7,Ass!$I$128:$AH$128)</f>
        <v>0</v>
      </c>
      <c r="AD37" s="15">
        <f>-SUMIF(Ass!$I$127:$AH$127,AD$7,Ass!$I$128:$AH$128)</f>
        <v>0</v>
      </c>
      <c r="AE37" s="15">
        <f>-SUMIF(Ass!$I$127:$AH$127,AE$7,Ass!$I$128:$AH$128)</f>
        <v>0</v>
      </c>
      <c r="AF37" s="15">
        <f>-SUMIF(Ass!$I$127:$AH$127,AF$7,Ass!$I$128:$AH$128)</f>
        <v>0</v>
      </c>
      <c r="AG37" s="15">
        <f>-SUMIF(Ass!$I$127:$AH$127,AG$7,Ass!$I$128:$AH$128)</f>
        <v>0</v>
      </c>
      <c r="AH37" s="15">
        <f>-SUMIF(Ass!$I$127:$AH$127,AH$7,Ass!$I$128:$AH$128)</f>
        <v>0</v>
      </c>
      <c r="AI37" s="15">
        <f>-SUMIF(Ass!$I$127:$AH$127,AI$7,Ass!$I$128:$AH$128)</f>
        <v>0</v>
      </c>
      <c r="AJ37" s="15">
        <f>-SUMIF(Ass!$I$127:$AH$127,AJ$7,Ass!$I$128:$AH$128)</f>
        <v>0</v>
      </c>
      <c r="AK37" s="15">
        <f>-SUMIF(Ass!$I$127:$AH$127,AK$7,Ass!$I$128:$AH$128)</f>
        <v>0</v>
      </c>
      <c r="AL37" s="15">
        <f>-SUMIF(Ass!$I$127:$AH$127,AL$7,Ass!$I$128:$AH$128)</f>
        <v>0</v>
      </c>
      <c r="AM37" s="15">
        <f>-SUMIF(Ass!$I$127:$AH$127,AM$7,Ass!$I$128:$AH$128)</f>
        <v>0</v>
      </c>
      <c r="AN37" s="15">
        <f>-SUMIF(Ass!$I$127:$AH$127,AN$7,Ass!$I$128:$AH$128)</f>
        <v>0</v>
      </c>
      <c r="AO37" s="15">
        <f>-SUMIF(Ass!$I$127:$AH$127,AO$7,Ass!$I$128:$AH$128)</f>
        <v>0</v>
      </c>
      <c r="AP37" s="15">
        <f>-SUMIF(Ass!$I$127:$AH$127,AP$7,Ass!$I$128:$AH$128)</f>
        <v>0</v>
      </c>
      <c r="AQ37" s="15">
        <f>-SUMIF(Ass!$I$127:$AH$127,AQ$7,Ass!$I$128:$AH$128)</f>
        <v>0</v>
      </c>
      <c r="AR37" s="15">
        <f>-SUMIF(Ass!$I$127:$AH$127,AR$7,Ass!$I$128:$AH$128)</f>
        <v>0</v>
      </c>
      <c r="AS37" s="15">
        <f>-SUMIF(Ass!$I$127:$AH$127,AS$7,Ass!$I$128:$AH$128)</f>
        <v>0</v>
      </c>
      <c r="AT37" s="15">
        <f>-SUMIF(Ass!$I$127:$AH$127,AT$7,Ass!$I$128:$AH$128)</f>
        <v>0</v>
      </c>
      <c r="AU37" s="15">
        <f>-SUMIF(Ass!$I$127:$AH$127,AU$7,Ass!$I$128:$AH$128)</f>
        <v>0</v>
      </c>
      <c r="AV37" s="15">
        <f>-SUMIF(Ass!$I$127:$AH$127,AV$7,Ass!$I$128:$AH$128)</f>
        <v>0</v>
      </c>
      <c r="AW37" s="15">
        <f>-SUMIF(Ass!$I$127:$AH$127,AW$7,Ass!$I$128:$AH$128)</f>
        <v>0</v>
      </c>
      <c r="AX37" s="15">
        <f>-SUMIF(Ass!$I$127:$AH$127,AX$7,Ass!$I$128:$AH$128)</f>
        <v>0</v>
      </c>
      <c r="AY37" s="15">
        <f>-SUMIF(Ass!$I$127:$AH$127,AY$7,Ass!$I$128:$AH$128)</f>
        <v>0</v>
      </c>
      <c r="AZ37" s="15">
        <f>-SUMIF(Ass!$I$127:$AH$127,AZ$7,Ass!$I$128:$AH$128)</f>
        <v>0</v>
      </c>
      <c r="BA37" s="15">
        <f>-SUMIF(Ass!$I$127:$AH$127,BA$7,Ass!$I$128:$AH$128)</f>
        <v>0</v>
      </c>
      <c r="BB37" s="15">
        <f>-SUMIF(Ass!$I$127:$AH$127,BB$7,Ass!$I$128:$AH$128)</f>
        <v>0</v>
      </c>
      <c r="BC37" s="15">
        <f>-SUMIF(Ass!$I$127:$AH$127,BC$7,Ass!$I$128:$AH$128)</f>
        <v>0</v>
      </c>
      <c r="BD37" s="15">
        <f>-SUMIF(Ass!$I$127:$AH$127,BD$7,Ass!$I$128:$AH$128)</f>
        <v>0</v>
      </c>
      <c r="BE37" s="15">
        <f>-SUMIF(Ass!$I$127:$AH$127,BE$7,Ass!$I$128:$AH$128)</f>
        <v>0</v>
      </c>
      <c r="BF37" s="15">
        <f>-SUMIF(Ass!$I$127:$AH$127,BF$7,Ass!$I$128:$AH$128)</f>
        <v>0</v>
      </c>
      <c r="BG37" s="15">
        <f>-SUMIF(Ass!$I$127:$AH$127,BG$7,Ass!$I$128:$AH$128)</f>
        <v>0</v>
      </c>
      <c r="BH37" s="15">
        <f>-SUMIF(Ass!$I$127:$AH$127,BH$7,Ass!$I$128:$AH$128)</f>
        <v>0</v>
      </c>
      <c r="BI37" s="15">
        <f>-SUMIF(Ass!$I$127:$AH$127,BI$7,Ass!$I$128:$AH$128)</f>
        <v>0</v>
      </c>
      <c r="BJ37" s="15">
        <f>-SUMIF(Ass!$I$127:$AH$127,BJ$7,Ass!$I$128:$AH$128)</f>
        <v>0</v>
      </c>
      <c r="BK37" s="15">
        <f>-SUMIF(Ass!$I$127:$AH$127,BK$7,Ass!$I$128:$AH$128)</f>
        <v>0</v>
      </c>
      <c r="BL37" s="15">
        <f>-SUMIF(Ass!$I$127:$AH$127,BL$7,Ass!$I$128:$AH$128)</f>
        <v>0</v>
      </c>
      <c r="BM37" s="15">
        <f>-SUMIF(Ass!$I$127:$AH$127,BM$7,Ass!$I$128:$AH$128)</f>
        <v>0</v>
      </c>
      <c r="BN37" s="15">
        <f>-SUMIF(Ass!$I$127:$AH$127,BN$7,Ass!$I$128:$AH$128)</f>
        <v>0</v>
      </c>
      <c r="BO37" s="15">
        <f>-SUMIF(Ass!$I$127:$AH$127,BO$7,Ass!$I$128:$AH$128)</f>
        <v>0</v>
      </c>
      <c r="BP37" s="15">
        <f>-SUMIF(Ass!$I$127:$AH$127,BP$7,Ass!$I$128:$AH$128)</f>
        <v>0</v>
      </c>
      <c r="BQ37" s="15">
        <f>-SUMIF(Ass!$I$127:$AH$127,BQ$7,Ass!$I$128:$AH$128)</f>
        <v>0</v>
      </c>
      <c r="BR37" s="15">
        <f>-SUMIF(Ass!$I$127:$AH$127,BR$7,Ass!$I$128:$AH$128)</f>
        <v>0</v>
      </c>
      <c r="BS37" s="15">
        <f>-SUMIF(Ass!$I$127:$AH$127,BS$7,Ass!$I$128:$AH$128)</f>
        <v>0</v>
      </c>
      <c r="BT37" s="15">
        <f>-SUMIF(Ass!$I$127:$AH$127,BT$7,Ass!$I$128:$AH$128)</f>
        <v>0</v>
      </c>
      <c r="BU37" s="15">
        <f>-SUMIF(Ass!$I$127:$AH$127,BU$7,Ass!$I$128:$AH$128)</f>
        <v>0</v>
      </c>
      <c r="BV37" s="15">
        <f>-SUMIF(Ass!$I$127:$AH$127,BV$7,Ass!$I$128:$AH$128)</f>
        <v>0</v>
      </c>
      <c r="BW37" s="15">
        <f>-SUMIF(Ass!$I$127:$AH$127,BW$7,Ass!$I$128:$AH$128)</f>
        <v>0</v>
      </c>
      <c r="BX37" s="15">
        <f>-SUMIF(Ass!$I$127:$AH$127,BX$7,Ass!$I$128:$AH$128)</f>
        <v>0</v>
      </c>
      <c r="BY37" s="15">
        <f>-SUMIF(Ass!$I$127:$AH$127,BY$7,Ass!$I$128:$AH$128)</f>
        <v>0</v>
      </c>
      <c r="BZ37" s="15">
        <f>-SUMIF(Ass!$I$127:$AH$127,BZ$7,Ass!$I$128:$AH$128)</f>
        <v>0</v>
      </c>
      <c r="CA37" s="15">
        <f>-SUMIF(Ass!$I$127:$AH$127,CA$7,Ass!$I$128:$AH$128)</f>
        <v>0</v>
      </c>
      <c r="CB37" s="15">
        <f>-SUMIF(Ass!$I$127:$AH$127,CB$7,Ass!$I$128:$AH$128)</f>
        <v>0</v>
      </c>
      <c r="CC37" s="15">
        <f>-SUMIF(Ass!$I$127:$AH$127,CC$7,Ass!$I$128:$AH$128)</f>
        <v>0</v>
      </c>
      <c r="CD37" s="15">
        <f>-SUMIF(Ass!$I$127:$AH$127,CD$7,Ass!$I$128:$AH$128)</f>
        <v>0</v>
      </c>
      <c r="CE37" s="15">
        <f>-SUMIF(Ass!$I$127:$AH$127,CE$7,Ass!$I$128:$AH$128)</f>
        <v>0</v>
      </c>
      <c r="CF37" s="15">
        <f>-SUMIF(Ass!$I$127:$AH$127,CF$7,Ass!$I$128:$AH$128)</f>
        <v>0</v>
      </c>
      <c r="CG37" s="15">
        <f>-SUMIF(Ass!$I$127:$AH$127,CG$7,Ass!$I$128:$AH$128)</f>
        <v>0</v>
      </c>
      <c r="CH37" s="15">
        <f>-SUMIF(Ass!$I$127:$AH$127,CH$7,Ass!$I$128:$AH$128)</f>
        <v>0</v>
      </c>
      <c r="CI37" s="15">
        <f>-SUMIF(Ass!$I$127:$AH$127,CI$7,Ass!$I$128:$AH$128)</f>
        <v>0</v>
      </c>
      <c r="CJ37" s="15">
        <f>-SUMIF(Ass!$I$127:$AH$127,CJ$7,Ass!$I$128:$AH$128)</f>
        <v>0</v>
      </c>
      <c r="CK37" s="15">
        <f>-SUMIF(Ass!$I$127:$AH$127,CK$7,Ass!$I$128:$AH$128)</f>
        <v>0</v>
      </c>
      <c r="CL37" s="15">
        <f>-SUMIF(Ass!$I$127:$AH$127,CL$7,Ass!$I$128:$AH$128)</f>
        <v>0</v>
      </c>
      <c r="CM37" s="15">
        <f>-SUMIF(Ass!$I$127:$AH$127,CM$7,Ass!$I$128:$AH$128)</f>
        <v>0</v>
      </c>
      <c r="CN37" s="15">
        <f>-SUMIF(Ass!$I$127:$AH$127,CN$7,Ass!$I$128:$AH$128)</f>
        <v>0</v>
      </c>
    </row>
    <row r="38" spans="1:92" ht="12.75" customHeight="1" x14ac:dyDescent="0.3">
      <c r="D38" s="50" t="s">
        <v>184</v>
      </c>
      <c r="H38" s="16" t="s">
        <v>1</v>
      </c>
      <c r="J38" s="50">
        <f t="shared" ref="J38:L38" si="98">SUM(J35:J37)</f>
        <v>0</v>
      </c>
      <c r="L38" s="50">
        <f t="shared" si="98"/>
        <v>42535013.505508944</v>
      </c>
      <c r="M38" s="50">
        <f t="shared" ref="M38" si="99">SUM(M35:M37)</f>
        <v>36336285.681508943</v>
      </c>
      <c r="N38" s="50">
        <f t="shared" ref="N38" si="100">SUM(N35:N37)</f>
        <v>30757430.63990894</v>
      </c>
      <c r="O38" s="50">
        <f t="shared" ref="O38" si="101">SUM(O35:O37)</f>
        <v>25736461.102468938</v>
      </c>
      <c r="P38" s="50">
        <f t="shared" ref="P38" si="102">SUM(P35:P37)</f>
        <v>21217588.518772934</v>
      </c>
      <c r="Q38" s="50">
        <f t="shared" ref="Q38" si="103">SUM(Q35:Q37)</f>
        <v>17150603.193446532</v>
      </c>
      <c r="R38" s="50">
        <f t="shared" ref="R38" si="104">SUM(R35:R37)</f>
        <v>13490316.40065277</v>
      </c>
      <c r="S38" s="50">
        <f t="shared" ref="S38" si="105">SUM(S35:S37)</f>
        <v>10196058.287138384</v>
      </c>
      <c r="T38" s="50">
        <f t="shared" ref="T38" si="106">SUM(T35:T37)</f>
        <v>7231225.9849754358</v>
      </c>
      <c r="U38" s="50">
        <f t="shared" ref="U38" si="107">SUM(U35:U37)</f>
        <v>4562876.9130287822</v>
      </c>
      <c r="V38" s="50">
        <f t="shared" ref="V38" si="108">SUM(V35:V37)</f>
        <v>2161362.7482767934</v>
      </c>
      <c r="W38" s="50">
        <f t="shared" ref="W38" si="109">SUM(W35:W37)</f>
        <v>0</v>
      </c>
      <c r="X38" s="50">
        <f t="shared" ref="X38" si="110">SUM(X35:X37)</f>
        <v>0</v>
      </c>
      <c r="Y38" s="50">
        <f t="shared" ref="Y38" si="111">SUM(Y35:Y37)</f>
        <v>0</v>
      </c>
      <c r="Z38" s="50">
        <f t="shared" ref="Z38" si="112">SUM(Z35:Z37)</f>
        <v>0</v>
      </c>
      <c r="AA38" s="50">
        <f t="shared" ref="AA38" si="113">SUM(AA35:AA37)</f>
        <v>0</v>
      </c>
      <c r="AB38" s="50">
        <f t="shared" ref="AB38" si="114">SUM(AB35:AB37)</f>
        <v>0</v>
      </c>
      <c r="AC38" s="50">
        <f t="shared" ref="AC38" si="115">SUM(AC35:AC37)</f>
        <v>0</v>
      </c>
      <c r="AD38" s="50">
        <f t="shared" ref="AD38" si="116">SUM(AD35:AD37)</f>
        <v>0</v>
      </c>
      <c r="AE38" s="50">
        <f t="shared" ref="AE38" si="117">SUM(AE35:AE37)</f>
        <v>0</v>
      </c>
      <c r="AF38" s="50">
        <f t="shared" ref="AF38" si="118">SUM(AF35:AF37)</f>
        <v>0</v>
      </c>
      <c r="AG38" s="50">
        <f t="shared" ref="AG38" si="119">SUM(AG35:AG37)</f>
        <v>0</v>
      </c>
      <c r="AH38" s="50">
        <f t="shared" ref="AH38" si="120">SUM(AH35:AH37)</f>
        <v>0</v>
      </c>
      <c r="AI38" s="50">
        <f t="shared" ref="AI38" si="121">SUM(AI35:AI37)</f>
        <v>0</v>
      </c>
      <c r="AJ38" s="50">
        <f t="shared" ref="AJ38" si="122">SUM(AJ35:AJ37)</f>
        <v>0</v>
      </c>
      <c r="AK38" s="50">
        <f t="shared" ref="AK38" si="123">SUM(AK35:AK37)</f>
        <v>0</v>
      </c>
      <c r="AL38" s="50">
        <f t="shared" ref="AL38" si="124">SUM(AL35:AL37)</f>
        <v>0</v>
      </c>
      <c r="AM38" s="50">
        <f t="shared" ref="AM38" si="125">SUM(AM35:AM37)</f>
        <v>0</v>
      </c>
      <c r="AN38" s="50">
        <f t="shared" ref="AN38" si="126">SUM(AN35:AN37)</f>
        <v>0</v>
      </c>
      <c r="AO38" s="50">
        <f t="shared" ref="AO38" si="127">SUM(AO35:AO37)</f>
        <v>0</v>
      </c>
      <c r="AP38" s="50">
        <f t="shared" ref="AP38" si="128">SUM(AP35:AP37)</f>
        <v>0</v>
      </c>
      <c r="AQ38" s="50">
        <f t="shared" ref="AQ38" si="129">SUM(AQ35:AQ37)</f>
        <v>0</v>
      </c>
      <c r="AR38" s="50">
        <f t="shared" ref="AR38" si="130">SUM(AR35:AR37)</f>
        <v>0</v>
      </c>
      <c r="AS38" s="50">
        <f t="shared" ref="AS38" si="131">SUM(AS35:AS37)</f>
        <v>0</v>
      </c>
      <c r="AT38" s="50">
        <f t="shared" ref="AT38" si="132">SUM(AT35:AT37)</f>
        <v>0</v>
      </c>
      <c r="AU38" s="50">
        <f t="shared" ref="AU38" si="133">SUM(AU35:AU37)</f>
        <v>0</v>
      </c>
      <c r="AV38" s="50">
        <f t="shared" ref="AV38" si="134">SUM(AV35:AV37)</f>
        <v>0</v>
      </c>
      <c r="AW38" s="50">
        <f t="shared" ref="AW38" si="135">SUM(AW35:AW37)</f>
        <v>0</v>
      </c>
      <c r="AX38" s="50">
        <f t="shared" ref="AX38" si="136">SUM(AX35:AX37)</f>
        <v>0</v>
      </c>
      <c r="AY38" s="50">
        <f t="shared" ref="AY38" si="137">SUM(AY35:AY37)</f>
        <v>0</v>
      </c>
      <c r="AZ38" s="50">
        <f t="shared" ref="AZ38" si="138">SUM(AZ35:AZ37)</f>
        <v>0</v>
      </c>
      <c r="BA38" s="50">
        <f t="shared" ref="BA38" si="139">SUM(BA35:BA37)</f>
        <v>0</v>
      </c>
      <c r="BB38" s="50">
        <f t="shared" ref="BB38" si="140">SUM(BB35:BB37)</f>
        <v>0</v>
      </c>
      <c r="BC38" s="50">
        <f t="shared" ref="BC38" si="141">SUM(BC35:BC37)</f>
        <v>0</v>
      </c>
      <c r="BD38" s="50">
        <f t="shared" ref="BD38" si="142">SUM(BD35:BD37)</f>
        <v>0</v>
      </c>
      <c r="BE38" s="50">
        <f t="shared" ref="BE38" si="143">SUM(BE35:BE37)</f>
        <v>0</v>
      </c>
      <c r="BF38" s="50">
        <f t="shared" ref="BF38" si="144">SUM(BF35:BF37)</f>
        <v>0</v>
      </c>
      <c r="BG38" s="50">
        <f t="shared" ref="BG38" si="145">SUM(BG35:BG37)</f>
        <v>0</v>
      </c>
      <c r="BH38" s="50">
        <f t="shared" ref="BH38" si="146">SUM(BH35:BH37)</f>
        <v>0</v>
      </c>
      <c r="BI38" s="50">
        <f t="shared" ref="BI38" si="147">SUM(BI35:BI37)</f>
        <v>0</v>
      </c>
      <c r="BJ38" s="50">
        <f t="shared" ref="BJ38" si="148">SUM(BJ35:BJ37)</f>
        <v>0</v>
      </c>
      <c r="BK38" s="50">
        <f t="shared" ref="BK38" si="149">SUM(BK35:BK37)</f>
        <v>0</v>
      </c>
      <c r="BL38" s="50">
        <f t="shared" ref="BL38" si="150">SUM(BL35:BL37)</f>
        <v>0</v>
      </c>
      <c r="BM38" s="50">
        <f t="shared" ref="BM38" si="151">SUM(BM35:BM37)</f>
        <v>0</v>
      </c>
      <c r="BN38" s="50">
        <f t="shared" ref="BN38" si="152">SUM(BN35:BN37)</f>
        <v>0</v>
      </c>
      <c r="BO38" s="50">
        <f t="shared" ref="BO38" si="153">SUM(BO35:BO37)</f>
        <v>0</v>
      </c>
      <c r="BP38" s="50">
        <f t="shared" ref="BP38" si="154">SUM(BP35:BP37)</f>
        <v>0</v>
      </c>
      <c r="BQ38" s="50">
        <f t="shared" ref="BQ38" si="155">SUM(BQ35:BQ37)</f>
        <v>0</v>
      </c>
      <c r="BR38" s="50">
        <f t="shared" ref="BR38" si="156">SUM(BR35:BR37)</f>
        <v>0</v>
      </c>
      <c r="BS38" s="50">
        <f t="shared" ref="BS38" si="157">SUM(BS35:BS37)</f>
        <v>0</v>
      </c>
      <c r="BT38" s="50">
        <f t="shared" ref="BT38" si="158">SUM(BT35:BT37)</f>
        <v>0</v>
      </c>
      <c r="BU38" s="50">
        <f t="shared" ref="BU38" si="159">SUM(BU35:BU37)</f>
        <v>0</v>
      </c>
      <c r="BV38" s="50">
        <f t="shared" ref="BV38" si="160">SUM(BV35:BV37)</f>
        <v>0</v>
      </c>
      <c r="BW38" s="50">
        <f t="shared" ref="BW38" si="161">SUM(BW35:BW37)</f>
        <v>0</v>
      </c>
      <c r="BX38" s="50">
        <f t="shared" ref="BX38" si="162">SUM(BX35:BX37)</f>
        <v>0</v>
      </c>
      <c r="BY38" s="50">
        <f t="shared" ref="BY38" si="163">SUM(BY35:BY37)</f>
        <v>0</v>
      </c>
      <c r="BZ38" s="50">
        <f t="shared" ref="BZ38" si="164">SUM(BZ35:BZ37)</f>
        <v>0</v>
      </c>
      <c r="CA38" s="50">
        <f t="shared" ref="CA38" si="165">SUM(CA35:CA37)</f>
        <v>0</v>
      </c>
      <c r="CB38" s="50">
        <f t="shared" ref="CB38" si="166">SUM(CB35:CB37)</f>
        <v>0</v>
      </c>
      <c r="CC38" s="50">
        <f t="shared" ref="CC38" si="167">SUM(CC35:CC37)</f>
        <v>0</v>
      </c>
      <c r="CD38" s="50">
        <f t="shared" ref="CD38" si="168">SUM(CD35:CD37)</f>
        <v>0</v>
      </c>
      <c r="CE38" s="50">
        <f t="shared" ref="CE38" si="169">SUM(CE35:CE37)</f>
        <v>0</v>
      </c>
      <c r="CF38" s="50">
        <f t="shared" ref="CF38" si="170">SUM(CF35:CF37)</f>
        <v>0</v>
      </c>
      <c r="CG38" s="50">
        <f t="shared" ref="CG38" si="171">SUM(CG35:CG37)</f>
        <v>0</v>
      </c>
      <c r="CH38" s="50">
        <f t="shared" ref="CH38" si="172">SUM(CH35:CH37)</f>
        <v>0</v>
      </c>
      <c r="CI38" s="50">
        <f t="shared" ref="CI38" si="173">SUM(CI35:CI37)</f>
        <v>0</v>
      </c>
      <c r="CJ38" s="50">
        <f t="shared" ref="CJ38" si="174">SUM(CJ35:CJ37)</f>
        <v>0</v>
      </c>
      <c r="CK38" s="50">
        <f t="shared" ref="CK38" si="175">SUM(CK35:CK37)</f>
        <v>0</v>
      </c>
      <c r="CL38" s="50">
        <f t="shared" ref="CL38" si="176">SUM(CL35:CL37)</f>
        <v>0</v>
      </c>
      <c r="CM38" s="50">
        <f t="shared" ref="CM38" si="177">SUM(CM35:CM37)</f>
        <v>0</v>
      </c>
      <c r="CN38" s="50">
        <f t="shared" ref="CN38" si="178">SUM(CN35:CN37)</f>
        <v>0</v>
      </c>
    </row>
    <row r="39" spans="1:92" ht="12.75" customHeight="1" x14ac:dyDescent="0.3">
      <c r="D39" s="15"/>
      <c r="H39" s="16"/>
      <c r="J39" s="15"/>
    </row>
    <row r="40" spans="1:92" ht="13.2" x14ac:dyDescent="0.25">
      <c r="A40" s="14">
        <f>MAX(A$3:A39)+0.01</f>
        <v>3.0399999999999991</v>
      </c>
      <c r="B40" s="14"/>
      <c r="C40" s="14" t="s">
        <v>186</v>
      </c>
      <c r="D40" s="20"/>
      <c r="E40" s="14"/>
      <c r="F40" s="14"/>
      <c r="G40" s="14"/>
      <c r="H40" s="5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</row>
    <row r="41" spans="1:92" ht="12.75" customHeight="1" x14ac:dyDescent="0.3">
      <c r="D41" s="15"/>
      <c r="H41" s="16"/>
      <c r="J41" s="15"/>
    </row>
    <row r="42" spans="1:92" ht="12.75" customHeight="1" x14ac:dyDescent="0.3">
      <c r="C42" s="24">
        <v>1</v>
      </c>
      <c r="D42" s="17" t="str">
        <f>INDEX(Ass!$D$107:$D$111,CapexDA!$C42)</f>
        <v>Asset Class 1</v>
      </c>
      <c r="H42" s="16"/>
      <c r="J42" s="15"/>
    </row>
    <row r="43" spans="1:92" ht="12.75" customHeight="1" x14ac:dyDescent="0.3">
      <c r="D43" s="15" t="s">
        <v>181</v>
      </c>
      <c r="H43" s="16" t="s">
        <v>1</v>
      </c>
      <c r="J43" s="15"/>
      <c r="L43" s="80">
        <v>0</v>
      </c>
      <c r="M43" s="15">
        <f t="shared" ref="M43:N43" si="179">L46</f>
        <v>0</v>
      </c>
      <c r="N43" s="15">
        <f t="shared" ca="1" si="179"/>
        <v>0</v>
      </c>
      <c r="O43" s="15">
        <f t="shared" ref="O43:BZ43" ca="1" si="180">N46</f>
        <v>906234.9100786451</v>
      </c>
      <c r="P43" s="15">
        <f t="shared" ca="1" si="180"/>
        <v>860923.16457471286</v>
      </c>
      <c r="Q43" s="15">
        <f t="shared" ca="1" si="180"/>
        <v>815611.41907078063</v>
      </c>
      <c r="R43" s="15">
        <f t="shared" ca="1" si="180"/>
        <v>770299.67356684839</v>
      </c>
      <c r="S43" s="15">
        <f t="shared" ca="1" si="180"/>
        <v>724987.92806291615</v>
      </c>
      <c r="T43" s="15">
        <f t="shared" ca="1" si="180"/>
        <v>679676.18255898391</v>
      </c>
      <c r="U43" s="15">
        <f t="shared" ca="1" si="180"/>
        <v>634364.43705505168</v>
      </c>
      <c r="V43" s="15">
        <f t="shared" ca="1" si="180"/>
        <v>589052.69155111944</v>
      </c>
      <c r="W43" s="15">
        <f t="shared" ca="1" si="180"/>
        <v>543740.9460471872</v>
      </c>
      <c r="X43" s="15">
        <f t="shared" ca="1" si="180"/>
        <v>498429.20054325496</v>
      </c>
      <c r="Y43" s="15">
        <f t="shared" ca="1" si="180"/>
        <v>453117.45503932273</v>
      </c>
      <c r="Z43" s="15">
        <f t="shared" ca="1" si="180"/>
        <v>407805.70953539049</v>
      </c>
      <c r="AA43" s="15">
        <f t="shared" ca="1" si="180"/>
        <v>362493.96403145825</v>
      </c>
      <c r="AB43" s="15">
        <f t="shared" ca="1" si="180"/>
        <v>317182.21852752601</v>
      </c>
      <c r="AC43" s="15">
        <f t="shared" ca="1" si="180"/>
        <v>271870.47302359377</v>
      </c>
      <c r="AD43" s="15">
        <f t="shared" ca="1" si="180"/>
        <v>226558.72751966154</v>
      </c>
      <c r="AE43" s="15">
        <f t="shared" ca="1" si="180"/>
        <v>181246.9820157293</v>
      </c>
      <c r="AF43" s="15">
        <f t="shared" ca="1" si="180"/>
        <v>135935.23651179706</v>
      </c>
      <c r="AG43" s="15">
        <f t="shared" ca="1" si="180"/>
        <v>90623.49100786481</v>
      </c>
      <c r="AH43" s="15">
        <f t="shared" ca="1" si="180"/>
        <v>45311.745503932558</v>
      </c>
      <c r="AI43" s="15">
        <f t="shared" ca="1" si="180"/>
        <v>3.0559021979570389E-10</v>
      </c>
      <c r="AJ43" s="15">
        <f t="shared" ca="1" si="180"/>
        <v>3.0559021979570389E-10</v>
      </c>
      <c r="AK43" s="15">
        <f t="shared" ca="1" si="180"/>
        <v>3.0559021979570389E-10</v>
      </c>
      <c r="AL43" s="15">
        <f t="shared" ca="1" si="180"/>
        <v>3.0559021979570389E-10</v>
      </c>
      <c r="AM43" s="15">
        <f t="shared" ca="1" si="180"/>
        <v>3.0559021979570389E-10</v>
      </c>
      <c r="AN43" s="15">
        <f t="shared" ca="1" si="180"/>
        <v>3.0559021979570389E-10</v>
      </c>
      <c r="AO43" s="15">
        <f t="shared" ca="1" si="180"/>
        <v>3.0559021979570389E-10</v>
      </c>
      <c r="AP43" s="15">
        <f t="shared" ca="1" si="180"/>
        <v>3.0559021979570389E-10</v>
      </c>
      <c r="AQ43" s="15">
        <f t="shared" ca="1" si="180"/>
        <v>3.0559021979570389E-10</v>
      </c>
      <c r="AR43" s="15">
        <f t="shared" ca="1" si="180"/>
        <v>3.0559021979570389E-10</v>
      </c>
      <c r="AS43" s="15">
        <f t="shared" ca="1" si="180"/>
        <v>3.0559021979570389E-10</v>
      </c>
      <c r="AT43" s="15">
        <f t="shared" ca="1" si="180"/>
        <v>3.0559021979570389E-10</v>
      </c>
      <c r="AU43" s="15">
        <f t="shared" ca="1" si="180"/>
        <v>3.0559021979570389E-10</v>
      </c>
      <c r="AV43" s="15">
        <f t="shared" ca="1" si="180"/>
        <v>3.0559021979570389E-10</v>
      </c>
      <c r="AW43" s="15">
        <f t="shared" ca="1" si="180"/>
        <v>3.0559021979570389E-10</v>
      </c>
      <c r="AX43" s="15">
        <f t="shared" ca="1" si="180"/>
        <v>3.0559021979570389E-10</v>
      </c>
      <c r="AY43" s="15">
        <f t="shared" ca="1" si="180"/>
        <v>3.0559021979570389E-10</v>
      </c>
      <c r="AZ43" s="15">
        <f t="shared" ca="1" si="180"/>
        <v>3.0559021979570389E-10</v>
      </c>
      <c r="BA43" s="15">
        <f t="shared" ca="1" si="180"/>
        <v>3.0559021979570389E-10</v>
      </c>
      <c r="BB43" s="15">
        <f t="shared" ca="1" si="180"/>
        <v>3.0559021979570389E-10</v>
      </c>
      <c r="BC43" s="15">
        <f t="shared" ca="1" si="180"/>
        <v>3.0559021979570389E-10</v>
      </c>
      <c r="BD43" s="15">
        <f t="shared" ca="1" si="180"/>
        <v>3.0559021979570389E-10</v>
      </c>
      <c r="BE43" s="15">
        <f t="shared" ca="1" si="180"/>
        <v>3.0559021979570389E-10</v>
      </c>
      <c r="BF43" s="15">
        <f t="shared" ca="1" si="180"/>
        <v>3.0559021979570389E-10</v>
      </c>
      <c r="BG43" s="15">
        <f t="shared" ca="1" si="180"/>
        <v>3.0559021979570389E-10</v>
      </c>
      <c r="BH43" s="15">
        <f t="shared" ca="1" si="180"/>
        <v>3.0559021979570389E-10</v>
      </c>
      <c r="BI43" s="15">
        <f t="shared" ca="1" si="180"/>
        <v>3.0559021979570389E-10</v>
      </c>
      <c r="BJ43" s="15">
        <f t="shared" ca="1" si="180"/>
        <v>3.0559021979570389E-10</v>
      </c>
      <c r="BK43" s="15">
        <f t="shared" ca="1" si="180"/>
        <v>3.0559021979570389E-10</v>
      </c>
      <c r="BL43" s="15">
        <f t="shared" ca="1" si="180"/>
        <v>3.0559021979570389E-10</v>
      </c>
      <c r="BM43" s="15">
        <f t="shared" ca="1" si="180"/>
        <v>3.0559021979570389E-10</v>
      </c>
      <c r="BN43" s="15">
        <f t="shared" ca="1" si="180"/>
        <v>3.0559021979570389E-10</v>
      </c>
      <c r="BO43" s="15">
        <f t="shared" ca="1" si="180"/>
        <v>3.0559021979570389E-10</v>
      </c>
      <c r="BP43" s="15">
        <f t="shared" ca="1" si="180"/>
        <v>3.0559021979570389E-10</v>
      </c>
      <c r="BQ43" s="15">
        <f t="shared" ca="1" si="180"/>
        <v>3.0559021979570389E-10</v>
      </c>
      <c r="BR43" s="15">
        <f t="shared" ca="1" si="180"/>
        <v>3.0559021979570389E-10</v>
      </c>
      <c r="BS43" s="15">
        <f t="shared" ca="1" si="180"/>
        <v>3.0559021979570389E-10</v>
      </c>
      <c r="BT43" s="15">
        <f t="shared" ca="1" si="180"/>
        <v>3.0559021979570389E-10</v>
      </c>
      <c r="BU43" s="15">
        <f t="shared" ca="1" si="180"/>
        <v>3.0559021979570389E-10</v>
      </c>
      <c r="BV43" s="15">
        <f t="shared" ca="1" si="180"/>
        <v>3.0559021979570389E-10</v>
      </c>
      <c r="BW43" s="15">
        <f t="shared" ca="1" si="180"/>
        <v>3.0559021979570389E-10</v>
      </c>
      <c r="BX43" s="15">
        <f t="shared" ca="1" si="180"/>
        <v>3.0559021979570389E-10</v>
      </c>
      <c r="BY43" s="15">
        <f t="shared" ca="1" si="180"/>
        <v>3.0559021979570389E-10</v>
      </c>
      <c r="BZ43" s="15">
        <f t="shared" ca="1" si="180"/>
        <v>3.0559021979570389E-10</v>
      </c>
      <c r="CA43" s="15">
        <f t="shared" ref="CA43:CN43" ca="1" si="181">BZ46</f>
        <v>3.0559021979570389E-10</v>
      </c>
      <c r="CB43" s="15">
        <f t="shared" ca="1" si="181"/>
        <v>3.0559021979570389E-10</v>
      </c>
      <c r="CC43" s="15">
        <f t="shared" ca="1" si="181"/>
        <v>3.0559021979570389E-10</v>
      </c>
      <c r="CD43" s="15">
        <f t="shared" ca="1" si="181"/>
        <v>3.0559021979570389E-10</v>
      </c>
      <c r="CE43" s="15">
        <f t="shared" ca="1" si="181"/>
        <v>3.0559021979570389E-10</v>
      </c>
      <c r="CF43" s="15">
        <f t="shared" ca="1" si="181"/>
        <v>3.0559021979570389E-10</v>
      </c>
      <c r="CG43" s="15">
        <f t="shared" ca="1" si="181"/>
        <v>3.0559021979570389E-10</v>
      </c>
      <c r="CH43" s="15">
        <f t="shared" ca="1" si="181"/>
        <v>3.0559021979570389E-10</v>
      </c>
      <c r="CI43" s="15">
        <f t="shared" ca="1" si="181"/>
        <v>3.0559021979570389E-10</v>
      </c>
      <c r="CJ43" s="15">
        <f t="shared" ca="1" si="181"/>
        <v>3.0559021979570389E-10</v>
      </c>
      <c r="CK43" s="15">
        <f t="shared" ca="1" si="181"/>
        <v>3.0559021979570389E-10</v>
      </c>
      <c r="CL43" s="15">
        <f t="shared" ca="1" si="181"/>
        <v>3.0559021979570389E-10</v>
      </c>
      <c r="CM43" s="15">
        <f t="shared" ca="1" si="181"/>
        <v>3.0559021979570389E-10</v>
      </c>
      <c r="CN43" s="15">
        <f t="shared" ca="1" si="181"/>
        <v>3.0559021979570389E-10</v>
      </c>
    </row>
    <row r="44" spans="1:92" ht="12.75" customHeight="1" x14ac:dyDescent="0.3">
      <c r="D44" s="15" t="s">
        <v>182</v>
      </c>
      <c r="H44" s="16" t="s">
        <v>1</v>
      </c>
      <c r="J44" s="58">
        <f>SUM(L44:CN44)</f>
        <v>906234.9100786451</v>
      </c>
      <c r="L44" s="81">
        <v>0</v>
      </c>
      <c r="M44" s="78">
        <f t="shared" ref="M44:N44" si="182">INDEX(M$19:M$23,$C42)</f>
        <v>0</v>
      </c>
      <c r="N44" s="78">
        <f t="shared" si="182"/>
        <v>906234.9100786451</v>
      </c>
      <c r="O44" s="78">
        <f t="shared" ref="O44:BZ44" si="183">INDEX(O$19:O$23,$C42)</f>
        <v>0</v>
      </c>
      <c r="P44" s="78">
        <f t="shared" si="183"/>
        <v>0</v>
      </c>
      <c r="Q44" s="78">
        <f t="shared" si="183"/>
        <v>0</v>
      </c>
      <c r="R44" s="78">
        <f t="shared" si="183"/>
        <v>0</v>
      </c>
      <c r="S44" s="78">
        <f t="shared" si="183"/>
        <v>0</v>
      </c>
      <c r="T44" s="78">
        <f t="shared" si="183"/>
        <v>0</v>
      </c>
      <c r="U44" s="78">
        <f t="shared" si="183"/>
        <v>0</v>
      </c>
      <c r="V44" s="78">
        <f t="shared" si="183"/>
        <v>0</v>
      </c>
      <c r="W44" s="78">
        <f t="shared" si="183"/>
        <v>0</v>
      </c>
      <c r="X44" s="78">
        <f t="shared" si="183"/>
        <v>0</v>
      </c>
      <c r="Y44" s="78">
        <f t="shared" si="183"/>
        <v>0</v>
      </c>
      <c r="Z44" s="78">
        <f t="shared" si="183"/>
        <v>0</v>
      </c>
      <c r="AA44" s="78">
        <f t="shared" si="183"/>
        <v>0</v>
      </c>
      <c r="AB44" s="78">
        <f t="shared" si="183"/>
        <v>0</v>
      </c>
      <c r="AC44" s="78">
        <f t="shared" si="183"/>
        <v>0</v>
      </c>
      <c r="AD44" s="78">
        <f t="shared" si="183"/>
        <v>0</v>
      </c>
      <c r="AE44" s="78">
        <f t="shared" si="183"/>
        <v>0</v>
      </c>
      <c r="AF44" s="78">
        <f t="shared" si="183"/>
        <v>0</v>
      </c>
      <c r="AG44" s="78">
        <f t="shared" si="183"/>
        <v>0</v>
      </c>
      <c r="AH44" s="78">
        <f t="shared" si="183"/>
        <v>0</v>
      </c>
      <c r="AI44" s="78">
        <f t="shared" si="183"/>
        <v>0</v>
      </c>
      <c r="AJ44" s="78">
        <f t="shared" si="183"/>
        <v>0</v>
      </c>
      <c r="AK44" s="78">
        <f t="shared" si="183"/>
        <v>0</v>
      </c>
      <c r="AL44" s="78">
        <f t="shared" si="183"/>
        <v>0</v>
      </c>
      <c r="AM44" s="78">
        <f t="shared" si="183"/>
        <v>0</v>
      </c>
      <c r="AN44" s="78">
        <f t="shared" si="183"/>
        <v>0</v>
      </c>
      <c r="AO44" s="78">
        <f t="shared" si="183"/>
        <v>0</v>
      </c>
      <c r="AP44" s="78">
        <f t="shared" si="183"/>
        <v>0</v>
      </c>
      <c r="AQ44" s="78">
        <f t="shared" si="183"/>
        <v>0</v>
      </c>
      <c r="AR44" s="78">
        <f t="shared" si="183"/>
        <v>0</v>
      </c>
      <c r="AS44" s="78">
        <f t="shared" si="183"/>
        <v>0</v>
      </c>
      <c r="AT44" s="78">
        <f t="shared" si="183"/>
        <v>0</v>
      </c>
      <c r="AU44" s="78">
        <f t="shared" si="183"/>
        <v>0</v>
      </c>
      <c r="AV44" s="78">
        <f t="shared" si="183"/>
        <v>0</v>
      </c>
      <c r="AW44" s="78">
        <f t="shared" si="183"/>
        <v>0</v>
      </c>
      <c r="AX44" s="78">
        <f t="shared" si="183"/>
        <v>0</v>
      </c>
      <c r="AY44" s="78">
        <f t="shared" si="183"/>
        <v>0</v>
      </c>
      <c r="AZ44" s="78">
        <f t="shared" si="183"/>
        <v>0</v>
      </c>
      <c r="BA44" s="78">
        <f t="shared" si="183"/>
        <v>0</v>
      </c>
      <c r="BB44" s="78">
        <f t="shared" si="183"/>
        <v>0</v>
      </c>
      <c r="BC44" s="78">
        <f t="shared" si="183"/>
        <v>0</v>
      </c>
      <c r="BD44" s="78">
        <f t="shared" si="183"/>
        <v>0</v>
      </c>
      <c r="BE44" s="78">
        <f t="shared" si="183"/>
        <v>0</v>
      </c>
      <c r="BF44" s="78">
        <f t="shared" si="183"/>
        <v>0</v>
      </c>
      <c r="BG44" s="78">
        <f t="shared" si="183"/>
        <v>0</v>
      </c>
      <c r="BH44" s="78">
        <f t="shared" si="183"/>
        <v>0</v>
      </c>
      <c r="BI44" s="78">
        <f t="shared" si="183"/>
        <v>0</v>
      </c>
      <c r="BJ44" s="78">
        <f t="shared" si="183"/>
        <v>0</v>
      </c>
      <c r="BK44" s="78">
        <f t="shared" si="183"/>
        <v>0</v>
      </c>
      <c r="BL44" s="78">
        <f t="shared" si="183"/>
        <v>0</v>
      </c>
      <c r="BM44" s="78">
        <f t="shared" si="183"/>
        <v>0</v>
      </c>
      <c r="BN44" s="78">
        <f t="shared" si="183"/>
        <v>0</v>
      </c>
      <c r="BO44" s="78">
        <f t="shared" si="183"/>
        <v>0</v>
      </c>
      <c r="BP44" s="78">
        <f t="shared" si="183"/>
        <v>0</v>
      </c>
      <c r="BQ44" s="78">
        <f t="shared" si="183"/>
        <v>0</v>
      </c>
      <c r="BR44" s="78">
        <f t="shared" si="183"/>
        <v>0</v>
      </c>
      <c r="BS44" s="78">
        <f t="shared" si="183"/>
        <v>0</v>
      </c>
      <c r="BT44" s="78">
        <f t="shared" si="183"/>
        <v>0</v>
      </c>
      <c r="BU44" s="78">
        <f t="shared" si="183"/>
        <v>0</v>
      </c>
      <c r="BV44" s="78">
        <f t="shared" si="183"/>
        <v>0</v>
      </c>
      <c r="BW44" s="78">
        <f t="shared" si="183"/>
        <v>0</v>
      </c>
      <c r="BX44" s="78">
        <f t="shared" si="183"/>
        <v>0</v>
      </c>
      <c r="BY44" s="78">
        <f t="shared" si="183"/>
        <v>0</v>
      </c>
      <c r="BZ44" s="78">
        <f t="shared" si="183"/>
        <v>0</v>
      </c>
      <c r="CA44" s="78">
        <f t="shared" ref="CA44:CN44" si="184">INDEX(CA$19:CA$23,$C42)</f>
        <v>0</v>
      </c>
      <c r="CB44" s="78">
        <f t="shared" si="184"/>
        <v>0</v>
      </c>
      <c r="CC44" s="78">
        <f t="shared" si="184"/>
        <v>0</v>
      </c>
      <c r="CD44" s="78">
        <f t="shared" si="184"/>
        <v>0</v>
      </c>
      <c r="CE44" s="78">
        <f t="shared" si="184"/>
        <v>0</v>
      </c>
      <c r="CF44" s="78">
        <f t="shared" si="184"/>
        <v>0</v>
      </c>
      <c r="CG44" s="78">
        <f t="shared" si="184"/>
        <v>0</v>
      </c>
      <c r="CH44" s="78">
        <f t="shared" si="184"/>
        <v>0</v>
      </c>
      <c r="CI44" s="78">
        <f t="shared" si="184"/>
        <v>0</v>
      </c>
      <c r="CJ44" s="78">
        <f t="shared" si="184"/>
        <v>0</v>
      </c>
      <c r="CK44" s="78">
        <f t="shared" si="184"/>
        <v>0</v>
      </c>
      <c r="CL44" s="78">
        <f t="shared" si="184"/>
        <v>0</v>
      </c>
      <c r="CM44" s="78">
        <f t="shared" si="184"/>
        <v>0</v>
      </c>
      <c r="CN44" s="78">
        <f t="shared" si="184"/>
        <v>0</v>
      </c>
    </row>
    <row r="45" spans="1:92" ht="12.75" customHeight="1" x14ac:dyDescent="0.3">
      <c r="D45" s="15" t="s">
        <v>183</v>
      </c>
      <c r="E45" s="1">
        <f>INDEX(Ass!L$107:L$111,$C42)</f>
        <v>5</v>
      </c>
      <c r="F45" s="1" t="str">
        <f>INDEX(Ass!M$107:M$111,$C42)</f>
        <v>SL</v>
      </c>
      <c r="H45" s="16" t="s">
        <v>1</v>
      </c>
      <c r="J45" s="58">
        <f ca="1">SUM(L45:CN45)</f>
        <v>-906234.91007864522</v>
      </c>
      <c r="L45" s="82">
        <v>0</v>
      </c>
      <c r="M45" s="15">
        <f t="shared" ref="M45:AR45" ca="1" si="185">-IF(M$12=1,SUM(M43:M44),IF($F45="SL",SUM(OFFSET(L44,,,,-MIN(L$14,$E45*4)))*1/($E45*4),2*1/($E45*4)*M43))</f>
        <v>0</v>
      </c>
      <c r="N45" s="15">
        <f t="shared" ca="1" si="185"/>
        <v>0</v>
      </c>
      <c r="O45" s="15">
        <f t="shared" ca="1" si="185"/>
        <v>-45311.745503932252</v>
      </c>
      <c r="P45" s="15">
        <f t="shared" ca="1" si="185"/>
        <v>-45311.745503932252</v>
      </c>
      <c r="Q45" s="15">
        <f t="shared" ca="1" si="185"/>
        <v>-45311.745503932252</v>
      </c>
      <c r="R45" s="15">
        <f t="shared" ca="1" si="185"/>
        <v>-45311.745503932252</v>
      </c>
      <c r="S45" s="15">
        <f t="shared" ca="1" si="185"/>
        <v>-45311.745503932252</v>
      </c>
      <c r="T45" s="15">
        <f t="shared" ca="1" si="185"/>
        <v>-45311.745503932252</v>
      </c>
      <c r="U45" s="15">
        <f t="shared" ca="1" si="185"/>
        <v>-45311.745503932252</v>
      </c>
      <c r="V45" s="15">
        <f t="shared" ca="1" si="185"/>
        <v>-45311.745503932252</v>
      </c>
      <c r="W45" s="15">
        <f t="shared" ca="1" si="185"/>
        <v>-45311.745503932252</v>
      </c>
      <c r="X45" s="15">
        <f t="shared" ca="1" si="185"/>
        <v>-45311.745503932252</v>
      </c>
      <c r="Y45" s="15">
        <f t="shared" ca="1" si="185"/>
        <v>-45311.745503932252</v>
      </c>
      <c r="Z45" s="15">
        <f t="shared" ca="1" si="185"/>
        <v>-45311.745503932252</v>
      </c>
      <c r="AA45" s="15">
        <f t="shared" ca="1" si="185"/>
        <v>-45311.745503932252</v>
      </c>
      <c r="AB45" s="15">
        <f t="shared" ca="1" si="185"/>
        <v>-45311.745503932252</v>
      </c>
      <c r="AC45" s="15">
        <f t="shared" ca="1" si="185"/>
        <v>-45311.745503932252</v>
      </c>
      <c r="AD45" s="15">
        <f t="shared" ca="1" si="185"/>
        <v>-45311.745503932252</v>
      </c>
      <c r="AE45" s="15">
        <f t="shared" ca="1" si="185"/>
        <v>-45311.745503932252</v>
      </c>
      <c r="AF45" s="15">
        <f t="shared" ca="1" si="185"/>
        <v>-45311.745503932252</v>
      </c>
      <c r="AG45" s="15">
        <f t="shared" ca="1" si="185"/>
        <v>-45311.745503932252</v>
      </c>
      <c r="AH45" s="15">
        <f t="shared" ca="1" si="185"/>
        <v>-45311.745503932252</v>
      </c>
      <c r="AI45" s="15">
        <f t="shared" ca="1" si="185"/>
        <v>0</v>
      </c>
      <c r="AJ45" s="15">
        <f t="shared" ca="1" si="185"/>
        <v>0</v>
      </c>
      <c r="AK45" s="15">
        <f t="shared" ca="1" si="185"/>
        <v>0</v>
      </c>
      <c r="AL45" s="15">
        <f t="shared" ca="1" si="185"/>
        <v>0</v>
      </c>
      <c r="AM45" s="15">
        <f t="shared" ca="1" si="185"/>
        <v>0</v>
      </c>
      <c r="AN45" s="15">
        <f t="shared" ca="1" si="185"/>
        <v>0</v>
      </c>
      <c r="AO45" s="15">
        <f t="shared" ca="1" si="185"/>
        <v>0</v>
      </c>
      <c r="AP45" s="15">
        <f t="shared" ca="1" si="185"/>
        <v>0</v>
      </c>
      <c r="AQ45" s="15">
        <f t="shared" ca="1" si="185"/>
        <v>0</v>
      </c>
      <c r="AR45" s="15">
        <f t="shared" ca="1" si="185"/>
        <v>0</v>
      </c>
      <c r="AS45" s="15">
        <f t="shared" ref="AS45:BX45" ca="1" si="186">-IF(AS$12=1,SUM(AS43:AS44),IF($F45="SL",SUM(OFFSET(AR44,,,,-MIN(AR$14,$E45*4)))*1/($E45*4),2*1/($E45*4)*AS43))</f>
        <v>0</v>
      </c>
      <c r="AT45" s="15">
        <f t="shared" ca="1" si="186"/>
        <v>0</v>
      </c>
      <c r="AU45" s="15">
        <f t="shared" ca="1" si="186"/>
        <v>0</v>
      </c>
      <c r="AV45" s="15">
        <f t="shared" ca="1" si="186"/>
        <v>0</v>
      </c>
      <c r="AW45" s="15">
        <f t="shared" ca="1" si="186"/>
        <v>0</v>
      </c>
      <c r="AX45" s="15">
        <f t="shared" ca="1" si="186"/>
        <v>0</v>
      </c>
      <c r="AY45" s="15">
        <f t="shared" ca="1" si="186"/>
        <v>0</v>
      </c>
      <c r="AZ45" s="15">
        <f t="shared" ca="1" si="186"/>
        <v>0</v>
      </c>
      <c r="BA45" s="15">
        <f t="shared" ca="1" si="186"/>
        <v>0</v>
      </c>
      <c r="BB45" s="15">
        <f t="shared" ca="1" si="186"/>
        <v>0</v>
      </c>
      <c r="BC45" s="15">
        <f t="shared" ca="1" si="186"/>
        <v>0</v>
      </c>
      <c r="BD45" s="15">
        <f t="shared" ca="1" si="186"/>
        <v>0</v>
      </c>
      <c r="BE45" s="15">
        <f t="shared" ca="1" si="186"/>
        <v>0</v>
      </c>
      <c r="BF45" s="15">
        <f t="shared" ca="1" si="186"/>
        <v>0</v>
      </c>
      <c r="BG45" s="15">
        <f t="shared" ca="1" si="186"/>
        <v>0</v>
      </c>
      <c r="BH45" s="15">
        <f t="shared" ca="1" si="186"/>
        <v>0</v>
      </c>
      <c r="BI45" s="15">
        <f t="shared" ca="1" si="186"/>
        <v>0</v>
      </c>
      <c r="BJ45" s="15">
        <f t="shared" ca="1" si="186"/>
        <v>0</v>
      </c>
      <c r="BK45" s="15">
        <f t="shared" ca="1" si="186"/>
        <v>0</v>
      </c>
      <c r="BL45" s="15">
        <f t="shared" ca="1" si="186"/>
        <v>0</v>
      </c>
      <c r="BM45" s="15">
        <f t="shared" ca="1" si="186"/>
        <v>0</v>
      </c>
      <c r="BN45" s="15">
        <f t="shared" ca="1" si="186"/>
        <v>0</v>
      </c>
      <c r="BO45" s="15">
        <f t="shared" ca="1" si="186"/>
        <v>0</v>
      </c>
      <c r="BP45" s="15">
        <f t="shared" ca="1" si="186"/>
        <v>0</v>
      </c>
      <c r="BQ45" s="15">
        <f t="shared" ca="1" si="186"/>
        <v>0</v>
      </c>
      <c r="BR45" s="15">
        <f t="shared" ca="1" si="186"/>
        <v>0</v>
      </c>
      <c r="BS45" s="15">
        <f t="shared" ca="1" si="186"/>
        <v>0</v>
      </c>
      <c r="BT45" s="15">
        <f t="shared" ca="1" si="186"/>
        <v>0</v>
      </c>
      <c r="BU45" s="15">
        <f t="shared" ca="1" si="186"/>
        <v>0</v>
      </c>
      <c r="BV45" s="15">
        <f t="shared" ca="1" si="186"/>
        <v>0</v>
      </c>
      <c r="BW45" s="15">
        <f t="shared" ca="1" si="186"/>
        <v>0</v>
      </c>
      <c r="BX45" s="15">
        <f t="shared" ca="1" si="186"/>
        <v>0</v>
      </c>
      <c r="BY45" s="15">
        <f t="shared" ref="BY45:CN45" ca="1" si="187">-IF(BY$12=1,SUM(BY43:BY44),IF($F45="SL",SUM(OFFSET(BX44,,,,-MIN(BX$14,$E45*4)))*1/($E45*4),2*1/($E45*4)*BY43))</f>
        <v>0</v>
      </c>
      <c r="BZ45" s="15">
        <f t="shared" ca="1" si="187"/>
        <v>0</v>
      </c>
      <c r="CA45" s="15">
        <f t="shared" ca="1" si="187"/>
        <v>0</v>
      </c>
      <c r="CB45" s="15">
        <f t="shared" ca="1" si="187"/>
        <v>0</v>
      </c>
      <c r="CC45" s="15">
        <f t="shared" ca="1" si="187"/>
        <v>0</v>
      </c>
      <c r="CD45" s="15">
        <f t="shared" ca="1" si="187"/>
        <v>0</v>
      </c>
      <c r="CE45" s="15">
        <f t="shared" ca="1" si="187"/>
        <v>0</v>
      </c>
      <c r="CF45" s="15">
        <f t="shared" ca="1" si="187"/>
        <v>0</v>
      </c>
      <c r="CG45" s="15">
        <f t="shared" ca="1" si="187"/>
        <v>0</v>
      </c>
      <c r="CH45" s="15">
        <f t="shared" ca="1" si="187"/>
        <v>0</v>
      </c>
      <c r="CI45" s="15">
        <f t="shared" ca="1" si="187"/>
        <v>0</v>
      </c>
      <c r="CJ45" s="15">
        <f t="shared" ca="1" si="187"/>
        <v>0</v>
      </c>
      <c r="CK45" s="15">
        <f t="shared" ca="1" si="187"/>
        <v>0</v>
      </c>
      <c r="CL45" s="15">
        <f t="shared" ca="1" si="187"/>
        <v>0</v>
      </c>
      <c r="CM45" s="15">
        <f t="shared" ca="1" si="187"/>
        <v>0</v>
      </c>
      <c r="CN45" s="75">
        <f t="shared" ca="1" si="187"/>
        <v>-3.0559021979570389E-10</v>
      </c>
    </row>
    <row r="46" spans="1:92" ht="12.75" customHeight="1" x14ac:dyDescent="0.3">
      <c r="D46" s="50" t="s">
        <v>184</v>
      </c>
      <c r="H46" s="16" t="s">
        <v>1</v>
      </c>
      <c r="J46" s="50">
        <f t="shared" ref="J46:N46" ca="1" si="188">SUM(J43:J45)</f>
        <v>0</v>
      </c>
      <c r="L46" s="83">
        <v>0</v>
      </c>
      <c r="M46" s="50">
        <f t="shared" ca="1" si="188"/>
        <v>0</v>
      </c>
      <c r="N46" s="50">
        <f t="shared" ca="1" si="188"/>
        <v>906234.9100786451</v>
      </c>
      <c r="O46" s="50">
        <f t="shared" ref="O46" ca="1" si="189">SUM(O43:O45)</f>
        <v>860923.16457471286</v>
      </c>
      <c r="P46" s="50">
        <f t="shared" ref="P46" ca="1" si="190">SUM(P43:P45)</f>
        <v>815611.41907078063</v>
      </c>
      <c r="Q46" s="50">
        <f t="shared" ref="Q46" ca="1" si="191">SUM(Q43:Q45)</f>
        <v>770299.67356684839</v>
      </c>
      <c r="R46" s="50">
        <f t="shared" ref="R46" ca="1" si="192">SUM(R43:R45)</f>
        <v>724987.92806291615</v>
      </c>
      <c r="S46" s="50">
        <f t="shared" ref="S46" ca="1" si="193">SUM(S43:S45)</f>
        <v>679676.18255898391</v>
      </c>
      <c r="T46" s="50">
        <f t="shared" ref="T46" ca="1" si="194">SUM(T43:T45)</f>
        <v>634364.43705505168</v>
      </c>
      <c r="U46" s="50">
        <f t="shared" ref="U46" ca="1" si="195">SUM(U43:U45)</f>
        <v>589052.69155111944</v>
      </c>
      <c r="V46" s="50">
        <f t="shared" ref="V46" ca="1" si="196">SUM(V43:V45)</f>
        <v>543740.9460471872</v>
      </c>
      <c r="W46" s="50">
        <f t="shared" ref="W46" ca="1" si="197">SUM(W43:W45)</f>
        <v>498429.20054325496</v>
      </c>
      <c r="X46" s="50">
        <f t="shared" ref="X46" ca="1" si="198">SUM(X43:X45)</f>
        <v>453117.45503932273</v>
      </c>
      <c r="Y46" s="50">
        <f t="shared" ref="Y46" ca="1" si="199">SUM(Y43:Y45)</f>
        <v>407805.70953539049</v>
      </c>
      <c r="Z46" s="50">
        <f t="shared" ref="Z46" ca="1" si="200">SUM(Z43:Z45)</f>
        <v>362493.96403145825</v>
      </c>
      <c r="AA46" s="50">
        <f t="shared" ref="AA46" ca="1" si="201">SUM(AA43:AA45)</f>
        <v>317182.21852752601</v>
      </c>
      <c r="AB46" s="50">
        <f t="shared" ref="AB46" ca="1" si="202">SUM(AB43:AB45)</f>
        <v>271870.47302359377</v>
      </c>
      <c r="AC46" s="50">
        <f t="shared" ref="AC46" ca="1" si="203">SUM(AC43:AC45)</f>
        <v>226558.72751966154</v>
      </c>
      <c r="AD46" s="50">
        <f t="shared" ref="AD46" ca="1" si="204">SUM(AD43:AD45)</f>
        <v>181246.9820157293</v>
      </c>
      <c r="AE46" s="50">
        <f t="shared" ref="AE46" ca="1" si="205">SUM(AE43:AE45)</f>
        <v>135935.23651179706</v>
      </c>
      <c r="AF46" s="50">
        <f t="shared" ref="AF46" ca="1" si="206">SUM(AF43:AF45)</f>
        <v>90623.49100786481</v>
      </c>
      <c r="AG46" s="50">
        <f t="shared" ref="AG46" ca="1" si="207">SUM(AG43:AG45)</f>
        <v>45311.745503932558</v>
      </c>
      <c r="AH46" s="50">
        <f t="shared" ref="AH46" ca="1" si="208">SUM(AH43:AH45)</f>
        <v>3.0559021979570389E-10</v>
      </c>
      <c r="AI46" s="50">
        <f t="shared" ref="AI46" ca="1" si="209">SUM(AI43:AI45)</f>
        <v>3.0559021979570389E-10</v>
      </c>
      <c r="AJ46" s="50">
        <f t="shared" ref="AJ46" ca="1" si="210">SUM(AJ43:AJ45)</f>
        <v>3.0559021979570389E-10</v>
      </c>
      <c r="AK46" s="50">
        <f t="shared" ref="AK46" ca="1" si="211">SUM(AK43:AK45)</f>
        <v>3.0559021979570389E-10</v>
      </c>
      <c r="AL46" s="50">
        <f t="shared" ref="AL46" ca="1" si="212">SUM(AL43:AL45)</f>
        <v>3.0559021979570389E-10</v>
      </c>
      <c r="AM46" s="50">
        <f t="shared" ref="AM46" ca="1" si="213">SUM(AM43:AM45)</f>
        <v>3.0559021979570389E-10</v>
      </c>
      <c r="AN46" s="50">
        <f t="shared" ref="AN46" ca="1" si="214">SUM(AN43:AN45)</f>
        <v>3.0559021979570389E-10</v>
      </c>
      <c r="AO46" s="50">
        <f t="shared" ref="AO46" ca="1" si="215">SUM(AO43:AO45)</f>
        <v>3.0559021979570389E-10</v>
      </c>
      <c r="AP46" s="50">
        <f t="shared" ref="AP46" ca="1" si="216">SUM(AP43:AP45)</f>
        <v>3.0559021979570389E-10</v>
      </c>
      <c r="AQ46" s="50">
        <f t="shared" ref="AQ46" ca="1" si="217">SUM(AQ43:AQ45)</f>
        <v>3.0559021979570389E-10</v>
      </c>
      <c r="AR46" s="50">
        <f t="shared" ref="AR46" ca="1" si="218">SUM(AR43:AR45)</f>
        <v>3.0559021979570389E-10</v>
      </c>
      <c r="AS46" s="50">
        <f t="shared" ref="AS46" ca="1" si="219">SUM(AS43:AS45)</f>
        <v>3.0559021979570389E-10</v>
      </c>
      <c r="AT46" s="50">
        <f t="shared" ref="AT46" ca="1" si="220">SUM(AT43:AT45)</f>
        <v>3.0559021979570389E-10</v>
      </c>
      <c r="AU46" s="50">
        <f t="shared" ref="AU46" ca="1" si="221">SUM(AU43:AU45)</f>
        <v>3.0559021979570389E-10</v>
      </c>
      <c r="AV46" s="50">
        <f t="shared" ref="AV46" ca="1" si="222">SUM(AV43:AV45)</f>
        <v>3.0559021979570389E-10</v>
      </c>
      <c r="AW46" s="50">
        <f t="shared" ref="AW46" ca="1" si="223">SUM(AW43:AW45)</f>
        <v>3.0559021979570389E-10</v>
      </c>
      <c r="AX46" s="50">
        <f t="shared" ref="AX46" ca="1" si="224">SUM(AX43:AX45)</f>
        <v>3.0559021979570389E-10</v>
      </c>
      <c r="AY46" s="50">
        <f t="shared" ref="AY46" ca="1" si="225">SUM(AY43:AY45)</f>
        <v>3.0559021979570389E-10</v>
      </c>
      <c r="AZ46" s="50">
        <f t="shared" ref="AZ46" ca="1" si="226">SUM(AZ43:AZ45)</f>
        <v>3.0559021979570389E-10</v>
      </c>
      <c r="BA46" s="50">
        <f t="shared" ref="BA46" ca="1" si="227">SUM(BA43:BA45)</f>
        <v>3.0559021979570389E-10</v>
      </c>
      <c r="BB46" s="50">
        <f t="shared" ref="BB46" ca="1" si="228">SUM(BB43:BB45)</f>
        <v>3.0559021979570389E-10</v>
      </c>
      <c r="BC46" s="50">
        <f t="shared" ref="BC46" ca="1" si="229">SUM(BC43:BC45)</f>
        <v>3.0559021979570389E-10</v>
      </c>
      <c r="BD46" s="50">
        <f t="shared" ref="BD46" ca="1" si="230">SUM(BD43:BD45)</f>
        <v>3.0559021979570389E-10</v>
      </c>
      <c r="BE46" s="50">
        <f t="shared" ref="BE46" ca="1" si="231">SUM(BE43:BE45)</f>
        <v>3.0559021979570389E-10</v>
      </c>
      <c r="BF46" s="50">
        <f t="shared" ref="BF46" ca="1" si="232">SUM(BF43:BF45)</f>
        <v>3.0559021979570389E-10</v>
      </c>
      <c r="BG46" s="50">
        <f t="shared" ref="BG46" ca="1" si="233">SUM(BG43:BG45)</f>
        <v>3.0559021979570389E-10</v>
      </c>
      <c r="BH46" s="50">
        <f t="shared" ref="BH46" ca="1" si="234">SUM(BH43:BH45)</f>
        <v>3.0559021979570389E-10</v>
      </c>
      <c r="BI46" s="50">
        <f t="shared" ref="BI46" ca="1" si="235">SUM(BI43:BI45)</f>
        <v>3.0559021979570389E-10</v>
      </c>
      <c r="BJ46" s="50">
        <f t="shared" ref="BJ46" ca="1" si="236">SUM(BJ43:BJ45)</f>
        <v>3.0559021979570389E-10</v>
      </c>
      <c r="BK46" s="50">
        <f t="shared" ref="BK46" ca="1" si="237">SUM(BK43:BK45)</f>
        <v>3.0559021979570389E-10</v>
      </c>
      <c r="BL46" s="50">
        <f t="shared" ref="BL46" ca="1" si="238">SUM(BL43:BL45)</f>
        <v>3.0559021979570389E-10</v>
      </c>
      <c r="BM46" s="50">
        <f t="shared" ref="BM46" ca="1" si="239">SUM(BM43:BM45)</f>
        <v>3.0559021979570389E-10</v>
      </c>
      <c r="BN46" s="50">
        <f t="shared" ref="BN46" ca="1" si="240">SUM(BN43:BN45)</f>
        <v>3.0559021979570389E-10</v>
      </c>
      <c r="BO46" s="50">
        <f t="shared" ref="BO46" ca="1" si="241">SUM(BO43:BO45)</f>
        <v>3.0559021979570389E-10</v>
      </c>
      <c r="BP46" s="50">
        <f t="shared" ref="BP46" ca="1" si="242">SUM(BP43:BP45)</f>
        <v>3.0559021979570389E-10</v>
      </c>
      <c r="BQ46" s="50">
        <f t="shared" ref="BQ46" ca="1" si="243">SUM(BQ43:BQ45)</f>
        <v>3.0559021979570389E-10</v>
      </c>
      <c r="BR46" s="50">
        <f t="shared" ref="BR46" ca="1" si="244">SUM(BR43:BR45)</f>
        <v>3.0559021979570389E-10</v>
      </c>
      <c r="BS46" s="50">
        <f t="shared" ref="BS46" ca="1" si="245">SUM(BS43:BS45)</f>
        <v>3.0559021979570389E-10</v>
      </c>
      <c r="BT46" s="50">
        <f t="shared" ref="BT46" ca="1" si="246">SUM(BT43:BT45)</f>
        <v>3.0559021979570389E-10</v>
      </c>
      <c r="BU46" s="50">
        <f t="shared" ref="BU46" ca="1" si="247">SUM(BU43:BU45)</f>
        <v>3.0559021979570389E-10</v>
      </c>
      <c r="BV46" s="50">
        <f t="shared" ref="BV46" ca="1" si="248">SUM(BV43:BV45)</f>
        <v>3.0559021979570389E-10</v>
      </c>
      <c r="BW46" s="50">
        <f t="shared" ref="BW46" ca="1" si="249">SUM(BW43:BW45)</f>
        <v>3.0559021979570389E-10</v>
      </c>
      <c r="BX46" s="50">
        <f t="shared" ref="BX46" ca="1" si="250">SUM(BX43:BX45)</f>
        <v>3.0559021979570389E-10</v>
      </c>
      <c r="BY46" s="50">
        <f t="shared" ref="BY46" ca="1" si="251">SUM(BY43:BY45)</f>
        <v>3.0559021979570389E-10</v>
      </c>
      <c r="BZ46" s="50">
        <f t="shared" ref="BZ46" ca="1" si="252">SUM(BZ43:BZ45)</f>
        <v>3.0559021979570389E-10</v>
      </c>
      <c r="CA46" s="50">
        <f t="shared" ref="CA46" ca="1" si="253">SUM(CA43:CA45)</f>
        <v>3.0559021979570389E-10</v>
      </c>
      <c r="CB46" s="50">
        <f t="shared" ref="CB46" ca="1" si="254">SUM(CB43:CB45)</f>
        <v>3.0559021979570389E-10</v>
      </c>
      <c r="CC46" s="50">
        <f t="shared" ref="CC46" ca="1" si="255">SUM(CC43:CC45)</f>
        <v>3.0559021979570389E-10</v>
      </c>
      <c r="CD46" s="50">
        <f t="shared" ref="CD46" ca="1" si="256">SUM(CD43:CD45)</f>
        <v>3.0559021979570389E-10</v>
      </c>
      <c r="CE46" s="50">
        <f t="shared" ref="CE46" ca="1" si="257">SUM(CE43:CE45)</f>
        <v>3.0559021979570389E-10</v>
      </c>
      <c r="CF46" s="50">
        <f t="shared" ref="CF46" ca="1" si="258">SUM(CF43:CF45)</f>
        <v>3.0559021979570389E-10</v>
      </c>
      <c r="CG46" s="50">
        <f t="shared" ref="CG46" ca="1" si="259">SUM(CG43:CG45)</f>
        <v>3.0559021979570389E-10</v>
      </c>
      <c r="CH46" s="50">
        <f t="shared" ref="CH46" ca="1" si="260">SUM(CH43:CH45)</f>
        <v>3.0559021979570389E-10</v>
      </c>
      <c r="CI46" s="50">
        <f t="shared" ref="CI46" ca="1" si="261">SUM(CI43:CI45)</f>
        <v>3.0559021979570389E-10</v>
      </c>
      <c r="CJ46" s="50">
        <f t="shared" ref="CJ46" ca="1" si="262">SUM(CJ43:CJ45)</f>
        <v>3.0559021979570389E-10</v>
      </c>
      <c r="CK46" s="50">
        <f t="shared" ref="CK46" ca="1" si="263">SUM(CK43:CK45)</f>
        <v>3.0559021979570389E-10</v>
      </c>
      <c r="CL46" s="50">
        <f t="shared" ref="CL46" ca="1" si="264">SUM(CL43:CL45)</f>
        <v>3.0559021979570389E-10</v>
      </c>
      <c r="CM46" s="50">
        <f t="shared" ref="CM46" ca="1" si="265">SUM(CM43:CM45)</f>
        <v>3.0559021979570389E-10</v>
      </c>
      <c r="CN46" s="50">
        <f t="shared" ref="CN46" ca="1" si="266">SUM(CN43:CN45)</f>
        <v>0</v>
      </c>
    </row>
    <row r="47" spans="1:92" ht="12.75" customHeight="1" x14ac:dyDescent="0.3">
      <c r="D47" s="84"/>
      <c r="E47" s="85"/>
      <c r="F47" s="85"/>
      <c r="G47" s="85"/>
      <c r="H47" s="86"/>
      <c r="I47" s="87"/>
      <c r="J47" s="84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</row>
    <row r="48" spans="1:92" ht="12.75" customHeight="1" x14ac:dyDescent="0.3">
      <c r="D48" s="15"/>
      <c r="H48" s="16"/>
      <c r="J48" s="15"/>
    </row>
    <row r="49" spans="3:92" ht="12.75" customHeight="1" x14ac:dyDescent="0.3">
      <c r="C49" s="24">
        <f>C42+1</f>
        <v>2</v>
      </c>
      <c r="D49" s="17" t="str">
        <f>INDEX(Ass!$D$107:$D$111,CapexDA!$C49)</f>
        <v>Asset Class 2</v>
      </c>
      <c r="H49" s="16"/>
      <c r="J49" s="15"/>
    </row>
    <row r="50" spans="3:92" ht="12.75" customHeight="1" x14ac:dyDescent="0.3">
      <c r="D50" s="15" t="s">
        <v>181</v>
      </c>
      <c r="H50" s="16" t="s">
        <v>1</v>
      </c>
      <c r="J50" s="15"/>
      <c r="L50" s="80">
        <v>0</v>
      </c>
      <c r="M50" s="15">
        <f t="shared" ref="M50:BX50" si="267">L53</f>
        <v>0</v>
      </c>
      <c r="N50" s="15">
        <f t="shared" ca="1" si="267"/>
        <v>0</v>
      </c>
      <c r="O50" s="15">
        <f t="shared" ca="1" si="267"/>
        <v>0</v>
      </c>
      <c r="P50" s="15">
        <f t="shared" ca="1" si="267"/>
        <v>1013903.3484509259</v>
      </c>
      <c r="Q50" s="15">
        <f t="shared" ca="1" si="267"/>
        <v>950534.38917274307</v>
      </c>
      <c r="R50" s="15">
        <f t="shared" ca="1" si="267"/>
        <v>887165.42989456025</v>
      </c>
      <c r="S50" s="15">
        <f t="shared" ca="1" si="267"/>
        <v>823796.47061637742</v>
      </c>
      <c r="T50" s="15">
        <f t="shared" ca="1" si="267"/>
        <v>760427.5113381946</v>
      </c>
      <c r="U50" s="15">
        <f t="shared" ca="1" si="267"/>
        <v>697058.55206001177</v>
      </c>
      <c r="V50" s="15">
        <f t="shared" ca="1" si="267"/>
        <v>633689.59278182895</v>
      </c>
      <c r="W50" s="15">
        <f t="shared" ca="1" si="267"/>
        <v>570320.63350364612</v>
      </c>
      <c r="X50" s="15">
        <f t="shared" ca="1" si="267"/>
        <v>506951.67422546324</v>
      </c>
      <c r="Y50" s="15">
        <f t="shared" ca="1" si="267"/>
        <v>443582.71494728036</v>
      </c>
      <c r="Z50" s="15">
        <f t="shared" ca="1" si="267"/>
        <v>380213.75566909747</v>
      </c>
      <c r="AA50" s="15">
        <f t="shared" ca="1" si="267"/>
        <v>316844.79639091459</v>
      </c>
      <c r="AB50" s="15">
        <f t="shared" ca="1" si="267"/>
        <v>253475.83711273171</v>
      </c>
      <c r="AC50" s="15">
        <f t="shared" ca="1" si="267"/>
        <v>190106.87783454882</v>
      </c>
      <c r="AD50" s="15">
        <f t="shared" ca="1" si="267"/>
        <v>126737.91855636596</v>
      </c>
      <c r="AE50" s="15">
        <f t="shared" ca="1" si="267"/>
        <v>63368.959278183087</v>
      </c>
      <c r="AF50" s="15">
        <f t="shared" ca="1" si="267"/>
        <v>2.1827872842550278E-10</v>
      </c>
      <c r="AG50" s="15">
        <f t="shared" ca="1" si="267"/>
        <v>2.1827872842550278E-10</v>
      </c>
      <c r="AH50" s="15">
        <f t="shared" ca="1" si="267"/>
        <v>2.1827872842550278E-10</v>
      </c>
      <c r="AI50" s="15">
        <f t="shared" ca="1" si="267"/>
        <v>2.1827872842550278E-10</v>
      </c>
      <c r="AJ50" s="15">
        <f t="shared" ca="1" si="267"/>
        <v>2.1827872842550278E-10</v>
      </c>
      <c r="AK50" s="15">
        <f t="shared" ca="1" si="267"/>
        <v>2.1827872842550278E-10</v>
      </c>
      <c r="AL50" s="15">
        <f t="shared" ca="1" si="267"/>
        <v>2.1827872842550278E-10</v>
      </c>
      <c r="AM50" s="15">
        <f t="shared" ca="1" si="267"/>
        <v>2.1827872842550278E-10</v>
      </c>
      <c r="AN50" s="15">
        <f t="shared" ca="1" si="267"/>
        <v>2.1827872842550278E-10</v>
      </c>
      <c r="AO50" s="15">
        <f t="shared" ca="1" si="267"/>
        <v>2.1827872842550278E-10</v>
      </c>
      <c r="AP50" s="15">
        <f t="shared" ca="1" si="267"/>
        <v>2.1827872842550278E-10</v>
      </c>
      <c r="AQ50" s="15">
        <f t="shared" ca="1" si="267"/>
        <v>2.1827872842550278E-10</v>
      </c>
      <c r="AR50" s="15">
        <f t="shared" ca="1" si="267"/>
        <v>2.1827872842550278E-10</v>
      </c>
      <c r="AS50" s="15">
        <f t="shared" ca="1" si="267"/>
        <v>2.1827872842550278E-10</v>
      </c>
      <c r="AT50" s="15">
        <f t="shared" ca="1" si="267"/>
        <v>2.1827872842550278E-10</v>
      </c>
      <c r="AU50" s="15">
        <f t="shared" ca="1" si="267"/>
        <v>2.1827872842550278E-10</v>
      </c>
      <c r="AV50" s="15">
        <f t="shared" ca="1" si="267"/>
        <v>2.1827872842550278E-10</v>
      </c>
      <c r="AW50" s="15">
        <f t="shared" ca="1" si="267"/>
        <v>2.1827872842550278E-10</v>
      </c>
      <c r="AX50" s="15">
        <f t="shared" ca="1" si="267"/>
        <v>2.1827872842550278E-10</v>
      </c>
      <c r="AY50" s="15">
        <f t="shared" ca="1" si="267"/>
        <v>2.1827872842550278E-10</v>
      </c>
      <c r="AZ50" s="15">
        <f t="shared" ca="1" si="267"/>
        <v>2.1827872842550278E-10</v>
      </c>
      <c r="BA50" s="15">
        <f t="shared" ca="1" si="267"/>
        <v>2.1827872842550278E-10</v>
      </c>
      <c r="BB50" s="15">
        <f t="shared" ca="1" si="267"/>
        <v>2.1827872842550278E-10</v>
      </c>
      <c r="BC50" s="15">
        <f t="shared" ca="1" si="267"/>
        <v>2.1827872842550278E-10</v>
      </c>
      <c r="BD50" s="15">
        <f t="shared" ca="1" si="267"/>
        <v>2.1827872842550278E-10</v>
      </c>
      <c r="BE50" s="15">
        <f t="shared" ca="1" si="267"/>
        <v>2.1827872842550278E-10</v>
      </c>
      <c r="BF50" s="15">
        <f t="shared" ca="1" si="267"/>
        <v>2.1827872842550278E-10</v>
      </c>
      <c r="BG50" s="15">
        <f t="shared" ca="1" si="267"/>
        <v>2.1827872842550278E-10</v>
      </c>
      <c r="BH50" s="15">
        <f t="shared" ca="1" si="267"/>
        <v>2.1827872842550278E-10</v>
      </c>
      <c r="BI50" s="15">
        <f t="shared" ca="1" si="267"/>
        <v>2.1827872842550278E-10</v>
      </c>
      <c r="BJ50" s="15">
        <f t="shared" ca="1" si="267"/>
        <v>2.1827872842550278E-10</v>
      </c>
      <c r="BK50" s="15">
        <f t="shared" ca="1" si="267"/>
        <v>2.1827872842550278E-10</v>
      </c>
      <c r="BL50" s="15">
        <f t="shared" ca="1" si="267"/>
        <v>2.1827872842550278E-10</v>
      </c>
      <c r="BM50" s="15">
        <f t="shared" ca="1" si="267"/>
        <v>2.1827872842550278E-10</v>
      </c>
      <c r="BN50" s="15">
        <f t="shared" ca="1" si="267"/>
        <v>2.1827872842550278E-10</v>
      </c>
      <c r="BO50" s="15">
        <f t="shared" ca="1" si="267"/>
        <v>2.1827872842550278E-10</v>
      </c>
      <c r="BP50" s="15">
        <f t="shared" ca="1" si="267"/>
        <v>2.1827872842550278E-10</v>
      </c>
      <c r="BQ50" s="15">
        <f t="shared" ca="1" si="267"/>
        <v>2.1827872842550278E-10</v>
      </c>
      <c r="BR50" s="15">
        <f t="shared" ca="1" si="267"/>
        <v>2.1827872842550278E-10</v>
      </c>
      <c r="BS50" s="15">
        <f t="shared" ca="1" si="267"/>
        <v>2.1827872842550278E-10</v>
      </c>
      <c r="BT50" s="15">
        <f t="shared" ca="1" si="267"/>
        <v>2.1827872842550278E-10</v>
      </c>
      <c r="BU50" s="15">
        <f t="shared" ca="1" si="267"/>
        <v>2.1827872842550278E-10</v>
      </c>
      <c r="BV50" s="15">
        <f t="shared" ca="1" si="267"/>
        <v>2.1827872842550278E-10</v>
      </c>
      <c r="BW50" s="15">
        <f t="shared" ca="1" si="267"/>
        <v>2.1827872842550278E-10</v>
      </c>
      <c r="BX50" s="15">
        <f t="shared" ca="1" si="267"/>
        <v>2.1827872842550278E-10</v>
      </c>
      <c r="BY50" s="15">
        <f t="shared" ref="BY50:CN50" ca="1" si="268">BX53</f>
        <v>2.1827872842550278E-10</v>
      </c>
      <c r="BZ50" s="15">
        <f t="shared" ca="1" si="268"/>
        <v>2.1827872842550278E-10</v>
      </c>
      <c r="CA50" s="15">
        <f t="shared" ca="1" si="268"/>
        <v>2.1827872842550278E-10</v>
      </c>
      <c r="CB50" s="15">
        <f t="shared" ca="1" si="268"/>
        <v>2.1827872842550278E-10</v>
      </c>
      <c r="CC50" s="15">
        <f t="shared" ca="1" si="268"/>
        <v>2.1827872842550278E-10</v>
      </c>
      <c r="CD50" s="15">
        <f t="shared" ca="1" si="268"/>
        <v>2.1827872842550278E-10</v>
      </c>
      <c r="CE50" s="15">
        <f t="shared" ca="1" si="268"/>
        <v>2.1827872842550278E-10</v>
      </c>
      <c r="CF50" s="15">
        <f t="shared" ca="1" si="268"/>
        <v>2.1827872842550278E-10</v>
      </c>
      <c r="CG50" s="15">
        <f t="shared" ca="1" si="268"/>
        <v>2.1827872842550278E-10</v>
      </c>
      <c r="CH50" s="15">
        <f t="shared" ca="1" si="268"/>
        <v>2.1827872842550278E-10</v>
      </c>
      <c r="CI50" s="15">
        <f t="shared" ca="1" si="268"/>
        <v>2.1827872842550278E-10</v>
      </c>
      <c r="CJ50" s="15">
        <f t="shared" ca="1" si="268"/>
        <v>2.1827872842550278E-10</v>
      </c>
      <c r="CK50" s="15">
        <f t="shared" ca="1" si="268"/>
        <v>2.1827872842550278E-10</v>
      </c>
      <c r="CL50" s="15">
        <f t="shared" ca="1" si="268"/>
        <v>2.1827872842550278E-10</v>
      </c>
      <c r="CM50" s="15">
        <f t="shared" ca="1" si="268"/>
        <v>2.1827872842550278E-10</v>
      </c>
      <c r="CN50" s="15">
        <f t="shared" ca="1" si="268"/>
        <v>2.1827872842550278E-10</v>
      </c>
    </row>
    <row r="51" spans="3:92" ht="12.75" customHeight="1" x14ac:dyDescent="0.3">
      <c r="D51" s="15" t="s">
        <v>182</v>
      </c>
      <c r="H51" s="16" t="s">
        <v>1</v>
      </c>
      <c r="J51" s="58">
        <f>SUM(L51:CN51)</f>
        <v>1013903.3484509259</v>
      </c>
      <c r="L51" s="81">
        <v>0</v>
      </c>
      <c r="M51" s="78">
        <f t="shared" ref="M51:BX51" si="269">INDEX(M$19:M$23,$C49)</f>
        <v>0</v>
      </c>
      <c r="N51" s="78">
        <f t="shared" si="269"/>
        <v>0</v>
      </c>
      <c r="O51" s="78">
        <f t="shared" si="269"/>
        <v>1013903.3484509259</v>
      </c>
      <c r="P51" s="78">
        <f t="shared" si="269"/>
        <v>0</v>
      </c>
      <c r="Q51" s="78">
        <f t="shared" si="269"/>
        <v>0</v>
      </c>
      <c r="R51" s="78">
        <f t="shared" si="269"/>
        <v>0</v>
      </c>
      <c r="S51" s="78">
        <f t="shared" si="269"/>
        <v>0</v>
      </c>
      <c r="T51" s="78">
        <f t="shared" si="269"/>
        <v>0</v>
      </c>
      <c r="U51" s="78">
        <f t="shared" si="269"/>
        <v>0</v>
      </c>
      <c r="V51" s="78">
        <f t="shared" si="269"/>
        <v>0</v>
      </c>
      <c r="W51" s="78">
        <f t="shared" si="269"/>
        <v>0</v>
      </c>
      <c r="X51" s="78">
        <f t="shared" si="269"/>
        <v>0</v>
      </c>
      <c r="Y51" s="78">
        <f t="shared" si="269"/>
        <v>0</v>
      </c>
      <c r="Z51" s="78">
        <f t="shared" si="269"/>
        <v>0</v>
      </c>
      <c r="AA51" s="78">
        <f t="shared" si="269"/>
        <v>0</v>
      </c>
      <c r="AB51" s="78">
        <f t="shared" si="269"/>
        <v>0</v>
      </c>
      <c r="AC51" s="78">
        <f t="shared" si="269"/>
        <v>0</v>
      </c>
      <c r="AD51" s="78">
        <f t="shared" si="269"/>
        <v>0</v>
      </c>
      <c r="AE51" s="78">
        <f t="shared" si="269"/>
        <v>0</v>
      </c>
      <c r="AF51" s="78">
        <f t="shared" si="269"/>
        <v>0</v>
      </c>
      <c r="AG51" s="78">
        <f t="shared" si="269"/>
        <v>0</v>
      </c>
      <c r="AH51" s="78">
        <f t="shared" si="269"/>
        <v>0</v>
      </c>
      <c r="AI51" s="78">
        <f t="shared" si="269"/>
        <v>0</v>
      </c>
      <c r="AJ51" s="78">
        <f t="shared" si="269"/>
        <v>0</v>
      </c>
      <c r="AK51" s="78">
        <f t="shared" si="269"/>
        <v>0</v>
      </c>
      <c r="AL51" s="78">
        <f t="shared" si="269"/>
        <v>0</v>
      </c>
      <c r="AM51" s="78">
        <f t="shared" si="269"/>
        <v>0</v>
      </c>
      <c r="AN51" s="78">
        <f t="shared" si="269"/>
        <v>0</v>
      </c>
      <c r="AO51" s="78">
        <f t="shared" si="269"/>
        <v>0</v>
      </c>
      <c r="AP51" s="78">
        <f t="shared" si="269"/>
        <v>0</v>
      </c>
      <c r="AQ51" s="78">
        <f t="shared" si="269"/>
        <v>0</v>
      </c>
      <c r="AR51" s="78">
        <f t="shared" si="269"/>
        <v>0</v>
      </c>
      <c r="AS51" s="78">
        <f t="shared" si="269"/>
        <v>0</v>
      </c>
      <c r="AT51" s="78">
        <f t="shared" si="269"/>
        <v>0</v>
      </c>
      <c r="AU51" s="78">
        <f t="shared" si="269"/>
        <v>0</v>
      </c>
      <c r="AV51" s="78">
        <f t="shared" si="269"/>
        <v>0</v>
      </c>
      <c r="AW51" s="78">
        <f t="shared" si="269"/>
        <v>0</v>
      </c>
      <c r="AX51" s="78">
        <f t="shared" si="269"/>
        <v>0</v>
      </c>
      <c r="AY51" s="78">
        <f t="shared" si="269"/>
        <v>0</v>
      </c>
      <c r="AZ51" s="78">
        <f t="shared" si="269"/>
        <v>0</v>
      </c>
      <c r="BA51" s="78">
        <f t="shared" si="269"/>
        <v>0</v>
      </c>
      <c r="BB51" s="78">
        <f t="shared" si="269"/>
        <v>0</v>
      </c>
      <c r="BC51" s="78">
        <f t="shared" si="269"/>
        <v>0</v>
      </c>
      <c r="BD51" s="78">
        <f t="shared" si="269"/>
        <v>0</v>
      </c>
      <c r="BE51" s="78">
        <f t="shared" si="269"/>
        <v>0</v>
      </c>
      <c r="BF51" s="78">
        <f t="shared" si="269"/>
        <v>0</v>
      </c>
      <c r="BG51" s="78">
        <f t="shared" si="269"/>
        <v>0</v>
      </c>
      <c r="BH51" s="78">
        <f t="shared" si="269"/>
        <v>0</v>
      </c>
      <c r="BI51" s="78">
        <f t="shared" si="269"/>
        <v>0</v>
      </c>
      <c r="BJ51" s="78">
        <f t="shared" si="269"/>
        <v>0</v>
      </c>
      <c r="BK51" s="78">
        <f t="shared" si="269"/>
        <v>0</v>
      </c>
      <c r="BL51" s="78">
        <f t="shared" si="269"/>
        <v>0</v>
      </c>
      <c r="BM51" s="78">
        <f t="shared" si="269"/>
        <v>0</v>
      </c>
      <c r="BN51" s="78">
        <f t="shared" si="269"/>
        <v>0</v>
      </c>
      <c r="BO51" s="78">
        <f t="shared" si="269"/>
        <v>0</v>
      </c>
      <c r="BP51" s="78">
        <f t="shared" si="269"/>
        <v>0</v>
      </c>
      <c r="BQ51" s="78">
        <f t="shared" si="269"/>
        <v>0</v>
      </c>
      <c r="BR51" s="78">
        <f t="shared" si="269"/>
        <v>0</v>
      </c>
      <c r="BS51" s="78">
        <f t="shared" si="269"/>
        <v>0</v>
      </c>
      <c r="BT51" s="78">
        <f t="shared" si="269"/>
        <v>0</v>
      </c>
      <c r="BU51" s="78">
        <f t="shared" si="269"/>
        <v>0</v>
      </c>
      <c r="BV51" s="78">
        <f t="shared" si="269"/>
        <v>0</v>
      </c>
      <c r="BW51" s="78">
        <f t="shared" si="269"/>
        <v>0</v>
      </c>
      <c r="BX51" s="78">
        <f t="shared" si="269"/>
        <v>0</v>
      </c>
      <c r="BY51" s="78">
        <f t="shared" ref="BY51:CN51" si="270">INDEX(BY$19:BY$23,$C49)</f>
        <v>0</v>
      </c>
      <c r="BZ51" s="78">
        <f t="shared" si="270"/>
        <v>0</v>
      </c>
      <c r="CA51" s="78">
        <f t="shared" si="270"/>
        <v>0</v>
      </c>
      <c r="CB51" s="78">
        <f t="shared" si="270"/>
        <v>0</v>
      </c>
      <c r="CC51" s="78">
        <f t="shared" si="270"/>
        <v>0</v>
      </c>
      <c r="CD51" s="78">
        <f t="shared" si="270"/>
        <v>0</v>
      </c>
      <c r="CE51" s="78">
        <f t="shared" si="270"/>
        <v>0</v>
      </c>
      <c r="CF51" s="78">
        <f t="shared" si="270"/>
        <v>0</v>
      </c>
      <c r="CG51" s="78">
        <f t="shared" si="270"/>
        <v>0</v>
      </c>
      <c r="CH51" s="78">
        <f t="shared" si="270"/>
        <v>0</v>
      </c>
      <c r="CI51" s="78">
        <f t="shared" si="270"/>
        <v>0</v>
      </c>
      <c r="CJ51" s="78">
        <f t="shared" si="270"/>
        <v>0</v>
      </c>
      <c r="CK51" s="78">
        <f t="shared" si="270"/>
        <v>0</v>
      </c>
      <c r="CL51" s="78">
        <f t="shared" si="270"/>
        <v>0</v>
      </c>
      <c r="CM51" s="78">
        <f t="shared" si="270"/>
        <v>0</v>
      </c>
      <c r="CN51" s="78">
        <f t="shared" si="270"/>
        <v>0</v>
      </c>
    </row>
    <row r="52" spans="3:92" ht="12.75" customHeight="1" x14ac:dyDescent="0.3">
      <c r="D52" s="15" t="s">
        <v>183</v>
      </c>
      <c r="E52" s="1">
        <f>INDEX(Ass!L$107:L$111,$C49)</f>
        <v>4</v>
      </c>
      <c r="F52" s="1" t="str">
        <f>INDEX(Ass!M$107:M$111,$C49)</f>
        <v>SL</v>
      </c>
      <c r="H52" s="16" t="s">
        <v>1</v>
      </c>
      <c r="J52" s="58">
        <f ca="1">SUM(L52:CN52)</f>
        <v>-1013903.3484509259</v>
      </c>
      <c r="L52" s="82">
        <v>0</v>
      </c>
      <c r="M52" s="15">
        <f t="shared" ref="M52" ca="1" si="271">-IF(M$12=1,SUM(M50:M51),IF($F52="SL",SUM(OFFSET(L51,,,,-MIN(L$14,$E52*4)))*1/($E52*4),2*1/($E52*4)*M50))</f>
        <v>0</v>
      </c>
      <c r="N52" s="15">
        <f t="shared" ref="N52" ca="1" si="272">-IF(N$12=1,SUM(N50:N51),IF($F52="SL",SUM(OFFSET(M51,,,,-MIN(M$14,$E52*4)))*1/($E52*4),2*1/($E52*4)*N50))</f>
        <v>0</v>
      </c>
      <c r="O52" s="15">
        <f t="shared" ref="O52" ca="1" si="273">-IF(O$12=1,SUM(O50:O51),IF($F52="SL",SUM(OFFSET(N51,,,,-MIN(N$14,$E52*4)))*1/($E52*4),2*1/($E52*4)*O50))</f>
        <v>0</v>
      </c>
      <c r="P52" s="15">
        <f t="shared" ref="P52" ca="1" si="274">-IF(P$12=1,SUM(P50:P51),IF($F52="SL",SUM(OFFSET(O51,,,,-MIN(O$14,$E52*4)))*1/($E52*4),2*1/($E52*4)*P50))</f>
        <v>-63368.959278182869</v>
      </c>
      <c r="Q52" s="15">
        <f t="shared" ref="Q52" ca="1" si="275">-IF(Q$12=1,SUM(Q50:Q51),IF($F52="SL",SUM(OFFSET(P51,,,,-MIN(P$14,$E52*4)))*1/($E52*4),2*1/($E52*4)*Q50))</f>
        <v>-63368.959278182869</v>
      </c>
      <c r="R52" s="15">
        <f t="shared" ref="R52" ca="1" si="276">-IF(R$12=1,SUM(R50:R51),IF($F52="SL",SUM(OFFSET(Q51,,,,-MIN(Q$14,$E52*4)))*1/($E52*4),2*1/($E52*4)*R50))</f>
        <v>-63368.959278182869</v>
      </c>
      <c r="S52" s="15">
        <f t="shared" ref="S52" ca="1" si="277">-IF(S$12=1,SUM(S50:S51),IF($F52="SL",SUM(OFFSET(R51,,,,-MIN(R$14,$E52*4)))*1/($E52*4),2*1/($E52*4)*S50))</f>
        <v>-63368.959278182869</v>
      </c>
      <c r="T52" s="15">
        <f t="shared" ref="T52" ca="1" si="278">-IF(T$12=1,SUM(T50:T51),IF($F52="SL",SUM(OFFSET(S51,,,,-MIN(S$14,$E52*4)))*1/($E52*4),2*1/($E52*4)*T50))</f>
        <v>-63368.959278182869</v>
      </c>
      <c r="U52" s="15">
        <f t="shared" ref="U52" ca="1" si="279">-IF(U$12=1,SUM(U50:U51),IF($F52="SL",SUM(OFFSET(T51,,,,-MIN(T$14,$E52*4)))*1/($E52*4),2*1/($E52*4)*U50))</f>
        <v>-63368.959278182869</v>
      </c>
      <c r="V52" s="15">
        <f t="shared" ref="V52" ca="1" si="280">-IF(V$12=1,SUM(V50:V51),IF($F52="SL",SUM(OFFSET(U51,,,,-MIN(U$14,$E52*4)))*1/($E52*4),2*1/($E52*4)*V50))</f>
        <v>-63368.959278182869</v>
      </c>
      <c r="W52" s="15">
        <f t="shared" ref="W52" ca="1" si="281">-IF(W$12=1,SUM(W50:W51),IF($F52="SL",SUM(OFFSET(V51,,,,-MIN(V$14,$E52*4)))*1/($E52*4),2*1/($E52*4)*W50))</f>
        <v>-63368.959278182869</v>
      </c>
      <c r="X52" s="15">
        <f t="shared" ref="X52" ca="1" si="282">-IF(X$12=1,SUM(X50:X51),IF($F52="SL",SUM(OFFSET(W51,,,,-MIN(W$14,$E52*4)))*1/($E52*4),2*1/($E52*4)*X50))</f>
        <v>-63368.959278182869</v>
      </c>
      <c r="Y52" s="15">
        <f t="shared" ref="Y52" ca="1" si="283">-IF(Y$12=1,SUM(Y50:Y51),IF($F52="SL",SUM(OFFSET(X51,,,,-MIN(X$14,$E52*4)))*1/($E52*4),2*1/($E52*4)*Y50))</f>
        <v>-63368.959278182869</v>
      </c>
      <c r="Z52" s="15">
        <f t="shared" ref="Z52" ca="1" si="284">-IF(Z$12=1,SUM(Z50:Z51),IF($F52="SL",SUM(OFFSET(Y51,,,,-MIN(Y$14,$E52*4)))*1/($E52*4),2*1/($E52*4)*Z50))</f>
        <v>-63368.959278182869</v>
      </c>
      <c r="AA52" s="15">
        <f t="shared" ref="AA52" ca="1" si="285">-IF(AA$12=1,SUM(AA50:AA51),IF($F52="SL",SUM(OFFSET(Z51,,,,-MIN(Z$14,$E52*4)))*1/($E52*4),2*1/($E52*4)*AA50))</f>
        <v>-63368.959278182869</v>
      </c>
      <c r="AB52" s="15">
        <f t="shared" ref="AB52" ca="1" si="286">-IF(AB$12=1,SUM(AB50:AB51),IF($F52="SL",SUM(OFFSET(AA51,,,,-MIN(AA$14,$E52*4)))*1/($E52*4),2*1/($E52*4)*AB50))</f>
        <v>-63368.959278182869</v>
      </c>
      <c r="AC52" s="15">
        <f t="shared" ref="AC52" ca="1" si="287">-IF(AC$12=1,SUM(AC50:AC51),IF($F52="SL",SUM(OFFSET(AB51,,,,-MIN(AB$14,$E52*4)))*1/($E52*4),2*1/($E52*4)*AC50))</f>
        <v>-63368.959278182869</v>
      </c>
      <c r="AD52" s="15">
        <f t="shared" ref="AD52" ca="1" si="288">-IF(AD$12=1,SUM(AD50:AD51),IF($F52="SL",SUM(OFFSET(AC51,,,,-MIN(AC$14,$E52*4)))*1/($E52*4),2*1/($E52*4)*AD50))</f>
        <v>-63368.959278182869</v>
      </c>
      <c r="AE52" s="15">
        <f t="shared" ref="AE52" ca="1" si="289">-IF(AE$12=1,SUM(AE50:AE51),IF($F52="SL",SUM(OFFSET(AD51,,,,-MIN(AD$14,$E52*4)))*1/($E52*4),2*1/($E52*4)*AE50))</f>
        <v>-63368.959278182869</v>
      </c>
      <c r="AF52" s="15">
        <f t="shared" ref="AF52" ca="1" si="290">-IF(AF$12=1,SUM(AF50:AF51),IF($F52="SL",SUM(OFFSET(AE51,,,,-MIN(AE$14,$E52*4)))*1/($E52*4),2*1/($E52*4)*AF50))</f>
        <v>0</v>
      </c>
      <c r="AG52" s="15">
        <f t="shared" ref="AG52" ca="1" si="291">-IF(AG$12=1,SUM(AG50:AG51),IF($F52="SL",SUM(OFFSET(AF51,,,,-MIN(AF$14,$E52*4)))*1/($E52*4),2*1/($E52*4)*AG50))</f>
        <v>0</v>
      </c>
      <c r="AH52" s="15">
        <f t="shared" ref="AH52" ca="1" si="292">-IF(AH$12=1,SUM(AH50:AH51),IF($F52="SL",SUM(OFFSET(AG51,,,,-MIN(AG$14,$E52*4)))*1/($E52*4),2*1/($E52*4)*AH50))</f>
        <v>0</v>
      </c>
      <c r="AI52" s="15">
        <f t="shared" ref="AI52" ca="1" si="293">-IF(AI$12=1,SUM(AI50:AI51),IF($F52="SL",SUM(OFFSET(AH51,,,,-MIN(AH$14,$E52*4)))*1/($E52*4),2*1/($E52*4)*AI50))</f>
        <v>0</v>
      </c>
      <c r="AJ52" s="15">
        <f t="shared" ref="AJ52" ca="1" si="294">-IF(AJ$12=1,SUM(AJ50:AJ51),IF($F52="SL",SUM(OFFSET(AI51,,,,-MIN(AI$14,$E52*4)))*1/($E52*4),2*1/($E52*4)*AJ50))</f>
        <v>0</v>
      </c>
      <c r="AK52" s="15">
        <f t="shared" ref="AK52" ca="1" si="295">-IF(AK$12=1,SUM(AK50:AK51),IF($F52="SL",SUM(OFFSET(AJ51,,,,-MIN(AJ$14,$E52*4)))*1/($E52*4),2*1/($E52*4)*AK50))</f>
        <v>0</v>
      </c>
      <c r="AL52" s="15">
        <f t="shared" ref="AL52" ca="1" si="296">-IF(AL$12=1,SUM(AL50:AL51),IF($F52="SL",SUM(OFFSET(AK51,,,,-MIN(AK$14,$E52*4)))*1/($E52*4),2*1/($E52*4)*AL50))</f>
        <v>0</v>
      </c>
      <c r="AM52" s="15">
        <f t="shared" ref="AM52" ca="1" si="297">-IF(AM$12=1,SUM(AM50:AM51),IF($F52="SL",SUM(OFFSET(AL51,,,,-MIN(AL$14,$E52*4)))*1/($E52*4),2*1/($E52*4)*AM50))</f>
        <v>0</v>
      </c>
      <c r="AN52" s="15">
        <f t="shared" ref="AN52" ca="1" si="298">-IF(AN$12=1,SUM(AN50:AN51),IF($F52="SL",SUM(OFFSET(AM51,,,,-MIN(AM$14,$E52*4)))*1/($E52*4),2*1/($E52*4)*AN50))</f>
        <v>0</v>
      </c>
      <c r="AO52" s="15">
        <f t="shared" ref="AO52" ca="1" si="299">-IF(AO$12=1,SUM(AO50:AO51),IF($F52="SL",SUM(OFFSET(AN51,,,,-MIN(AN$14,$E52*4)))*1/($E52*4),2*1/($E52*4)*AO50))</f>
        <v>0</v>
      </c>
      <c r="AP52" s="15">
        <f t="shared" ref="AP52" ca="1" si="300">-IF(AP$12=1,SUM(AP50:AP51),IF($F52="SL",SUM(OFFSET(AO51,,,,-MIN(AO$14,$E52*4)))*1/($E52*4),2*1/($E52*4)*AP50))</f>
        <v>0</v>
      </c>
      <c r="AQ52" s="15">
        <f t="shared" ref="AQ52" ca="1" si="301">-IF(AQ$12=1,SUM(AQ50:AQ51),IF($F52="SL",SUM(OFFSET(AP51,,,,-MIN(AP$14,$E52*4)))*1/($E52*4),2*1/($E52*4)*AQ50))</f>
        <v>0</v>
      </c>
      <c r="AR52" s="15">
        <f t="shared" ref="AR52" ca="1" si="302">-IF(AR$12=1,SUM(AR50:AR51),IF($F52="SL",SUM(OFFSET(AQ51,,,,-MIN(AQ$14,$E52*4)))*1/($E52*4),2*1/($E52*4)*AR50))</f>
        <v>0</v>
      </c>
      <c r="AS52" s="15">
        <f t="shared" ref="AS52" ca="1" si="303">-IF(AS$12=1,SUM(AS50:AS51),IF($F52="SL",SUM(OFFSET(AR51,,,,-MIN(AR$14,$E52*4)))*1/($E52*4),2*1/($E52*4)*AS50))</f>
        <v>0</v>
      </c>
      <c r="AT52" s="15">
        <f t="shared" ref="AT52" ca="1" si="304">-IF(AT$12=1,SUM(AT50:AT51),IF($F52="SL",SUM(OFFSET(AS51,,,,-MIN(AS$14,$E52*4)))*1/($E52*4),2*1/($E52*4)*AT50))</f>
        <v>0</v>
      </c>
      <c r="AU52" s="15">
        <f t="shared" ref="AU52" ca="1" si="305">-IF(AU$12=1,SUM(AU50:AU51),IF($F52="SL",SUM(OFFSET(AT51,,,,-MIN(AT$14,$E52*4)))*1/($E52*4),2*1/($E52*4)*AU50))</f>
        <v>0</v>
      </c>
      <c r="AV52" s="15">
        <f t="shared" ref="AV52" ca="1" si="306">-IF(AV$12=1,SUM(AV50:AV51),IF($F52="SL",SUM(OFFSET(AU51,,,,-MIN(AU$14,$E52*4)))*1/($E52*4),2*1/($E52*4)*AV50))</f>
        <v>0</v>
      </c>
      <c r="AW52" s="15">
        <f t="shared" ref="AW52" ca="1" si="307">-IF(AW$12=1,SUM(AW50:AW51),IF($F52="SL",SUM(OFFSET(AV51,,,,-MIN(AV$14,$E52*4)))*1/($E52*4),2*1/($E52*4)*AW50))</f>
        <v>0</v>
      </c>
      <c r="AX52" s="15">
        <f t="shared" ref="AX52" ca="1" si="308">-IF(AX$12=1,SUM(AX50:AX51),IF($F52="SL",SUM(OFFSET(AW51,,,,-MIN(AW$14,$E52*4)))*1/($E52*4),2*1/($E52*4)*AX50))</f>
        <v>0</v>
      </c>
      <c r="AY52" s="15">
        <f t="shared" ref="AY52" ca="1" si="309">-IF(AY$12=1,SUM(AY50:AY51),IF($F52="SL",SUM(OFFSET(AX51,,,,-MIN(AX$14,$E52*4)))*1/($E52*4),2*1/($E52*4)*AY50))</f>
        <v>0</v>
      </c>
      <c r="AZ52" s="15">
        <f t="shared" ref="AZ52" ca="1" si="310">-IF(AZ$12=1,SUM(AZ50:AZ51),IF($F52="SL",SUM(OFFSET(AY51,,,,-MIN(AY$14,$E52*4)))*1/($E52*4),2*1/($E52*4)*AZ50))</f>
        <v>0</v>
      </c>
      <c r="BA52" s="15">
        <f t="shared" ref="BA52" ca="1" si="311">-IF(BA$12=1,SUM(BA50:BA51),IF($F52="SL",SUM(OFFSET(AZ51,,,,-MIN(AZ$14,$E52*4)))*1/($E52*4),2*1/($E52*4)*BA50))</f>
        <v>0</v>
      </c>
      <c r="BB52" s="15">
        <f t="shared" ref="BB52" ca="1" si="312">-IF(BB$12=1,SUM(BB50:BB51),IF($F52="SL",SUM(OFFSET(BA51,,,,-MIN(BA$14,$E52*4)))*1/($E52*4),2*1/($E52*4)*BB50))</f>
        <v>0</v>
      </c>
      <c r="BC52" s="15">
        <f t="shared" ref="BC52" ca="1" si="313">-IF(BC$12=1,SUM(BC50:BC51),IF($F52="SL",SUM(OFFSET(BB51,,,,-MIN(BB$14,$E52*4)))*1/($E52*4),2*1/($E52*4)*BC50))</f>
        <v>0</v>
      </c>
      <c r="BD52" s="15">
        <f t="shared" ref="BD52" ca="1" si="314">-IF(BD$12=1,SUM(BD50:BD51),IF($F52="SL",SUM(OFFSET(BC51,,,,-MIN(BC$14,$E52*4)))*1/($E52*4),2*1/($E52*4)*BD50))</f>
        <v>0</v>
      </c>
      <c r="BE52" s="15">
        <f t="shared" ref="BE52" ca="1" si="315">-IF(BE$12=1,SUM(BE50:BE51),IF($F52="SL",SUM(OFFSET(BD51,,,,-MIN(BD$14,$E52*4)))*1/($E52*4),2*1/($E52*4)*BE50))</f>
        <v>0</v>
      </c>
      <c r="BF52" s="15">
        <f t="shared" ref="BF52" ca="1" si="316">-IF(BF$12=1,SUM(BF50:BF51),IF($F52="SL",SUM(OFFSET(BE51,,,,-MIN(BE$14,$E52*4)))*1/($E52*4),2*1/($E52*4)*BF50))</f>
        <v>0</v>
      </c>
      <c r="BG52" s="15">
        <f t="shared" ref="BG52" ca="1" si="317">-IF(BG$12=1,SUM(BG50:BG51),IF($F52="SL",SUM(OFFSET(BF51,,,,-MIN(BF$14,$E52*4)))*1/($E52*4),2*1/($E52*4)*BG50))</f>
        <v>0</v>
      </c>
      <c r="BH52" s="15">
        <f t="shared" ref="BH52" ca="1" si="318">-IF(BH$12=1,SUM(BH50:BH51),IF($F52="SL",SUM(OFFSET(BG51,,,,-MIN(BG$14,$E52*4)))*1/($E52*4),2*1/($E52*4)*BH50))</f>
        <v>0</v>
      </c>
      <c r="BI52" s="15">
        <f t="shared" ref="BI52" ca="1" si="319">-IF(BI$12=1,SUM(BI50:BI51),IF($F52="SL",SUM(OFFSET(BH51,,,,-MIN(BH$14,$E52*4)))*1/($E52*4),2*1/($E52*4)*BI50))</f>
        <v>0</v>
      </c>
      <c r="BJ52" s="15">
        <f t="shared" ref="BJ52" ca="1" si="320">-IF(BJ$12=1,SUM(BJ50:BJ51),IF($F52="SL",SUM(OFFSET(BI51,,,,-MIN(BI$14,$E52*4)))*1/($E52*4),2*1/($E52*4)*BJ50))</f>
        <v>0</v>
      </c>
      <c r="BK52" s="15">
        <f t="shared" ref="BK52" ca="1" si="321">-IF(BK$12=1,SUM(BK50:BK51),IF($F52="SL",SUM(OFFSET(BJ51,,,,-MIN(BJ$14,$E52*4)))*1/($E52*4),2*1/($E52*4)*BK50))</f>
        <v>0</v>
      </c>
      <c r="BL52" s="15">
        <f t="shared" ref="BL52" ca="1" si="322">-IF(BL$12=1,SUM(BL50:BL51),IF($F52="SL",SUM(OFFSET(BK51,,,,-MIN(BK$14,$E52*4)))*1/($E52*4),2*1/($E52*4)*BL50))</f>
        <v>0</v>
      </c>
      <c r="BM52" s="15">
        <f t="shared" ref="BM52" ca="1" si="323">-IF(BM$12=1,SUM(BM50:BM51),IF($F52="SL",SUM(OFFSET(BL51,,,,-MIN(BL$14,$E52*4)))*1/($E52*4),2*1/($E52*4)*BM50))</f>
        <v>0</v>
      </c>
      <c r="BN52" s="15">
        <f t="shared" ref="BN52" ca="1" si="324">-IF(BN$12=1,SUM(BN50:BN51),IF($F52="SL",SUM(OFFSET(BM51,,,,-MIN(BM$14,$E52*4)))*1/($E52*4),2*1/($E52*4)*BN50))</f>
        <v>0</v>
      </c>
      <c r="BO52" s="15">
        <f t="shared" ref="BO52" ca="1" si="325">-IF(BO$12=1,SUM(BO50:BO51),IF($F52="SL",SUM(OFFSET(BN51,,,,-MIN(BN$14,$E52*4)))*1/($E52*4),2*1/($E52*4)*BO50))</f>
        <v>0</v>
      </c>
      <c r="BP52" s="15">
        <f t="shared" ref="BP52" ca="1" si="326">-IF(BP$12=1,SUM(BP50:BP51),IF($F52="SL",SUM(OFFSET(BO51,,,,-MIN(BO$14,$E52*4)))*1/($E52*4),2*1/($E52*4)*BP50))</f>
        <v>0</v>
      </c>
      <c r="BQ52" s="15">
        <f t="shared" ref="BQ52" ca="1" si="327">-IF(BQ$12=1,SUM(BQ50:BQ51),IF($F52="SL",SUM(OFFSET(BP51,,,,-MIN(BP$14,$E52*4)))*1/($E52*4),2*1/($E52*4)*BQ50))</f>
        <v>0</v>
      </c>
      <c r="BR52" s="15">
        <f t="shared" ref="BR52" ca="1" si="328">-IF(BR$12=1,SUM(BR50:BR51),IF($F52="SL",SUM(OFFSET(BQ51,,,,-MIN(BQ$14,$E52*4)))*1/($E52*4),2*1/($E52*4)*BR50))</f>
        <v>0</v>
      </c>
      <c r="BS52" s="15">
        <f t="shared" ref="BS52" ca="1" si="329">-IF(BS$12=1,SUM(BS50:BS51),IF($F52="SL",SUM(OFFSET(BR51,,,,-MIN(BR$14,$E52*4)))*1/($E52*4),2*1/($E52*4)*BS50))</f>
        <v>0</v>
      </c>
      <c r="BT52" s="15">
        <f t="shared" ref="BT52" ca="1" si="330">-IF(BT$12=1,SUM(BT50:BT51),IF($F52="SL",SUM(OFFSET(BS51,,,,-MIN(BS$14,$E52*4)))*1/($E52*4),2*1/($E52*4)*BT50))</f>
        <v>0</v>
      </c>
      <c r="BU52" s="15">
        <f t="shared" ref="BU52" ca="1" si="331">-IF(BU$12=1,SUM(BU50:BU51),IF($F52="SL",SUM(OFFSET(BT51,,,,-MIN(BT$14,$E52*4)))*1/($E52*4),2*1/($E52*4)*BU50))</f>
        <v>0</v>
      </c>
      <c r="BV52" s="15">
        <f t="shared" ref="BV52" ca="1" si="332">-IF(BV$12=1,SUM(BV50:BV51),IF($F52="SL",SUM(OFFSET(BU51,,,,-MIN(BU$14,$E52*4)))*1/($E52*4),2*1/($E52*4)*BV50))</f>
        <v>0</v>
      </c>
      <c r="BW52" s="15">
        <f t="shared" ref="BW52" ca="1" si="333">-IF(BW$12=1,SUM(BW50:BW51),IF($F52="SL",SUM(OFFSET(BV51,,,,-MIN(BV$14,$E52*4)))*1/($E52*4),2*1/($E52*4)*BW50))</f>
        <v>0</v>
      </c>
      <c r="BX52" s="15">
        <f t="shared" ref="BX52" ca="1" si="334">-IF(BX$12=1,SUM(BX50:BX51),IF($F52="SL",SUM(OFFSET(BW51,,,,-MIN(BW$14,$E52*4)))*1/($E52*4),2*1/($E52*4)*BX50))</f>
        <v>0</v>
      </c>
      <c r="BY52" s="15">
        <f t="shared" ref="BY52" ca="1" si="335">-IF(BY$12=1,SUM(BY50:BY51),IF($F52="SL",SUM(OFFSET(BX51,,,,-MIN(BX$14,$E52*4)))*1/($E52*4),2*1/($E52*4)*BY50))</f>
        <v>0</v>
      </c>
      <c r="BZ52" s="15">
        <f t="shared" ref="BZ52" ca="1" si="336">-IF(BZ$12=1,SUM(BZ50:BZ51),IF($F52="SL",SUM(OFFSET(BY51,,,,-MIN(BY$14,$E52*4)))*1/($E52*4),2*1/($E52*4)*BZ50))</f>
        <v>0</v>
      </c>
      <c r="CA52" s="15">
        <f t="shared" ref="CA52" ca="1" si="337">-IF(CA$12=1,SUM(CA50:CA51),IF($F52="SL",SUM(OFFSET(BZ51,,,,-MIN(BZ$14,$E52*4)))*1/($E52*4),2*1/($E52*4)*CA50))</f>
        <v>0</v>
      </c>
      <c r="CB52" s="15">
        <f t="shared" ref="CB52" ca="1" si="338">-IF(CB$12=1,SUM(CB50:CB51),IF($F52="SL",SUM(OFFSET(CA51,,,,-MIN(CA$14,$E52*4)))*1/($E52*4),2*1/($E52*4)*CB50))</f>
        <v>0</v>
      </c>
      <c r="CC52" s="15">
        <f t="shared" ref="CC52" ca="1" si="339">-IF(CC$12=1,SUM(CC50:CC51),IF($F52="SL",SUM(OFFSET(CB51,,,,-MIN(CB$14,$E52*4)))*1/($E52*4),2*1/($E52*4)*CC50))</f>
        <v>0</v>
      </c>
      <c r="CD52" s="15">
        <f t="shared" ref="CD52" ca="1" si="340">-IF(CD$12=1,SUM(CD50:CD51),IF($F52="SL",SUM(OFFSET(CC51,,,,-MIN(CC$14,$E52*4)))*1/($E52*4),2*1/($E52*4)*CD50))</f>
        <v>0</v>
      </c>
      <c r="CE52" s="15">
        <f t="shared" ref="CE52" ca="1" si="341">-IF(CE$12=1,SUM(CE50:CE51),IF($F52="SL",SUM(OFFSET(CD51,,,,-MIN(CD$14,$E52*4)))*1/($E52*4),2*1/($E52*4)*CE50))</f>
        <v>0</v>
      </c>
      <c r="CF52" s="15">
        <f t="shared" ref="CF52" ca="1" si="342">-IF(CF$12=1,SUM(CF50:CF51),IF($F52="SL",SUM(OFFSET(CE51,,,,-MIN(CE$14,$E52*4)))*1/($E52*4),2*1/($E52*4)*CF50))</f>
        <v>0</v>
      </c>
      <c r="CG52" s="15">
        <f t="shared" ref="CG52" ca="1" si="343">-IF(CG$12=1,SUM(CG50:CG51),IF($F52="SL",SUM(OFFSET(CF51,,,,-MIN(CF$14,$E52*4)))*1/($E52*4),2*1/($E52*4)*CG50))</f>
        <v>0</v>
      </c>
      <c r="CH52" s="15">
        <f t="shared" ref="CH52" ca="1" si="344">-IF(CH$12=1,SUM(CH50:CH51),IF($F52="SL",SUM(OFFSET(CG51,,,,-MIN(CG$14,$E52*4)))*1/($E52*4),2*1/($E52*4)*CH50))</f>
        <v>0</v>
      </c>
      <c r="CI52" s="15">
        <f t="shared" ref="CI52" ca="1" si="345">-IF(CI$12=1,SUM(CI50:CI51),IF($F52="SL",SUM(OFFSET(CH51,,,,-MIN(CH$14,$E52*4)))*1/($E52*4),2*1/($E52*4)*CI50))</f>
        <v>0</v>
      </c>
      <c r="CJ52" s="15">
        <f t="shared" ref="CJ52" ca="1" si="346">-IF(CJ$12=1,SUM(CJ50:CJ51),IF($F52="SL",SUM(OFFSET(CI51,,,,-MIN(CI$14,$E52*4)))*1/($E52*4),2*1/($E52*4)*CJ50))</f>
        <v>0</v>
      </c>
      <c r="CK52" s="15">
        <f t="shared" ref="CK52" ca="1" si="347">-IF(CK$12=1,SUM(CK50:CK51),IF($F52="SL",SUM(OFFSET(CJ51,,,,-MIN(CJ$14,$E52*4)))*1/($E52*4),2*1/($E52*4)*CK50))</f>
        <v>0</v>
      </c>
      <c r="CL52" s="15">
        <f t="shared" ref="CL52" ca="1" si="348">-IF(CL$12=1,SUM(CL50:CL51),IF($F52="SL",SUM(OFFSET(CK51,,,,-MIN(CK$14,$E52*4)))*1/($E52*4),2*1/($E52*4)*CL50))</f>
        <v>0</v>
      </c>
      <c r="CM52" s="15">
        <f t="shared" ref="CM52" ca="1" si="349">-IF(CM$12=1,SUM(CM50:CM51),IF($F52="SL",SUM(OFFSET(CL51,,,,-MIN(CL$14,$E52*4)))*1/($E52*4),2*1/($E52*4)*CM50))</f>
        <v>0</v>
      </c>
      <c r="CN52" s="75">
        <f t="shared" ref="CN52" ca="1" si="350">-IF(CN$12=1,SUM(CN50:CN51),IF($F52="SL",SUM(OFFSET(CM51,,,,-MIN(CM$14,$E52*4)))*1/($E52*4),2*1/($E52*4)*CN50))</f>
        <v>-2.1827872842550278E-10</v>
      </c>
    </row>
    <row r="53" spans="3:92" ht="12.75" customHeight="1" x14ac:dyDescent="0.3">
      <c r="D53" s="50" t="s">
        <v>184</v>
      </c>
      <c r="H53" s="16" t="s">
        <v>1</v>
      </c>
      <c r="J53" s="50">
        <f t="shared" ref="J53" ca="1" si="351">SUM(J50:J52)</f>
        <v>0</v>
      </c>
      <c r="L53" s="83">
        <v>0</v>
      </c>
      <c r="M53" s="50">
        <f t="shared" ref="M53" ca="1" si="352">SUM(M50:M52)</f>
        <v>0</v>
      </c>
      <c r="N53" s="50">
        <f t="shared" ref="N53" ca="1" si="353">SUM(N50:N52)</f>
        <v>0</v>
      </c>
      <c r="O53" s="50">
        <f t="shared" ref="O53" ca="1" si="354">SUM(O50:O52)</f>
        <v>1013903.3484509259</v>
      </c>
      <c r="P53" s="50">
        <f t="shared" ref="P53" ca="1" si="355">SUM(P50:P52)</f>
        <v>950534.38917274307</v>
      </c>
      <c r="Q53" s="50">
        <f t="shared" ref="Q53" ca="1" si="356">SUM(Q50:Q52)</f>
        <v>887165.42989456025</v>
      </c>
      <c r="R53" s="50">
        <f t="shared" ref="R53" ca="1" si="357">SUM(R50:R52)</f>
        <v>823796.47061637742</v>
      </c>
      <c r="S53" s="50">
        <f t="shared" ref="S53" ca="1" si="358">SUM(S50:S52)</f>
        <v>760427.5113381946</v>
      </c>
      <c r="T53" s="50">
        <f t="shared" ref="T53" ca="1" si="359">SUM(T50:T52)</f>
        <v>697058.55206001177</v>
      </c>
      <c r="U53" s="50">
        <f t="shared" ref="U53" ca="1" si="360">SUM(U50:U52)</f>
        <v>633689.59278182895</v>
      </c>
      <c r="V53" s="50">
        <f t="shared" ref="V53" ca="1" si="361">SUM(V50:V52)</f>
        <v>570320.63350364612</v>
      </c>
      <c r="W53" s="50">
        <f t="shared" ref="W53" ca="1" si="362">SUM(W50:W52)</f>
        <v>506951.67422546324</v>
      </c>
      <c r="X53" s="50">
        <f t="shared" ref="X53" ca="1" si="363">SUM(X50:X52)</f>
        <v>443582.71494728036</v>
      </c>
      <c r="Y53" s="50">
        <f t="shared" ref="Y53" ca="1" si="364">SUM(Y50:Y52)</f>
        <v>380213.75566909747</v>
      </c>
      <c r="Z53" s="50">
        <f t="shared" ref="Z53" ca="1" si="365">SUM(Z50:Z52)</f>
        <v>316844.79639091459</v>
      </c>
      <c r="AA53" s="50">
        <f t="shared" ref="AA53" ca="1" si="366">SUM(AA50:AA52)</f>
        <v>253475.83711273171</v>
      </c>
      <c r="AB53" s="50">
        <f t="shared" ref="AB53" ca="1" si="367">SUM(AB50:AB52)</f>
        <v>190106.87783454882</v>
      </c>
      <c r="AC53" s="50">
        <f t="shared" ref="AC53" ca="1" si="368">SUM(AC50:AC52)</f>
        <v>126737.91855636596</v>
      </c>
      <c r="AD53" s="50">
        <f t="shared" ref="AD53" ca="1" si="369">SUM(AD50:AD52)</f>
        <v>63368.959278183087</v>
      </c>
      <c r="AE53" s="50">
        <f t="shared" ref="AE53" ca="1" si="370">SUM(AE50:AE52)</f>
        <v>2.1827872842550278E-10</v>
      </c>
      <c r="AF53" s="50">
        <f t="shared" ref="AF53" ca="1" si="371">SUM(AF50:AF52)</f>
        <v>2.1827872842550278E-10</v>
      </c>
      <c r="AG53" s="50">
        <f t="shared" ref="AG53" ca="1" si="372">SUM(AG50:AG52)</f>
        <v>2.1827872842550278E-10</v>
      </c>
      <c r="AH53" s="50">
        <f t="shared" ref="AH53" ca="1" si="373">SUM(AH50:AH52)</f>
        <v>2.1827872842550278E-10</v>
      </c>
      <c r="AI53" s="50">
        <f t="shared" ref="AI53" ca="1" si="374">SUM(AI50:AI52)</f>
        <v>2.1827872842550278E-10</v>
      </c>
      <c r="AJ53" s="50">
        <f t="shared" ref="AJ53" ca="1" si="375">SUM(AJ50:AJ52)</f>
        <v>2.1827872842550278E-10</v>
      </c>
      <c r="AK53" s="50">
        <f t="shared" ref="AK53" ca="1" si="376">SUM(AK50:AK52)</f>
        <v>2.1827872842550278E-10</v>
      </c>
      <c r="AL53" s="50">
        <f t="shared" ref="AL53" ca="1" si="377">SUM(AL50:AL52)</f>
        <v>2.1827872842550278E-10</v>
      </c>
      <c r="AM53" s="50">
        <f t="shared" ref="AM53" ca="1" si="378">SUM(AM50:AM52)</f>
        <v>2.1827872842550278E-10</v>
      </c>
      <c r="AN53" s="50">
        <f t="shared" ref="AN53" ca="1" si="379">SUM(AN50:AN52)</f>
        <v>2.1827872842550278E-10</v>
      </c>
      <c r="AO53" s="50">
        <f t="shared" ref="AO53" ca="1" si="380">SUM(AO50:AO52)</f>
        <v>2.1827872842550278E-10</v>
      </c>
      <c r="AP53" s="50">
        <f t="shared" ref="AP53" ca="1" si="381">SUM(AP50:AP52)</f>
        <v>2.1827872842550278E-10</v>
      </c>
      <c r="AQ53" s="50">
        <f t="shared" ref="AQ53" ca="1" si="382">SUM(AQ50:AQ52)</f>
        <v>2.1827872842550278E-10</v>
      </c>
      <c r="AR53" s="50">
        <f t="shared" ref="AR53" ca="1" si="383">SUM(AR50:AR52)</f>
        <v>2.1827872842550278E-10</v>
      </c>
      <c r="AS53" s="50">
        <f t="shared" ref="AS53" ca="1" si="384">SUM(AS50:AS52)</f>
        <v>2.1827872842550278E-10</v>
      </c>
      <c r="AT53" s="50">
        <f t="shared" ref="AT53" ca="1" si="385">SUM(AT50:AT52)</f>
        <v>2.1827872842550278E-10</v>
      </c>
      <c r="AU53" s="50">
        <f t="shared" ref="AU53" ca="1" si="386">SUM(AU50:AU52)</f>
        <v>2.1827872842550278E-10</v>
      </c>
      <c r="AV53" s="50">
        <f t="shared" ref="AV53" ca="1" si="387">SUM(AV50:AV52)</f>
        <v>2.1827872842550278E-10</v>
      </c>
      <c r="AW53" s="50">
        <f t="shared" ref="AW53" ca="1" si="388">SUM(AW50:AW52)</f>
        <v>2.1827872842550278E-10</v>
      </c>
      <c r="AX53" s="50">
        <f t="shared" ref="AX53" ca="1" si="389">SUM(AX50:AX52)</f>
        <v>2.1827872842550278E-10</v>
      </c>
      <c r="AY53" s="50">
        <f t="shared" ref="AY53" ca="1" si="390">SUM(AY50:AY52)</f>
        <v>2.1827872842550278E-10</v>
      </c>
      <c r="AZ53" s="50">
        <f t="shared" ref="AZ53" ca="1" si="391">SUM(AZ50:AZ52)</f>
        <v>2.1827872842550278E-10</v>
      </c>
      <c r="BA53" s="50">
        <f t="shared" ref="BA53" ca="1" si="392">SUM(BA50:BA52)</f>
        <v>2.1827872842550278E-10</v>
      </c>
      <c r="BB53" s="50">
        <f t="shared" ref="BB53" ca="1" si="393">SUM(BB50:BB52)</f>
        <v>2.1827872842550278E-10</v>
      </c>
      <c r="BC53" s="50">
        <f t="shared" ref="BC53" ca="1" si="394">SUM(BC50:BC52)</f>
        <v>2.1827872842550278E-10</v>
      </c>
      <c r="BD53" s="50">
        <f t="shared" ref="BD53" ca="1" si="395">SUM(BD50:BD52)</f>
        <v>2.1827872842550278E-10</v>
      </c>
      <c r="BE53" s="50">
        <f t="shared" ref="BE53" ca="1" si="396">SUM(BE50:BE52)</f>
        <v>2.1827872842550278E-10</v>
      </c>
      <c r="BF53" s="50">
        <f t="shared" ref="BF53" ca="1" si="397">SUM(BF50:BF52)</f>
        <v>2.1827872842550278E-10</v>
      </c>
      <c r="BG53" s="50">
        <f t="shared" ref="BG53" ca="1" si="398">SUM(BG50:BG52)</f>
        <v>2.1827872842550278E-10</v>
      </c>
      <c r="BH53" s="50">
        <f t="shared" ref="BH53" ca="1" si="399">SUM(BH50:BH52)</f>
        <v>2.1827872842550278E-10</v>
      </c>
      <c r="BI53" s="50">
        <f t="shared" ref="BI53" ca="1" si="400">SUM(BI50:BI52)</f>
        <v>2.1827872842550278E-10</v>
      </c>
      <c r="BJ53" s="50">
        <f t="shared" ref="BJ53" ca="1" si="401">SUM(BJ50:BJ52)</f>
        <v>2.1827872842550278E-10</v>
      </c>
      <c r="BK53" s="50">
        <f t="shared" ref="BK53" ca="1" si="402">SUM(BK50:BK52)</f>
        <v>2.1827872842550278E-10</v>
      </c>
      <c r="BL53" s="50">
        <f t="shared" ref="BL53" ca="1" si="403">SUM(BL50:BL52)</f>
        <v>2.1827872842550278E-10</v>
      </c>
      <c r="BM53" s="50">
        <f t="shared" ref="BM53" ca="1" si="404">SUM(BM50:BM52)</f>
        <v>2.1827872842550278E-10</v>
      </c>
      <c r="BN53" s="50">
        <f t="shared" ref="BN53" ca="1" si="405">SUM(BN50:BN52)</f>
        <v>2.1827872842550278E-10</v>
      </c>
      <c r="BO53" s="50">
        <f t="shared" ref="BO53" ca="1" si="406">SUM(BO50:BO52)</f>
        <v>2.1827872842550278E-10</v>
      </c>
      <c r="BP53" s="50">
        <f t="shared" ref="BP53" ca="1" si="407">SUM(BP50:BP52)</f>
        <v>2.1827872842550278E-10</v>
      </c>
      <c r="BQ53" s="50">
        <f t="shared" ref="BQ53" ca="1" si="408">SUM(BQ50:BQ52)</f>
        <v>2.1827872842550278E-10</v>
      </c>
      <c r="BR53" s="50">
        <f t="shared" ref="BR53" ca="1" si="409">SUM(BR50:BR52)</f>
        <v>2.1827872842550278E-10</v>
      </c>
      <c r="BS53" s="50">
        <f t="shared" ref="BS53" ca="1" si="410">SUM(BS50:BS52)</f>
        <v>2.1827872842550278E-10</v>
      </c>
      <c r="BT53" s="50">
        <f t="shared" ref="BT53" ca="1" si="411">SUM(BT50:BT52)</f>
        <v>2.1827872842550278E-10</v>
      </c>
      <c r="BU53" s="50">
        <f t="shared" ref="BU53" ca="1" si="412">SUM(BU50:BU52)</f>
        <v>2.1827872842550278E-10</v>
      </c>
      <c r="BV53" s="50">
        <f t="shared" ref="BV53" ca="1" si="413">SUM(BV50:BV52)</f>
        <v>2.1827872842550278E-10</v>
      </c>
      <c r="BW53" s="50">
        <f t="shared" ref="BW53" ca="1" si="414">SUM(BW50:BW52)</f>
        <v>2.1827872842550278E-10</v>
      </c>
      <c r="BX53" s="50">
        <f t="shared" ref="BX53" ca="1" si="415">SUM(BX50:BX52)</f>
        <v>2.1827872842550278E-10</v>
      </c>
      <c r="BY53" s="50">
        <f t="shared" ref="BY53" ca="1" si="416">SUM(BY50:BY52)</f>
        <v>2.1827872842550278E-10</v>
      </c>
      <c r="BZ53" s="50">
        <f t="shared" ref="BZ53" ca="1" si="417">SUM(BZ50:BZ52)</f>
        <v>2.1827872842550278E-10</v>
      </c>
      <c r="CA53" s="50">
        <f t="shared" ref="CA53" ca="1" si="418">SUM(CA50:CA52)</f>
        <v>2.1827872842550278E-10</v>
      </c>
      <c r="CB53" s="50">
        <f t="shared" ref="CB53" ca="1" si="419">SUM(CB50:CB52)</f>
        <v>2.1827872842550278E-10</v>
      </c>
      <c r="CC53" s="50">
        <f t="shared" ref="CC53" ca="1" si="420">SUM(CC50:CC52)</f>
        <v>2.1827872842550278E-10</v>
      </c>
      <c r="CD53" s="50">
        <f t="shared" ref="CD53" ca="1" si="421">SUM(CD50:CD52)</f>
        <v>2.1827872842550278E-10</v>
      </c>
      <c r="CE53" s="50">
        <f t="shared" ref="CE53" ca="1" si="422">SUM(CE50:CE52)</f>
        <v>2.1827872842550278E-10</v>
      </c>
      <c r="CF53" s="50">
        <f t="shared" ref="CF53" ca="1" si="423">SUM(CF50:CF52)</f>
        <v>2.1827872842550278E-10</v>
      </c>
      <c r="CG53" s="50">
        <f t="shared" ref="CG53" ca="1" si="424">SUM(CG50:CG52)</f>
        <v>2.1827872842550278E-10</v>
      </c>
      <c r="CH53" s="50">
        <f t="shared" ref="CH53" ca="1" si="425">SUM(CH50:CH52)</f>
        <v>2.1827872842550278E-10</v>
      </c>
      <c r="CI53" s="50">
        <f t="shared" ref="CI53" ca="1" si="426">SUM(CI50:CI52)</f>
        <v>2.1827872842550278E-10</v>
      </c>
      <c r="CJ53" s="50">
        <f t="shared" ref="CJ53" ca="1" si="427">SUM(CJ50:CJ52)</f>
        <v>2.1827872842550278E-10</v>
      </c>
      <c r="CK53" s="50">
        <f t="shared" ref="CK53" ca="1" si="428">SUM(CK50:CK52)</f>
        <v>2.1827872842550278E-10</v>
      </c>
      <c r="CL53" s="50">
        <f t="shared" ref="CL53" ca="1" si="429">SUM(CL50:CL52)</f>
        <v>2.1827872842550278E-10</v>
      </c>
      <c r="CM53" s="50">
        <f t="shared" ref="CM53" ca="1" si="430">SUM(CM50:CM52)</f>
        <v>2.1827872842550278E-10</v>
      </c>
      <c r="CN53" s="50">
        <f t="shared" ref="CN53" ca="1" si="431">SUM(CN50:CN52)</f>
        <v>0</v>
      </c>
    </row>
    <row r="54" spans="3:92" ht="12.75" customHeight="1" x14ac:dyDescent="0.3">
      <c r="D54" s="84"/>
      <c r="E54" s="85"/>
      <c r="F54" s="85"/>
      <c r="G54" s="85"/>
      <c r="H54" s="86"/>
      <c r="I54" s="87"/>
      <c r="J54" s="84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</row>
    <row r="55" spans="3:92" ht="12.75" customHeight="1" x14ac:dyDescent="0.3">
      <c r="D55" s="15"/>
      <c r="H55" s="16"/>
      <c r="J55" s="15"/>
    </row>
    <row r="56" spans="3:92" ht="12.75" customHeight="1" x14ac:dyDescent="0.3">
      <c r="C56" s="24">
        <f>C49+1</f>
        <v>3</v>
      </c>
      <c r="D56" s="17" t="str">
        <f>INDEX(Ass!$D$107:$D$111,CapexDA!$C56)</f>
        <v>Asset Class 3</v>
      </c>
      <c r="H56" s="16"/>
      <c r="J56" s="15"/>
    </row>
    <row r="57" spans="3:92" ht="12.75" customHeight="1" x14ac:dyDescent="0.3">
      <c r="D57" s="15" t="s">
        <v>181</v>
      </c>
      <c r="H57" s="16" t="s">
        <v>1</v>
      </c>
      <c r="J57" s="15"/>
      <c r="L57" s="80">
        <v>0</v>
      </c>
      <c r="M57" s="15">
        <f t="shared" ref="M57:BX57" si="432">L60</f>
        <v>0</v>
      </c>
      <c r="N57" s="15">
        <f t="shared" ca="1" si="432"/>
        <v>0</v>
      </c>
      <c r="O57" s="15">
        <f t="shared" ca="1" si="432"/>
        <v>503463.83893258061</v>
      </c>
      <c r="P57" s="15">
        <f t="shared" ca="1" si="432"/>
        <v>461508.51902153221</v>
      </c>
      <c r="Q57" s="15">
        <f t="shared" ca="1" si="432"/>
        <v>930016.8712281849</v>
      </c>
      <c r="R57" s="15">
        <f t="shared" ca="1" si="432"/>
        <v>845522.91197399469</v>
      </c>
      <c r="S57" s="15">
        <f t="shared" ca="1" si="432"/>
        <v>761028.9527198046</v>
      </c>
      <c r="T57" s="15">
        <f t="shared" ca="1" si="432"/>
        <v>676534.99346561451</v>
      </c>
      <c r="U57" s="15">
        <f t="shared" ca="1" si="432"/>
        <v>592041.03421142441</v>
      </c>
      <c r="V57" s="15">
        <f t="shared" ca="1" si="432"/>
        <v>507547.07495723426</v>
      </c>
      <c r="W57" s="15">
        <f t="shared" ca="1" si="432"/>
        <v>423053.11570304411</v>
      </c>
      <c r="X57" s="15">
        <f t="shared" ca="1" si="432"/>
        <v>338559.15644885396</v>
      </c>
      <c r="Y57" s="15">
        <f t="shared" ca="1" si="432"/>
        <v>254065.19719466381</v>
      </c>
      <c r="Z57" s="15">
        <f t="shared" ca="1" si="432"/>
        <v>169571.23794047366</v>
      </c>
      <c r="AA57" s="15">
        <f t="shared" ca="1" si="432"/>
        <v>85077.278686283506</v>
      </c>
      <c r="AB57" s="15">
        <f t="shared" ca="1" si="432"/>
        <v>42538.639343141745</v>
      </c>
      <c r="AC57" s="15">
        <f t="shared" ca="1" si="432"/>
        <v>0</v>
      </c>
      <c r="AD57" s="15">
        <f t="shared" ca="1" si="432"/>
        <v>0</v>
      </c>
      <c r="AE57" s="15">
        <f t="shared" ca="1" si="432"/>
        <v>0</v>
      </c>
      <c r="AF57" s="15">
        <f t="shared" ca="1" si="432"/>
        <v>0</v>
      </c>
      <c r="AG57" s="15">
        <f t="shared" ca="1" si="432"/>
        <v>0</v>
      </c>
      <c r="AH57" s="15">
        <f t="shared" ca="1" si="432"/>
        <v>0</v>
      </c>
      <c r="AI57" s="15">
        <f t="shared" ca="1" si="432"/>
        <v>0</v>
      </c>
      <c r="AJ57" s="15">
        <f t="shared" ca="1" si="432"/>
        <v>0</v>
      </c>
      <c r="AK57" s="15">
        <f t="shared" ca="1" si="432"/>
        <v>0</v>
      </c>
      <c r="AL57" s="15">
        <f t="shared" ca="1" si="432"/>
        <v>0</v>
      </c>
      <c r="AM57" s="15">
        <f t="shared" ca="1" si="432"/>
        <v>0</v>
      </c>
      <c r="AN57" s="15">
        <f t="shared" ca="1" si="432"/>
        <v>0</v>
      </c>
      <c r="AO57" s="15">
        <f t="shared" ca="1" si="432"/>
        <v>0</v>
      </c>
      <c r="AP57" s="15">
        <f t="shared" ca="1" si="432"/>
        <v>0</v>
      </c>
      <c r="AQ57" s="15">
        <f t="shared" ca="1" si="432"/>
        <v>0</v>
      </c>
      <c r="AR57" s="15">
        <f t="shared" ca="1" si="432"/>
        <v>0</v>
      </c>
      <c r="AS57" s="15">
        <f t="shared" ca="1" si="432"/>
        <v>0</v>
      </c>
      <c r="AT57" s="15">
        <f t="shared" ca="1" si="432"/>
        <v>0</v>
      </c>
      <c r="AU57" s="15">
        <f t="shared" ca="1" si="432"/>
        <v>0</v>
      </c>
      <c r="AV57" s="15">
        <f t="shared" ca="1" si="432"/>
        <v>0</v>
      </c>
      <c r="AW57" s="15">
        <f t="shared" ca="1" si="432"/>
        <v>0</v>
      </c>
      <c r="AX57" s="15">
        <f t="shared" ca="1" si="432"/>
        <v>0</v>
      </c>
      <c r="AY57" s="15">
        <f t="shared" ca="1" si="432"/>
        <v>0</v>
      </c>
      <c r="AZ57" s="15">
        <f t="shared" ca="1" si="432"/>
        <v>0</v>
      </c>
      <c r="BA57" s="15">
        <f t="shared" ca="1" si="432"/>
        <v>0</v>
      </c>
      <c r="BB57" s="15">
        <f t="shared" ca="1" si="432"/>
        <v>0</v>
      </c>
      <c r="BC57" s="15">
        <f t="shared" ca="1" si="432"/>
        <v>0</v>
      </c>
      <c r="BD57" s="15">
        <f t="shared" ca="1" si="432"/>
        <v>0</v>
      </c>
      <c r="BE57" s="15">
        <f t="shared" ca="1" si="432"/>
        <v>0</v>
      </c>
      <c r="BF57" s="15">
        <f t="shared" ca="1" si="432"/>
        <v>0</v>
      </c>
      <c r="BG57" s="15">
        <f t="shared" ca="1" si="432"/>
        <v>0</v>
      </c>
      <c r="BH57" s="15">
        <f t="shared" ca="1" si="432"/>
        <v>0</v>
      </c>
      <c r="BI57" s="15">
        <f t="shared" ca="1" si="432"/>
        <v>0</v>
      </c>
      <c r="BJ57" s="15">
        <f t="shared" ca="1" si="432"/>
        <v>0</v>
      </c>
      <c r="BK57" s="15">
        <f t="shared" ca="1" si="432"/>
        <v>0</v>
      </c>
      <c r="BL57" s="15">
        <f t="shared" ca="1" si="432"/>
        <v>0</v>
      </c>
      <c r="BM57" s="15">
        <f t="shared" ca="1" si="432"/>
        <v>0</v>
      </c>
      <c r="BN57" s="15">
        <f t="shared" ca="1" si="432"/>
        <v>0</v>
      </c>
      <c r="BO57" s="15">
        <f t="shared" ca="1" si="432"/>
        <v>0</v>
      </c>
      <c r="BP57" s="15">
        <f t="shared" ca="1" si="432"/>
        <v>0</v>
      </c>
      <c r="BQ57" s="15">
        <f t="shared" ca="1" si="432"/>
        <v>0</v>
      </c>
      <c r="BR57" s="15">
        <f t="shared" ca="1" si="432"/>
        <v>0</v>
      </c>
      <c r="BS57" s="15">
        <f t="shared" ca="1" si="432"/>
        <v>0</v>
      </c>
      <c r="BT57" s="15">
        <f t="shared" ca="1" si="432"/>
        <v>0</v>
      </c>
      <c r="BU57" s="15">
        <f t="shared" ca="1" si="432"/>
        <v>0</v>
      </c>
      <c r="BV57" s="15">
        <f t="shared" ca="1" si="432"/>
        <v>0</v>
      </c>
      <c r="BW57" s="15">
        <f t="shared" ca="1" si="432"/>
        <v>0</v>
      </c>
      <c r="BX57" s="15">
        <f t="shared" ca="1" si="432"/>
        <v>0</v>
      </c>
      <c r="BY57" s="15">
        <f t="shared" ref="BY57:CN57" ca="1" si="433">BX60</f>
        <v>0</v>
      </c>
      <c r="BZ57" s="15">
        <f t="shared" ca="1" si="433"/>
        <v>0</v>
      </c>
      <c r="CA57" s="15">
        <f t="shared" ca="1" si="433"/>
        <v>0</v>
      </c>
      <c r="CB57" s="15">
        <f t="shared" ca="1" si="433"/>
        <v>0</v>
      </c>
      <c r="CC57" s="15">
        <f t="shared" ca="1" si="433"/>
        <v>0</v>
      </c>
      <c r="CD57" s="15">
        <f t="shared" ca="1" si="433"/>
        <v>0</v>
      </c>
      <c r="CE57" s="15">
        <f t="shared" ca="1" si="433"/>
        <v>0</v>
      </c>
      <c r="CF57" s="15">
        <f t="shared" ca="1" si="433"/>
        <v>0</v>
      </c>
      <c r="CG57" s="15">
        <f t="shared" ca="1" si="433"/>
        <v>0</v>
      </c>
      <c r="CH57" s="15">
        <f t="shared" ca="1" si="433"/>
        <v>0</v>
      </c>
      <c r="CI57" s="15">
        <f t="shared" ca="1" si="433"/>
        <v>0</v>
      </c>
      <c r="CJ57" s="15">
        <f t="shared" ca="1" si="433"/>
        <v>0</v>
      </c>
      <c r="CK57" s="15">
        <f t="shared" ca="1" si="433"/>
        <v>0</v>
      </c>
      <c r="CL57" s="15">
        <f t="shared" ca="1" si="433"/>
        <v>0</v>
      </c>
      <c r="CM57" s="15">
        <f t="shared" ca="1" si="433"/>
        <v>0</v>
      </c>
      <c r="CN57" s="15">
        <f t="shared" ca="1" si="433"/>
        <v>0</v>
      </c>
    </row>
    <row r="58" spans="3:92" ht="12.75" customHeight="1" x14ac:dyDescent="0.3">
      <c r="D58" s="15" t="s">
        <v>182</v>
      </c>
      <c r="H58" s="16" t="s">
        <v>1</v>
      </c>
      <c r="J58" s="58">
        <f>SUM(L58:CN58)</f>
        <v>1013927.5110502818</v>
      </c>
      <c r="L58" s="81">
        <v>0</v>
      </c>
      <c r="M58" s="78">
        <f t="shared" ref="M58:BX58" si="434">INDEX(M$19:M$23,$C56)</f>
        <v>0</v>
      </c>
      <c r="N58" s="78">
        <f t="shared" si="434"/>
        <v>503463.83893258061</v>
      </c>
      <c r="O58" s="78">
        <f t="shared" si="434"/>
        <v>0</v>
      </c>
      <c r="P58" s="78">
        <f t="shared" si="434"/>
        <v>510463.67211770115</v>
      </c>
      <c r="Q58" s="78">
        <f t="shared" si="434"/>
        <v>0</v>
      </c>
      <c r="R58" s="78">
        <f t="shared" si="434"/>
        <v>0</v>
      </c>
      <c r="S58" s="78">
        <f t="shared" si="434"/>
        <v>0</v>
      </c>
      <c r="T58" s="78">
        <f t="shared" si="434"/>
        <v>0</v>
      </c>
      <c r="U58" s="78">
        <f t="shared" si="434"/>
        <v>0</v>
      </c>
      <c r="V58" s="78">
        <f t="shared" si="434"/>
        <v>0</v>
      </c>
      <c r="W58" s="78">
        <f t="shared" si="434"/>
        <v>0</v>
      </c>
      <c r="X58" s="78">
        <f t="shared" si="434"/>
        <v>0</v>
      </c>
      <c r="Y58" s="78">
        <f t="shared" si="434"/>
        <v>0</v>
      </c>
      <c r="Z58" s="78">
        <f t="shared" si="434"/>
        <v>0</v>
      </c>
      <c r="AA58" s="78">
        <f t="shared" si="434"/>
        <v>0</v>
      </c>
      <c r="AB58" s="78">
        <f t="shared" si="434"/>
        <v>0</v>
      </c>
      <c r="AC58" s="78">
        <f t="shared" si="434"/>
        <v>0</v>
      </c>
      <c r="AD58" s="78">
        <f t="shared" si="434"/>
        <v>0</v>
      </c>
      <c r="AE58" s="78">
        <f t="shared" si="434"/>
        <v>0</v>
      </c>
      <c r="AF58" s="78">
        <f t="shared" si="434"/>
        <v>0</v>
      </c>
      <c r="AG58" s="78">
        <f t="shared" si="434"/>
        <v>0</v>
      </c>
      <c r="AH58" s="78">
        <f t="shared" si="434"/>
        <v>0</v>
      </c>
      <c r="AI58" s="78">
        <f t="shared" si="434"/>
        <v>0</v>
      </c>
      <c r="AJ58" s="78">
        <f t="shared" si="434"/>
        <v>0</v>
      </c>
      <c r="AK58" s="78">
        <f t="shared" si="434"/>
        <v>0</v>
      </c>
      <c r="AL58" s="78">
        <f t="shared" si="434"/>
        <v>0</v>
      </c>
      <c r="AM58" s="78">
        <f t="shared" si="434"/>
        <v>0</v>
      </c>
      <c r="AN58" s="78">
        <f t="shared" si="434"/>
        <v>0</v>
      </c>
      <c r="AO58" s="78">
        <f t="shared" si="434"/>
        <v>0</v>
      </c>
      <c r="AP58" s="78">
        <f t="shared" si="434"/>
        <v>0</v>
      </c>
      <c r="AQ58" s="78">
        <f t="shared" si="434"/>
        <v>0</v>
      </c>
      <c r="AR58" s="78">
        <f t="shared" si="434"/>
        <v>0</v>
      </c>
      <c r="AS58" s="78">
        <f t="shared" si="434"/>
        <v>0</v>
      </c>
      <c r="AT58" s="78">
        <f t="shared" si="434"/>
        <v>0</v>
      </c>
      <c r="AU58" s="78">
        <f t="shared" si="434"/>
        <v>0</v>
      </c>
      <c r="AV58" s="78">
        <f t="shared" si="434"/>
        <v>0</v>
      </c>
      <c r="AW58" s="78">
        <f t="shared" si="434"/>
        <v>0</v>
      </c>
      <c r="AX58" s="78">
        <f t="shared" si="434"/>
        <v>0</v>
      </c>
      <c r="AY58" s="78">
        <f t="shared" si="434"/>
        <v>0</v>
      </c>
      <c r="AZ58" s="78">
        <f t="shared" si="434"/>
        <v>0</v>
      </c>
      <c r="BA58" s="78">
        <f t="shared" si="434"/>
        <v>0</v>
      </c>
      <c r="BB58" s="78">
        <f t="shared" si="434"/>
        <v>0</v>
      </c>
      <c r="BC58" s="78">
        <f t="shared" si="434"/>
        <v>0</v>
      </c>
      <c r="BD58" s="78">
        <f t="shared" si="434"/>
        <v>0</v>
      </c>
      <c r="BE58" s="78">
        <f t="shared" si="434"/>
        <v>0</v>
      </c>
      <c r="BF58" s="78">
        <f t="shared" si="434"/>
        <v>0</v>
      </c>
      <c r="BG58" s="78">
        <f t="shared" si="434"/>
        <v>0</v>
      </c>
      <c r="BH58" s="78">
        <f t="shared" si="434"/>
        <v>0</v>
      </c>
      <c r="BI58" s="78">
        <f t="shared" si="434"/>
        <v>0</v>
      </c>
      <c r="BJ58" s="78">
        <f t="shared" si="434"/>
        <v>0</v>
      </c>
      <c r="BK58" s="78">
        <f t="shared" si="434"/>
        <v>0</v>
      </c>
      <c r="BL58" s="78">
        <f t="shared" si="434"/>
        <v>0</v>
      </c>
      <c r="BM58" s="78">
        <f t="shared" si="434"/>
        <v>0</v>
      </c>
      <c r="BN58" s="78">
        <f t="shared" si="434"/>
        <v>0</v>
      </c>
      <c r="BO58" s="78">
        <f t="shared" si="434"/>
        <v>0</v>
      </c>
      <c r="BP58" s="78">
        <f t="shared" si="434"/>
        <v>0</v>
      </c>
      <c r="BQ58" s="78">
        <f t="shared" si="434"/>
        <v>0</v>
      </c>
      <c r="BR58" s="78">
        <f t="shared" si="434"/>
        <v>0</v>
      </c>
      <c r="BS58" s="78">
        <f t="shared" si="434"/>
        <v>0</v>
      </c>
      <c r="BT58" s="78">
        <f t="shared" si="434"/>
        <v>0</v>
      </c>
      <c r="BU58" s="78">
        <f t="shared" si="434"/>
        <v>0</v>
      </c>
      <c r="BV58" s="78">
        <f t="shared" si="434"/>
        <v>0</v>
      </c>
      <c r="BW58" s="78">
        <f t="shared" si="434"/>
        <v>0</v>
      </c>
      <c r="BX58" s="78">
        <f t="shared" si="434"/>
        <v>0</v>
      </c>
      <c r="BY58" s="78">
        <f t="shared" ref="BY58:CN58" si="435">INDEX(BY$19:BY$23,$C56)</f>
        <v>0</v>
      </c>
      <c r="BZ58" s="78">
        <f t="shared" si="435"/>
        <v>0</v>
      </c>
      <c r="CA58" s="78">
        <f t="shared" si="435"/>
        <v>0</v>
      </c>
      <c r="CB58" s="78">
        <f t="shared" si="435"/>
        <v>0</v>
      </c>
      <c r="CC58" s="78">
        <f t="shared" si="435"/>
        <v>0</v>
      </c>
      <c r="CD58" s="78">
        <f t="shared" si="435"/>
        <v>0</v>
      </c>
      <c r="CE58" s="78">
        <f t="shared" si="435"/>
        <v>0</v>
      </c>
      <c r="CF58" s="78">
        <f t="shared" si="435"/>
        <v>0</v>
      </c>
      <c r="CG58" s="78">
        <f t="shared" si="435"/>
        <v>0</v>
      </c>
      <c r="CH58" s="78">
        <f t="shared" si="435"/>
        <v>0</v>
      </c>
      <c r="CI58" s="78">
        <f t="shared" si="435"/>
        <v>0</v>
      </c>
      <c r="CJ58" s="78">
        <f t="shared" si="435"/>
        <v>0</v>
      </c>
      <c r="CK58" s="78">
        <f t="shared" si="435"/>
        <v>0</v>
      </c>
      <c r="CL58" s="78">
        <f t="shared" si="435"/>
        <v>0</v>
      </c>
      <c r="CM58" s="78">
        <f t="shared" si="435"/>
        <v>0</v>
      </c>
      <c r="CN58" s="78">
        <f t="shared" si="435"/>
        <v>0</v>
      </c>
    </row>
    <row r="59" spans="3:92" ht="12.75" customHeight="1" x14ac:dyDescent="0.3">
      <c r="D59" s="15" t="s">
        <v>183</v>
      </c>
      <c r="E59" s="1">
        <f>INDEX(Ass!L$107:L$111,$C56)</f>
        <v>3</v>
      </c>
      <c r="F59" s="1" t="str">
        <f>INDEX(Ass!M$107:M$111,$C56)</f>
        <v>SL</v>
      </c>
      <c r="H59" s="16" t="s">
        <v>1</v>
      </c>
      <c r="J59" s="58">
        <f ca="1">SUM(L59:CN59)</f>
        <v>-1013927.5110502816</v>
      </c>
      <c r="L59" s="82">
        <v>0</v>
      </c>
      <c r="M59" s="15">
        <f t="shared" ref="M59" ca="1" si="436">-IF(M$12=1,SUM(M57:M58),IF($F59="SL",SUM(OFFSET(L58,,,,-MIN(L$14,$E59*4)))*1/($E59*4),2*1/($E59*4)*M57))</f>
        <v>0</v>
      </c>
      <c r="N59" s="15">
        <f t="shared" ref="N59" ca="1" si="437">-IF(N$12=1,SUM(N57:N58),IF($F59="SL",SUM(OFFSET(M58,,,,-MIN(M$14,$E59*4)))*1/($E59*4),2*1/($E59*4)*N57))</f>
        <v>0</v>
      </c>
      <c r="O59" s="15">
        <f t="shared" ref="O59" ca="1" si="438">-IF(O$12=1,SUM(O57:O58),IF($F59="SL",SUM(OFFSET(N58,,,,-MIN(N$14,$E59*4)))*1/($E59*4),2*1/($E59*4)*O57))</f>
        <v>-41955.319911048384</v>
      </c>
      <c r="P59" s="15">
        <f t="shared" ref="P59" ca="1" si="439">-IF(P$12=1,SUM(P57:P58),IF($F59="SL",SUM(OFFSET(O58,,,,-MIN(O$14,$E59*4)))*1/($E59*4),2*1/($E59*4)*P57))</f>
        <v>-41955.319911048384</v>
      </c>
      <c r="Q59" s="15">
        <f t="shared" ref="Q59" ca="1" si="440">-IF(Q$12=1,SUM(Q57:Q58),IF($F59="SL",SUM(OFFSET(P58,,,,-MIN(P$14,$E59*4)))*1/($E59*4),2*1/($E59*4)*Q57))</f>
        <v>-84493.959254190151</v>
      </c>
      <c r="R59" s="15">
        <f t="shared" ref="R59" ca="1" si="441">-IF(R$12=1,SUM(R57:R58),IF($F59="SL",SUM(OFFSET(Q58,,,,-MIN(Q$14,$E59*4)))*1/($E59*4),2*1/($E59*4)*R57))</f>
        <v>-84493.959254190151</v>
      </c>
      <c r="S59" s="15">
        <f t="shared" ref="S59" ca="1" si="442">-IF(S$12=1,SUM(S57:S58),IF($F59="SL",SUM(OFFSET(R58,,,,-MIN(R$14,$E59*4)))*1/($E59*4),2*1/($E59*4)*S57))</f>
        <v>-84493.959254190151</v>
      </c>
      <c r="T59" s="15">
        <f t="shared" ref="T59" ca="1" si="443">-IF(T$12=1,SUM(T57:T58),IF($F59="SL",SUM(OFFSET(S58,,,,-MIN(S$14,$E59*4)))*1/($E59*4),2*1/($E59*4)*T57))</f>
        <v>-84493.959254190151</v>
      </c>
      <c r="U59" s="15">
        <f t="shared" ref="U59" ca="1" si="444">-IF(U$12=1,SUM(U57:U58),IF($F59="SL",SUM(OFFSET(T58,,,,-MIN(T$14,$E59*4)))*1/($E59*4),2*1/($E59*4)*U57))</f>
        <v>-84493.959254190151</v>
      </c>
      <c r="V59" s="15">
        <f t="shared" ref="V59" ca="1" si="445">-IF(V$12=1,SUM(V57:V58),IF($F59="SL",SUM(OFFSET(U58,,,,-MIN(U$14,$E59*4)))*1/($E59*4),2*1/($E59*4)*V57))</f>
        <v>-84493.959254190151</v>
      </c>
      <c r="W59" s="15">
        <f t="shared" ref="W59" ca="1" si="446">-IF(W$12=1,SUM(W57:W58),IF($F59="SL",SUM(OFFSET(V58,,,,-MIN(V$14,$E59*4)))*1/($E59*4),2*1/($E59*4)*W57))</f>
        <v>-84493.959254190151</v>
      </c>
      <c r="X59" s="15">
        <f t="shared" ref="X59" ca="1" si="447">-IF(X$12=1,SUM(X57:X58),IF($F59="SL",SUM(OFFSET(W58,,,,-MIN(W$14,$E59*4)))*1/($E59*4),2*1/($E59*4)*X57))</f>
        <v>-84493.959254190151</v>
      </c>
      <c r="Y59" s="15">
        <f t="shared" ref="Y59" ca="1" si="448">-IF(Y$12=1,SUM(Y57:Y58),IF($F59="SL",SUM(OFFSET(X58,,,,-MIN(X$14,$E59*4)))*1/($E59*4),2*1/($E59*4)*Y57))</f>
        <v>-84493.959254190151</v>
      </c>
      <c r="Z59" s="15">
        <f t="shared" ref="Z59" ca="1" si="449">-IF(Z$12=1,SUM(Z57:Z58),IF($F59="SL",SUM(OFFSET(Y58,,,,-MIN(Y$14,$E59*4)))*1/($E59*4),2*1/($E59*4)*Z57))</f>
        <v>-84493.959254190151</v>
      </c>
      <c r="AA59" s="15">
        <f t="shared" ref="AA59" ca="1" si="450">-IF(AA$12=1,SUM(AA57:AA58),IF($F59="SL",SUM(OFFSET(Z58,,,,-MIN(Z$14,$E59*4)))*1/($E59*4),2*1/($E59*4)*AA57))</f>
        <v>-42538.63934314176</v>
      </c>
      <c r="AB59" s="15">
        <f t="shared" ref="AB59" ca="1" si="451">-IF(AB$12=1,SUM(AB57:AB58),IF($F59="SL",SUM(OFFSET(AA58,,,,-MIN(AA$14,$E59*4)))*1/($E59*4),2*1/($E59*4)*AB57))</f>
        <v>-42538.63934314176</v>
      </c>
      <c r="AC59" s="15">
        <f t="shared" ref="AC59" ca="1" si="452">-IF(AC$12=1,SUM(AC57:AC58),IF($F59="SL",SUM(OFFSET(AB58,,,,-MIN(AB$14,$E59*4)))*1/($E59*4),2*1/($E59*4)*AC57))</f>
        <v>0</v>
      </c>
      <c r="AD59" s="15">
        <f t="shared" ref="AD59" ca="1" si="453">-IF(AD$12=1,SUM(AD57:AD58),IF($F59="SL",SUM(OFFSET(AC58,,,,-MIN(AC$14,$E59*4)))*1/($E59*4),2*1/($E59*4)*AD57))</f>
        <v>0</v>
      </c>
      <c r="AE59" s="15">
        <f t="shared" ref="AE59" ca="1" si="454">-IF(AE$12=1,SUM(AE57:AE58),IF($F59="SL",SUM(OFFSET(AD58,,,,-MIN(AD$14,$E59*4)))*1/($E59*4),2*1/($E59*4)*AE57))</f>
        <v>0</v>
      </c>
      <c r="AF59" s="15">
        <f t="shared" ref="AF59" ca="1" si="455">-IF(AF$12=1,SUM(AF57:AF58),IF($F59="SL",SUM(OFFSET(AE58,,,,-MIN(AE$14,$E59*4)))*1/($E59*4),2*1/($E59*4)*AF57))</f>
        <v>0</v>
      </c>
      <c r="AG59" s="15">
        <f t="shared" ref="AG59" ca="1" si="456">-IF(AG$12=1,SUM(AG57:AG58),IF($F59="SL",SUM(OFFSET(AF58,,,,-MIN(AF$14,$E59*4)))*1/($E59*4),2*1/($E59*4)*AG57))</f>
        <v>0</v>
      </c>
      <c r="AH59" s="15">
        <f t="shared" ref="AH59" ca="1" si="457">-IF(AH$12=1,SUM(AH57:AH58),IF($F59="SL",SUM(OFFSET(AG58,,,,-MIN(AG$14,$E59*4)))*1/($E59*4),2*1/($E59*4)*AH57))</f>
        <v>0</v>
      </c>
      <c r="AI59" s="15">
        <f t="shared" ref="AI59" ca="1" si="458">-IF(AI$12=1,SUM(AI57:AI58),IF($F59="SL",SUM(OFFSET(AH58,,,,-MIN(AH$14,$E59*4)))*1/($E59*4),2*1/($E59*4)*AI57))</f>
        <v>0</v>
      </c>
      <c r="AJ59" s="15">
        <f t="shared" ref="AJ59" ca="1" si="459">-IF(AJ$12=1,SUM(AJ57:AJ58),IF($F59="SL",SUM(OFFSET(AI58,,,,-MIN(AI$14,$E59*4)))*1/($E59*4),2*1/($E59*4)*AJ57))</f>
        <v>0</v>
      </c>
      <c r="AK59" s="15">
        <f t="shared" ref="AK59" ca="1" si="460">-IF(AK$12=1,SUM(AK57:AK58),IF($F59="SL",SUM(OFFSET(AJ58,,,,-MIN(AJ$14,$E59*4)))*1/($E59*4),2*1/($E59*4)*AK57))</f>
        <v>0</v>
      </c>
      <c r="AL59" s="15">
        <f t="shared" ref="AL59" ca="1" si="461">-IF(AL$12=1,SUM(AL57:AL58),IF($F59="SL",SUM(OFFSET(AK58,,,,-MIN(AK$14,$E59*4)))*1/($E59*4),2*1/($E59*4)*AL57))</f>
        <v>0</v>
      </c>
      <c r="AM59" s="15">
        <f t="shared" ref="AM59" ca="1" si="462">-IF(AM$12=1,SUM(AM57:AM58),IF($F59="SL",SUM(OFFSET(AL58,,,,-MIN(AL$14,$E59*4)))*1/($E59*4),2*1/($E59*4)*AM57))</f>
        <v>0</v>
      </c>
      <c r="AN59" s="15">
        <f t="shared" ref="AN59" ca="1" si="463">-IF(AN$12=1,SUM(AN57:AN58),IF($F59="SL",SUM(OFFSET(AM58,,,,-MIN(AM$14,$E59*4)))*1/($E59*4),2*1/($E59*4)*AN57))</f>
        <v>0</v>
      </c>
      <c r="AO59" s="15">
        <f t="shared" ref="AO59" ca="1" si="464">-IF(AO$12=1,SUM(AO57:AO58),IF($F59="SL",SUM(OFFSET(AN58,,,,-MIN(AN$14,$E59*4)))*1/($E59*4),2*1/($E59*4)*AO57))</f>
        <v>0</v>
      </c>
      <c r="AP59" s="15">
        <f t="shared" ref="AP59" ca="1" si="465">-IF(AP$12=1,SUM(AP57:AP58),IF($F59="SL",SUM(OFFSET(AO58,,,,-MIN(AO$14,$E59*4)))*1/($E59*4),2*1/($E59*4)*AP57))</f>
        <v>0</v>
      </c>
      <c r="AQ59" s="15">
        <f t="shared" ref="AQ59" ca="1" si="466">-IF(AQ$12=1,SUM(AQ57:AQ58),IF($F59="SL",SUM(OFFSET(AP58,,,,-MIN(AP$14,$E59*4)))*1/($E59*4),2*1/($E59*4)*AQ57))</f>
        <v>0</v>
      </c>
      <c r="AR59" s="15">
        <f t="shared" ref="AR59" ca="1" si="467">-IF(AR$12=1,SUM(AR57:AR58),IF($F59="SL",SUM(OFFSET(AQ58,,,,-MIN(AQ$14,$E59*4)))*1/($E59*4),2*1/($E59*4)*AR57))</f>
        <v>0</v>
      </c>
      <c r="AS59" s="15">
        <f t="shared" ref="AS59" ca="1" si="468">-IF(AS$12=1,SUM(AS57:AS58),IF($F59="SL",SUM(OFFSET(AR58,,,,-MIN(AR$14,$E59*4)))*1/($E59*4),2*1/($E59*4)*AS57))</f>
        <v>0</v>
      </c>
      <c r="AT59" s="15">
        <f t="shared" ref="AT59" ca="1" si="469">-IF(AT$12=1,SUM(AT57:AT58),IF($F59="SL",SUM(OFFSET(AS58,,,,-MIN(AS$14,$E59*4)))*1/($E59*4),2*1/($E59*4)*AT57))</f>
        <v>0</v>
      </c>
      <c r="AU59" s="15">
        <f t="shared" ref="AU59" ca="1" si="470">-IF(AU$12=1,SUM(AU57:AU58),IF($F59="SL",SUM(OFFSET(AT58,,,,-MIN(AT$14,$E59*4)))*1/($E59*4),2*1/($E59*4)*AU57))</f>
        <v>0</v>
      </c>
      <c r="AV59" s="15">
        <f t="shared" ref="AV59" ca="1" si="471">-IF(AV$12=1,SUM(AV57:AV58),IF($F59="SL",SUM(OFFSET(AU58,,,,-MIN(AU$14,$E59*4)))*1/($E59*4),2*1/($E59*4)*AV57))</f>
        <v>0</v>
      </c>
      <c r="AW59" s="15">
        <f t="shared" ref="AW59" ca="1" si="472">-IF(AW$12=1,SUM(AW57:AW58),IF($F59="SL",SUM(OFFSET(AV58,,,,-MIN(AV$14,$E59*4)))*1/($E59*4),2*1/($E59*4)*AW57))</f>
        <v>0</v>
      </c>
      <c r="AX59" s="15">
        <f t="shared" ref="AX59" ca="1" si="473">-IF(AX$12=1,SUM(AX57:AX58),IF($F59="SL",SUM(OFFSET(AW58,,,,-MIN(AW$14,$E59*4)))*1/($E59*4),2*1/($E59*4)*AX57))</f>
        <v>0</v>
      </c>
      <c r="AY59" s="15">
        <f t="shared" ref="AY59" ca="1" si="474">-IF(AY$12=1,SUM(AY57:AY58),IF($F59="SL",SUM(OFFSET(AX58,,,,-MIN(AX$14,$E59*4)))*1/($E59*4),2*1/($E59*4)*AY57))</f>
        <v>0</v>
      </c>
      <c r="AZ59" s="15">
        <f t="shared" ref="AZ59" ca="1" si="475">-IF(AZ$12=1,SUM(AZ57:AZ58),IF($F59="SL",SUM(OFFSET(AY58,,,,-MIN(AY$14,$E59*4)))*1/($E59*4),2*1/($E59*4)*AZ57))</f>
        <v>0</v>
      </c>
      <c r="BA59" s="15">
        <f t="shared" ref="BA59" ca="1" si="476">-IF(BA$12=1,SUM(BA57:BA58),IF($F59="SL",SUM(OFFSET(AZ58,,,,-MIN(AZ$14,$E59*4)))*1/($E59*4),2*1/($E59*4)*BA57))</f>
        <v>0</v>
      </c>
      <c r="BB59" s="15">
        <f t="shared" ref="BB59" ca="1" si="477">-IF(BB$12=1,SUM(BB57:BB58),IF($F59="SL",SUM(OFFSET(BA58,,,,-MIN(BA$14,$E59*4)))*1/($E59*4),2*1/($E59*4)*BB57))</f>
        <v>0</v>
      </c>
      <c r="BC59" s="15">
        <f t="shared" ref="BC59" ca="1" si="478">-IF(BC$12=1,SUM(BC57:BC58),IF($F59="SL",SUM(OFFSET(BB58,,,,-MIN(BB$14,$E59*4)))*1/($E59*4),2*1/($E59*4)*BC57))</f>
        <v>0</v>
      </c>
      <c r="BD59" s="15">
        <f t="shared" ref="BD59" ca="1" si="479">-IF(BD$12=1,SUM(BD57:BD58),IF($F59="SL",SUM(OFFSET(BC58,,,,-MIN(BC$14,$E59*4)))*1/($E59*4),2*1/($E59*4)*BD57))</f>
        <v>0</v>
      </c>
      <c r="BE59" s="15">
        <f t="shared" ref="BE59" ca="1" si="480">-IF(BE$12=1,SUM(BE57:BE58),IF($F59="SL",SUM(OFFSET(BD58,,,,-MIN(BD$14,$E59*4)))*1/($E59*4),2*1/($E59*4)*BE57))</f>
        <v>0</v>
      </c>
      <c r="BF59" s="15">
        <f t="shared" ref="BF59" ca="1" si="481">-IF(BF$12=1,SUM(BF57:BF58),IF($F59="SL",SUM(OFFSET(BE58,,,,-MIN(BE$14,$E59*4)))*1/($E59*4),2*1/($E59*4)*BF57))</f>
        <v>0</v>
      </c>
      <c r="BG59" s="15">
        <f t="shared" ref="BG59" ca="1" si="482">-IF(BG$12=1,SUM(BG57:BG58),IF($F59="SL",SUM(OFFSET(BF58,,,,-MIN(BF$14,$E59*4)))*1/($E59*4),2*1/($E59*4)*BG57))</f>
        <v>0</v>
      </c>
      <c r="BH59" s="15">
        <f t="shared" ref="BH59" ca="1" si="483">-IF(BH$12=1,SUM(BH57:BH58),IF($F59="SL",SUM(OFFSET(BG58,,,,-MIN(BG$14,$E59*4)))*1/($E59*4),2*1/($E59*4)*BH57))</f>
        <v>0</v>
      </c>
      <c r="BI59" s="15">
        <f t="shared" ref="BI59" ca="1" si="484">-IF(BI$12=1,SUM(BI57:BI58),IF($F59="SL",SUM(OFFSET(BH58,,,,-MIN(BH$14,$E59*4)))*1/($E59*4),2*1/($E59*4)*BI57))</f>
        <v>0</v>
      </c>
      <c r="BJ59" s="15">
        <f t="shared" ref="BJ59" ca="1" si="485">-IF(BJ$12=1,SUM(BJ57:BJ58),IF($F59="SL",SUM(OFFSET(BI58,,,,-MIN(BI$14,$E59*4)))*1/($E59*4),2*1/($E59*4)*BJ57))</f>
        <v>0</v>
      </c>
      <c r="BK59" s="15">
        <f t="shared" ref="BK59" ca="1" si="486">-IF(BK$12=1,SUM(BK57:BK58),IF($F59="SL",SUM(OFFSET(BJ58,,,,-MIN(BJ$14,$E59*4)))*1/($E59*4),2*1/($E59*4)*BK57))</f>
        <v>0</v>
      </c>
      <c r="BL59" s="15">
        <f t="shared" ref="BL59" ca="1" si="487">-IF(BL$12=1,SUM(BL57:BL58),IF($F59="SL",SUM(OFFSET(BK58,,,,-MIN(BK$14,$E59*4)))*1/($E59*4),2*1/($E59*4)*BL57))</f>
        <v>0</v>
      </c>
      <c r="BM59" s="15">
        <f t="shared" ref="BM59" ca="1" si="488">-IF(BM$12=1,SUM(BM57:BM58),IF($F59="SL",SUM(OFFSET(BL58,,,,-MIN(BL$14,$E59*4)))*1/($E59*4),2*1/($E59*4)*BM57))</f>
        <v>0</v>
      </c>
      <c r="BN59" s="15">
        <f t="shared" ref="BN59" ca="1" si="489">-IF(BN$12=1,SUM(BN57:BN58),IF($F59="SL",SUM(OFFSET(BM58,,,,-MIN(BM$14,$E59*4)))*1/($E59*4),2*1/($E59*4)*BN57))</f>
        <v>0</v>
      </c>
      <c r="BO59" s="15">
        <f t="shared" ref="BO59" ca="1" si="490">-IF(BO$12=1,SUM(BO57:BO58),IF($F59="SL",SUM(OFFSET(BN58,,,,-MIN(BN$14,$E59*4)))*1/($E59*4),2*1/($E59*4)*BO57))</f>
        <v>0</v>
      </c>
      <c r="BP59" s="15">
        <f t="shared" ref="BP59" ca="1" si="491">-IF(BP$12=1,SUM(BP57:BP58),IF($F59="SL",SUM(OFFSET(BO58,,,,-MIN(BO$14,$E59*4)))*1/($E59*4),2*1/($E59*4)*BP57))</f>
        <v>0</v>
      </c>
      <c r="BQ59" s="15">
        <f t="shared" ref="BQ59" ca="1" si="492">-IF(BQ$12=1,SUM(BQ57:BQ58),IF($F59="SL",SUM(OFFSET(BP58,,,,-MIN(BP$14,$E59*4)))*1/($E59*4),2*1/($E59*4)*BQ57))</f>
        <v>0</v>
      </c>
      <c r="BR59" s="15">
        <f t="shared" ref="BR59" ca="1" si="493">-IF(BR$12=1,SUM(BR57:BR58),IF($F59="SL",SUM(OFFSET(BQ58,,,,-MIN(BQ$14,$E59*4)))*1/($E59*4),2*1/($E59*4)*BR57))</f>
        <v>0</v>
      </c>
      <c r="BS59" s="15">
        <f t="shared" ref="BS59" ca="1" si="494">-IF(BS$12=1,SUM(BS57:BS58),IF($F59="SL",SUM(OFFSET(BR58,,,,-MIN(BR$14,$E59*4)))*1/($E59*4),2*1/($E59*4)*BS57))</f>
        <v>0</v>
      </c>
      <c r="BT59" s="15">
        <f t="shared" ref="BT59" ca="1" si="495">-IF(BT$12=1,SUM(BT57:BT58),IF($F59="SL",SUM(OFFSET(BS58,,,,-MIN(BS$14,$E59*4)))*1/($E59*4),2*1/($E59*4)*BT57))</f>
        <v>0</v>
      </c>
      <c r="BU59" s="15">
        <f t="shared" ref="BU59" ca="1" si="496">-IF(BU$12=1,SUM(BU57:BU58),IF($F59="SL",SUM(OFFSET(BT58,,,,-MIN(BT$14,$E59*4)))*1/($E59*4),2*1/($E59*4)*BU57))</f>
        <v>0</v>
      </c>
      <c r="BV59" s="15">
        <f t="shared" ref="BV59" ca="1" si="497">-IF(BV$12=1,SUM(BV57:BV58),IF($F59="SL",SUM(OFFSET(BU58,,,,-MIN(BU$14,$E59*4)))*1/($E59*4),2*1/($E59*4)*BV57))</f>
        <v>0</v>
      </c>
      <c r="BW59" s="15">
        <f t="shared" ref="BW59" ca="1" si="498">-IF(BW$12=1,SUM(BW57:BW58),IF($F59="SL",SUM(OFFSET(BV58,,,,-MIN(BV$14,$E59*4)))*1/($E59*4),2*1/($E59*4)*BW57))</f>
        <v>0</v>
      </c>
      <c r="BX59" s="15">
        <f t="shared" ref="BX59" ca="1" si="499">-IF(BX$12=1,SUM(BX57:BX58),IF($F59="SL",SUM(OFFSET(BW58,,,,-MIN(BW$14,$E59*4)))*1/($E59*4),2*1/($E59*4)*BX57))</f>
        <v>0</v>
      </c>
      <c r="BY59" s="15">
        <f t="shared" ref="BY59" ca="1" si="500">-IF(BY$12=1,SUM(BY57:BY58),IF($F59="SL",SUM(OFFSET(BX58,,,,-MIN(BX$14,$E59*4)))*1/($E59*4),2*1/($E59*4)*BY57))</f>
        <v>0</v>
      </c>
      <c r="BZ59" s="15">
        <f t="shared" ref="BZ59" ca="1" si="501">-IF(BZ$12=1,SUM(BZ57:BZ58),IF($F59="SL",SUM(OFFSET(BY58,,,,-MIN(BY$14,$E59*4)))*1/($E59*4),2*1/($E59*4)*BZ57))</f>
        <v>0</v>
      </c>
      <c r="CA59" s="15">
        <f t="shared" ref="CA59" ca="1" si="502">-IF(CA$12=1,SUM(CA57:CA58),IF($F59="SL",SUM(OFFSET(BZ58,,,,-MIN(BZ$14,$E59*4)))*1/($E59*4),2*1/($E59*4)*CA57))</f>
        <v>0</v>
      </c>
      <c r="CB59" s="15">
        <f t="shared" ref="CB59" ca="1" si="503">-IF(CB$12=1,SUM(CB57:CB58),IF($F59="SL",SUM(OFFSET(CA58,,,,-MIN(CA$14,$E59*4)))*1/($E59*4),2*1/($E59*4)*CB57))</f>
        <v>0</v>
      </c>
      <c r="CC59" s="15">
        <f t="shared" ref="CC59" ca="1" si="504">-IF(CC$12=1,SUM(CC57:CC58),IF($F59="SL",SUM(OFFSET(CB58,,,,-MIN(CB$14,$E59*4)))*1/($E59*4),2*1/($E59*4)*CC57))</f>
        <v>0</v>
      </c>
      <c r="CD59" s="15">
        <f t="shared" ref="CD59" ca="1" si="505">-IF(CD$12=1,SUM(CD57:CD58),IF($F59="SL",SUM(OFFSET(CC58,,,,-MIN(CC$14,$E59*4)))*1/($E59*4),2*1/($E59*4)*CD57))</f>
        <v>0</v>
      </c>
      <c r="CE59" s="15">
        <f t="shared" ref="CE59" ca="1" si="506">-IF(CE$12=1,SUM(CE57:CE58),IF($F59="SL",SUM(OFFSET(CD58,,,,-MIN(CD$14,$E59*4)))*1/($E59*4),2*1/($E59*4)*CE57))</f>
        <v>0</v>
      </c>
      <c r="CF59" s="15">
        <f t="shared" ref="CF59" ca="1" si="507">-IF(CF$12=1,SUM(CF57:CF58),IF($F59="SL",SUM(OFFSET(CE58,,,,-MIN(CE$14,$E59*4)))*1/($E59*4),2*1/($E59*4)*CF57))</f>
        <v>0</v>
      </c>
      <c r="CG59" s="15">
        <f t="shared" ref="CG59" ca="1" si="508">-IF(CG$12=1,SUM(CG57:CG58),IF($F59="SL",SUM(OFFSET(CF58,,,,-MIN(CF$14,$E59*4)))*1/($E59*4),2*1/($E59*4)*CG57))</f>
        <v>0</v>
      </c>
      <c r="CH59" s="15">
        <f t="shared" ref="CH59" ca="1" si="509">-IF(CH$12=1,SUM(CH57:CH58),IF($F59="SL",SUM(OFFSET(CG58,,,,-MIN(CG$14,$E59*4)))*1/($E59*4),2*1/($E59*4)*CH57))</f>
        <v>0</v>
      </c>
      <c r="CI59" s="15">
        <f t="shared" ref="CI59" ca="1" si="510">-IF(CI$12=1,SUM(CI57:CI58),IF($F59="SL",SUM(OFFSET(CH58,,,,-MIN(CH$14,$E59*4)))*1/($E59*4),2*1/($E59*4)*CI57))</f>
        <v>0</v>
      </c>
      <c r="CJ59" s="15">
        <f t="shared" ref="CJ59" ca="1" si="511">-IF(CJ$12=1,SUM(CJ57:CJ58),IF($F59="SL",SUM(OFFSET(CI58,,,,-MIN(CI$14,$E59*4)))*1/($E59*4),2*1/($E59*4)*CJ57))</f>
        <v>0</v>
      </c>
      <c r="CK59" s="15">
        <f t="shared" ref="CK59" ca="1" si="512">-IF(CK$12=1,SUM(CK57:CK58),IF($F59="SL",SUM(OFFSET(CJ58,,,,-MIN(CJ$14,$E59*4)))*1/($E59*4),2*1/($E59*4)*CK57))</f>
        <v>0</v>
      </c>
      <c r="CL59" s="15">
        <f t="shared" ref="CL59" ca="1" si="513">-IF(CL$12=1,SUM(CL57:CL58),IF($F59="SL",SUM(OFFSET(CK58,,,,-MIN(CK$14,$E59*4)))*1/($E59*4),2*1/($E59*4)*CL57))</f>
        <v>0</v>
      </c>
      <c r="CM59" s="15">
        <f t="shared" ref="CM59" ca="1" si="514">-IF(CM$12=1,SUM(CM57:CM58),IF($F59="SL",SUM(OFFSET(CL58,,,,-MIN(CL$14,$E59*4)))*1/($E59*4),2*1/($E59*4)*CM57))</f>
        <v>0</v>
      </c>
      <c r="CN59" s="75">
        <f t="shared" ref="CN59" ca="1" si="515">-IF(CN$12=1,SUM(CN57:CN58),IF($F59="SL",SUM(OFFSET(CM58,,,,-MIN(CM$14,$E59*4)))*1/($E59*4),2*1/($E59*4)*CN57))</f>
        <v>0</v>
      </c>
    </row>
    <row r="60" spans="3:92" ht="12.75" customHeight="1" x14ac:dyDescent="0.3">
      <c r="D60" s="50" t="s">
        <v>184</v>
      </c>
      <c r="H60" s="16" t="s">
        <v>1</v>
      </c>
      <c r="J60" s="50">
        <f t="shared" ref="J60" ca="1" si="516">SUM(J57:J59)</f>
        <v>0</v>
      </c>
      <c r="L60" s="83">
        <v>0</v>
      </c>
      <c r="M60" s="50">
        <f t="shared" ref="M60" ca="1" si="517">SUM(M57:M59)</f>
        <v>0</v>
      </c>
      <c r="N60" s="50">
        <f t="shared" ref="N60" ca="1" si="518">SUM(N57:N59)</f>
        <v>503463.83893258061</v>
      </c>
      <c r="O60" s="50">
        <f t="shared" ref="O60" ca="1" si="519">SUM(O57:O59)</f>
        <v>461508.51902153221</v>
      </c>
      <c r="P60" s="50">
        <f t="shared" ref="P60" ca="1" si="520">SUM(P57:P59)</f>
        <v>930016.8712281849</v>
      </c>
      <c r="Q60" s="50">
        <f t="shared" ref="Q60" ca="1" si="521">SUM(Q57:Q59)</f>
        <v>845522.91197399469</v>
      </c>
      <c r="R60" s="50">
        <f t="shared" ref="R60" ca="1" si="522">SUM(R57:R59)</f>
        <v>761028.9527198046</v>
      </c>
      <c r="S60" s="50">
        <f t="shared" ref="S60" ca="1" si="523">SUM(S57:S59)</f>
        <v>676534.99346561451</v>
      </c>
      <c r="T60" s="50">
        <f t="shared" ref="T60" ca="1" si="524">SUM(T57:T59)</f>
        <v>592041.03421142441</v>
      </c>
      <c r="U60" s="50">
        <f t="shared" ref="U60" ca="1" si="525">SUM(U57:U59)</f>
        <v>507547.07495723426</v>
      </c>
      <c r="V60" s="50">
        <f t="shared" ref="V60" ca="1" si="526">SUM(V57:V59)</f>
        <v>423053.11570304411</v>
      </c>
      <c r="W60" s="50">
        <f t="shared" ref="W60" ca="1" si="527">SUM(W57:W59)</f>
        <v>338559.15644885396</v>
      </c>
      <c r="X60" s="50">
        <f t="shared" ref="X60" ca="1" si="528">SUM(X57:X59)</f>
        <v>254065.19719466381</v>
      </c>
      <c r="Y60" s="50">
        <f t="shared" ref="Y60" ca="1" si="529">SUM(Y57:Y59)</f>
        <v>169571.23794047366</v>
      </c>
      <c r="Z60" s="50">
        <f t="shared" ref="Z60" ca="1" si="530">SUM(Z57:Z59)</f>
        <v>85077.278686283506</v>
      </c>
      <c r="AA60" s="50">
        <f t="shared" ref="AA60" ca="1" si="531">SUM(AA57:AA59)</f>
        <v>42538.639343141745</v>
      </c>
      <c r="AB60" s="50">
        <f t="shared" ref="AB60" ca="1" si="532">SUM(AB57:AB59)</f>
        <v>0</v>
      </c>
      <c r="AC60" s="50">
        <f t="shared" ref="AC60" ca="1" si="533">SUM(AC57:AC59)</f>
        <v>0</v>
      </c>
      <c r="AD60" s="50">
        <f t="shared" ref="AD60" ca="1" si="534">SUM(AD57:AD59)</f>
        <v>0</v>
      </c>
      <c r="AE60" s="50">
        <f t="shared" ref="AE60" ca="1" si="535">SUM(AE57:AE59)</f>
        <v>0</v>
      </c>
      <c r="AF60" s="50">
        <f t="shared" ref="AF60" ca="1" si="536">SUM(AF57:AF59)</f>
        <v>0</v>
      </c>
      <c r="AG60" s="50">
        <f t="shared" ref="AG60" ca="1" si="537">SUM(AG57:AG59)</f>
        <v>0</v>
      </c>
      <c r="AH60" s="50">
        <f t="shared" ref="AH60" ca="1" si="538">SUM(AH57:AH59)</f>
        <v>0</v>
      </c>
      <c r="AI60" s="50">
        <f t="shared" ref="AI60" ca="1" si="539">SUM(AI57:AI59)</f>
        <v>0</v>
      </c>
      <c r="AJ60" s="50">
        <f t="shared" ref="AJ60" ca="1" si="540">SUM(AJ57:AJ59)</f>
        <v>0</v>
      </c>
      <c r="AK60" s="50">
        <f t="shared" ref="AK60" ca="1" si="541">SUM(AK57:AK59)</f>
        <v>0</v>
      </c>
      <c r="AL60" s="50">
        <f t="shared" ref="AL60" ca="1" si="542">SUM(AL57:AL59)</f>
        <v>0</v>
      </c>
      <c r="AM60" s="50">
        <f t="shared" ref="AM60" ca="1" si="543">SUM(AM57:AM59)</f>
        <v>0</v>
      </c>
      <c r="AN60" s="50">
        <f t="shared" ref="AN60" ca="1" si="544">SUM(AN57:AN59)</f>
        <v>0</v>
      </c>
      <c r="AO60" s="50">
        <f t="shared" ref="AO60" ca="1" si="545">SUM(AO57:AO59)</f>
        <v>0</v>
      </c>
      <c r="AP60" s="50">
        <f t="shared" ref="AP60" ca="1" si="546">SUM(AP57:AP59)</f>
        <v>0</v>
      </c>
      <c r="AQ60" s="50">
        <f t="shared" ref="AQ60" ca="1" si="547">SUM(AQ57:AQ59)</f>
        <v>0</v>
      </c>
      <c r="AR60" s="50">
        <f t="shared" ref="AR60" ca="1" si="548">SUM(AR57:AR59)</f>
        <v>0</v>
      </c>
      <c r="AS60" s="50">
        <f t="shared" ref="AS60" ca="1" si="549">SUM(AS57:AS59)</f>
        <v>0</v>
      </c>
      <c r="AT60" s="50">
        <f t="shared" ref="AT60" ca="1" si="550">SUM(AT57:AT59)</f>
        <v>0</v>
      </c>
      <c r="AU60" s="50">
        <f t="shared" ref="AU60" ca="1" si="551">SUM(AU57:AU59)</f>
        <v>0</v>
      </c>
      <c r="AV60" s="50">
        <f t="shared" ref="AV60" ca="1" si="552">SUM(AV57:AV59)</f>
        <v>0</v>
      </c>
      <c r="AW60" s="50">
        <f t="shared" ref="AW60" ca="1" si="553">SUM(AW57:AW59)</f>
        <v>0</v>
      </c>
      <c r="AX60" s="50">
        <f t="shared" ref="AX60" ca="1" si="554">SUM(AX57:AX59)</f>
        <v>0</v>
      </c>
      <c r="AY60" s="50">
        <f t="shared" ref="AY60" ca="1" si="555">SUM(AY57:AY59)</f>
        <v>0</v>
      </c>
      <c r="AZ60" s="50">
        <f t="shared" ref="AZ60" ca="1" si="556">SUM(AZ57:AZ59)</f>
        <v>0</v>
      </c>
      <c r="BA60" s="50">
        <f t="shared" ref="BA60" ca="1" si="557">SUM(BA57:BA59)</f>
        <v>0</v>
      </c>
      <c r="BB60" s="50">
        <f t="shared" ref="BB60" ca="1" si="558">SUM(BB57:BB59)</f>
        <v>0</v>
      </c>
      <c r="BC60" s="50">
        <f t="shared" ref="BC60" ca="1" si="559">SUM(BC57:BC59)</f>
        <v>0</v>
      </c>
      <c r="BD60" s="50">
        <f t="shared" ref="BD60" ca="1" si="560">SUM(BD57:BD59)</f>
        <v>0</v>
      </c>
      <c r="BE60" s="50">
        <f t="shared" ref="BE60" ca="1" si="561">SUM(BE57:BE59)</f>
        <v>0</v>
      </c>
      <c r="BF60" s="50">
        <f t="shared" ref="BF60" ca="1" si="562">SUM(BF57:BF59)</f>
        <v>0</v>
      </c>
      <c r="BG60" s="50">
        <f t="shared" ref="BG60" ca="1" si="563">SUM(BG57:BG59)</f>
        <v>0</v>
      </c>
      <c r="BH60" s="50">
        <f t="shared" ref="BH60" ca="1" si="564">SUM(BH57:BH59)</f>
        <v>0</v>
      </c>
      <c r="BI60" s="50">
        <f t="shared" ref="BI60" ca="1" si="565">SUM(BI57:BI59)</f>
        <v>0</v>
      </c>
      <c r="BJ60" s="50">
        <f t="shared" ref="BJ60" ca="1" si="566">SUM(BJ57:BJ59)</f>
        <v>0</v>
      </c>
      <c r="BK60" s="50">
        <f t="shared" ref="BK60" ca="1" si="567">SUM(BK57:BK59)</f>
        <v>0</v>
      </c>
      <c r="BL60" s="50">
        <f t="shared" ref="BL60" ca="1" si="568">SUM(BL57:BL59)</f>
        <v>0</v>
      </c>
      <c r="BM60" s="50">
        <f t="shared" ref="BM60" ca="1" si="569">SUM(BM57:BM59)</f>
        <v>0</v>
      </c>
      <c r="BN60" s="50">
        <f t="shared" ref="BN60" ca="1" si="570">SUM(BN57:BN59)</f>
        <v>0</v>
      </c>
      <c r="BO60" s="50">
        <f t="shared" ref="BO60" ca="1" si="571">SUM(BO57:BO59)</f>
        <v>0</v>
      </c>
      <c r="BP60" s="50">
        <f t="shared" ref="BP60" ca="1" si="572">SUM(BP57:BP59)</f>
        <v>0</v>
      </c>
      <c r="BQ60" s="50">
        <f t="shared" ref="BQ60" ca="1" si="573">SUM(BQ57:BQ59)</f>
        <v>0</v>
      </c>
      <c r="BR60" s="50">
        <f t="shared" ref="BR60" ca="1" si="574">SUM(BR57:BR59)</f>
        <v>0</v>
      </c>
      <c r="BS60" s="50">
        <f t="shared" ref="BS60" ca="1" si="575">SUM(BS57:BS59)</f>
        <v>0</v>
      </c>
      <c r="BT60" s="50">
        <f t="shared" ref="BT60" ca="1" si="576">SUM(BT57:BT59)</f>
        <v>0</v>
      </c>
      <c r="BU60" s="50">
        <f t="shared" ref="BU60" ca="1" si="577">SUM(BU57:BU59)</f>
        <v>0</v>
      </c>
      <c r="BV60" s="50">
        <f t="shared" ref="BV60" ca="1" si="578">SUM(BV57:BV59)</f>
        <v>0</v>
      </c>
      <c r="BW60" s="50">
        <f t="shared" ref="BW60" ca="1" si="579">SUM(BW57:BW59)</f>
        <v>0</v>
      </c>
      <c r="BX60" s="50">
        <f t="shared" ref="BX60" ca="1" si="580">SUM(BX57:BX59)</f>
        <v>0</v>
      </c>
      <c r="BY60" s="50">
        <f t="shared" ref="BY60" ca="1" si="581">SUM(BY57:BY59)</f>
        <v>0</v>
      </c>
      <c r="BZ60" s="50">
        <f t="shared" ref="BZ60" ca="1" si="582">SUM(BZ57:BZ59)</f>
        <v>0</v>
      </c>
      <c r="CA60" s="50">
        <f t="shared" ref="CA60" ca="1" si="583">SUM(CA57:CA59)</f>
        <v>0</v>
      </c>
      <c r="CB60" s="50">
        <f t="shared" ref="CB60" ca="1" si="584">SUM(CB57:CB59)</f>
        <v>0</v>
      </c>
      <c r="CC60" s="50">
        <f t="shared" ref="CC60" ca="1" si="585">SUM(CC57:CC59)</f>
        <v>0</v>
      </c>
      <c r="CD60" s="50">
        <f t="shared" ref="CD60" ca="1" si="586">SUM(CD57:CD59)</f>
        <v>0</v>
      </c>
      <c r="CE60" s="50">
        <f t="shared" ref="CE60" ca="1" si="587">SUM(CE57:CE59)</f>
        <v>0</v>
      </c>
      <c r="CF60" s="50">
        <f t="shared" ref="CF60" ca="1" si="588">SUM(CF57:CF59)</f>
        <v>0</v>
      </c>
      <c r="CG60" s="50">
        <f t="shared" ref="CG60" ca="1" si="589">SUM(CG57:CG59)</f>
        <v>0</v>
      </c>
      <c r="CH60" s="50">
        <f t="shared" ref="CH60" ca="1" si="590">SUM(CH57:CH59)</f>
        <v>0</v>
      </c>
      <c r="CI60" s="50">
        <f t="shared" ref="CI60" ca="1" si="591">SUM(CI57:CI59)</f>
        <v>0</v>
      </c>
      <c r="CJ60" s="50">
        <f t="shared" ref="CJ60" ca="1" si="592">SUM(CJ57:CJ59)</f>
        <v>0</v>
      </c>
      <c r="CK60" s="50">
        <f t="shared" ref="CK60" ca="1" si="593">SUM(CK57:CK59)</f>
        <v>0</v>
      </c>
      <c r="CL60" s="50">
        <f t="shared" ref="CL60" ca="1" si="594">SUM(CL57:CL59)</f>
        <v>0</v>
      </c>
      <c r="CM60" s="50">
        <f t="shared" ref="CM60" ca="1" si="595">SUM(CM57:CM59)</f>
        <v>0</v>
      </c>
      <c r="CN60" s="50">
        <f t="shared" ref="CN60" ca="1" si="596">SUM(CN57:CN59)</f>
        <v>0</v>
      </c>
    </row>
    <row r="61" spans="3:92" ht="12.75" customHeight="1" x14ac:dyDescent="0.3">
      <c r="D61" s="84"/>
      <c r="E61" s="85"/>
      <c r="F61" s="85"/>
      <c r="G61" s="85"/>
      <c r="H61" s="86"/>
      <c r="I61" s="87"/>
      <c r="J61" s="84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</row>
    <row r="62" spans="3:92" ht="12.75" customHeight="1" x14ac:dyDescent="0.3">
      <c r="D62" s="15"/>
      <c r="H62" s="16"/>
      <c r="J62" s="15"/>
    </row>
    <row r="63" spans="3:92" ht="12.75" customHeight="1" x14ac:dyDescent="0.3">
      <c r="C63" s="24">
        <f>C56+1</f>
        <v>4</v>
      </c>
      <c r="D63" s="17" t="str">
        <f>INDEX(Ass!$D$107:$D$111,CapexDA!$C63)</f>
        <v>Asset Class 4</v>
      </c>
      <c r="H63" s="16"/>
      <c r="J63" s="15"/>
    </row>
    <row r="64" spans="3:92" ht="12.75" customHeight="1" x14ac:dyDescent="0.3">
      <c r="D64" s="15" t="s">
        <v>181</v>
      </c>
      <c r="H64" s="16" t="s">
        <v>1</v>
      </c>
      <c r="J64" s="15"/>
      <c r="L64" s="80">
        <v>0</v>
      </c>
      <c r="M64" s="15">
        <f t="shared" ref="M64:BX64" si="597">L67</f>
        <v>0</v>
      </c>
      <c r="N64" s="15">
        <f t="shared" ca="1" si="597"/>
        <v>1000000</v>
      </c>
      <c r="O64" s="15">
        <f t="shared" ca="1" si="597"/>
        <v>2460391.5167977419</v>
      </c>
      <c r="P64" s="15">
        <f t="shared" ca="1" si="597"/>
        <v>3348775.2894087811</v>
      </c>
      <c r="Q64" s="15">
        <f t="shared" ca="1" si="597"/>
        <v>4703951.5624994515</v>
      </c>
      <c r="R64" s="15">
        <f t="shared" ca="1" si="597"/>
        <v>5479167.2684193626</v>
      </c>
      <c r="S64" s="15">
        <f t="shared" ca="1" si="597"/>
        <v>6210104.6271846592</v>
      </c>
      <c r="T64" s="15">
        <f t="shared" ca="1" si="597"/>
        <v>6896456.8926698528</v>
      </c>
      <c r="U64" s="15">
        <f t="shared" ca="1" si="597"/>
        <v>7537915.1937111113</v>
      </c>
      <c r="V64" s="15">
        <f t="shared" ca="1" si="597"/>
        <v>7077384.5193846766</v>
      </c>
      <c r="W64" s="15">
        <f t="shared" ca="1" si="597"/>
        <v>6616853.8450582419</v>
      </c>
      <c r="X64" s="15">
        <f t="shared" ca="1" si="597"/>
        <v>6156323.1707318071</v>
      </c>
      <c r="Y64" s="15">
        <f t="shared" ca="1" si="597"/>
        <v>5695792.4964053724</v>
      </c>
      <c r="Z64" s="15">
        <f t="shared" ca="1" si="597"/>
        <v>5235261.8220789377</v>
      </c>
      <c r="AA64" s="15">
        <f t="shared" ca="1" si="597"/>
        <v>4774731.1477525029</v>
      </c>
      <c r="AB64" s="15">
        <f t="shared" ca="1" si="597"/>
        <v>4314200.4734260682</v>
      </c>
      <c r="AC64" s="15">
        <f t="shared" ca="1" si="597"/>
        <v>3853669.799099633</v>
      </c>
      <c r="AD64" s="15">
        <f t="shared" ca="1" si="597"/>
        <v>3393139.1247731978</v>
      </c>
      <c r="AE64" s="15">
        <f t="shared" ca="1" si="597"/>
        <v>2932608.4504467626</v>
      </c>
      <c r="AF64" s="15">
        <f t="shared" ca="1" si="597"/>
        <v>2472077.7761203274</v>
      </c>
      <c r="AG64" s="15">
        <f t="shared" ca="1" si="597"/>
        <v>2011547.1017938922</v>
      </c>
      <c r="AH64" s="15">
        <f t="shared" ca="1" si="597"/>
        <v>1551016.427467457</v>
      </c>
      <c r="AI64" s="15">
        <f t="shared" ca="1" si="597"/>
        <v>1140485.7531410218</v>
      </c>
      <c r="AJ64" s="15">
        <f t="shared" ca="1" si="597"/>
        <v>805474.65465447376</v>
      </c>
      <c r="AK64" s="15">
        <f t="shared" ca="1" si="597"/>
        <v>521158.72359047207</v>
      </c>
      <c r="AL64" s="15">
        <f t="shared" ca="1" si="597"/>
        <v>313412.34334412555</v>
      </c>
      <c r="AM64" s="15">
        <f t="shared" ca="1" si="597"/>
        <v>157065.96309777902</v>
      </c>
      <c r="AN64" s="15">
        <f t="shared" ca="1" si="597"/>
        <v>52475.665493701788</v>
      </c>
      <c r="AO64" s="15">
        <f t="shared" ca="1" si="597"/>
        <v>2.1245796233415604E-9</v>
      </c>
      <c r="AP64" s="15">
        <f t="shared" ca="1" si="597"/>
        <v>2.1245796233415604E-9</v>
      </c>
      <c r="AQ64" s="15">
        <f t="shared" ca="1" si="597"/>
        <v>2.1245796233415604E-9</v>
      </c>
      <c r="AR64" s="15">
        <f t="shared" ca="1" si="597"/>
        <v>2.1245796233415604E-9</v>
      </c>
      <c r="AS64" s="15">
        <f t="shared" ca="1" si="597"/>
        <v>2.1245796233415604E-9</v>
      </c>
      <c r="AT64" s="15">
        <f t="shared" ca="1" si="597"/>
        <v>2.1245796233415604E-9</v>
      </c>
      <c r="AU64" s="15">
        <f t="shared" ca="1" si="597"/>
        <v>2.1245796233415604E-9</v>
      </c>
      <c r="AV64" s="15">
        <f t="shared" ca="1" si="597"/>
        <v>2.1245796233415604E-9</v>
      </c>
      <c r="AW64" s="15">
        <f t="shared" ca="1" si="597"/>
        <v>2.1245796233415604E-9</v>
      </c>
      <c r="AX64" s="15">
        <f t="shared" ca="1" si="597"/>
        <v>2.1245796233415604E-9</v>
      </c>
      <c r="AY64" s="15">
        <f t="shared" ca="1" si="597"/>
        <v>2.1245796233415604E-9</v>
      </c>
      <c r="AZ64" s="15">
        <f t="shared" ca="1" si="597"/>
        <v>2.1245796233415604E-9</v>
      </c>
      <c r="BA64" s="15">
        <f t="shared" ca="1" si="597"/>
        <v>2.1245796233415604E-9</v>
      </c>
      <c r="BB64" s="15">
        <f t="shared" ca="1" si="597"/>
        <v>2.1245796233415604E-9</v>
      </c>
      <c r="BC64" s="15">
        <f t="shared" ca="1" si="597"/>
        <v>2.1245796233415604E-9</v>
      </c>
      <c r="BD64" s="15">
        <f t="shared" ca="1" si="597"/>
        <v>2.1245796233415604E-9</v>
      </c>
      <c r="BE64" s="15">
        <f t="shared" ca="1" si="597"/>
        <v>2.1245796233415604E-9</v>
      </c>
      <c r="BF64" s="15">
        <f t="shared" ca="1" si="597"/>
        <v>2.1245796233415604E-9</v>
      </c>
      <c r="BG64" s="15">
        <f t="shared" ca="1" si="597"/>
        <v>2.1245796233415604E-9</v>
      </c>
      <c r="BH64" s="15">
        <f t="shared" ca="1" si="597"/>
        <v>2.1245796233415604E-9</v>
      </c>
      <c r="BI64" s="15">
        <f t="shared" ca="1" si="597"/>
        <v>2.1245796233415604E-9</v>
      </c>
      <c r="BJ64" s="15">
        <f t="shared" ca="1" si="597"/>
        <v>2.1245796233415604E-9</v>
      </c>
      <c r="BK64" s="15">
        <f t="shared" ca="1" si="597"/>
        <v>2.1245796233415604E-9</v>
      </c>
      <c r="BL64" s="15">
        <f t="shared" ca="1" si="597"/>
        <v>2.1245796233415604E-9</v>
      </c>
      <c r="BM64" s="15">
        <f t="shared" ca="1" si="597"/>
        <v>2.1245796233415604E-9</v>
      </c>
      <c r="BN64" s="15">
        <f t="shared" ca="1" si="597"/>
        <v>2.1245796233415604E-9</v>
      </c>
      <c r="BO64" s="15">
        <f t="shared" ca="1" si="597"/>
        <v>2.1245796233415604E-9</v>
      </c>
      <c r="BP64" s="15">
        <f t="shared" ca="1" si="597"/>
        <v>2.1245796233415604E-9</v>
      </c>
      <c r="BQ64" s="15">
        <f t="shared" ca="1" si="597"/>
        <v>2.1245796233415604E-9</v>
      </c>
      <c r="BR64" s="15">
        <f t="shared" ca="1" si="597"/>
        <v>2.1245796233415604E-9</v>
      </c>
      <c r="BS64" s="15">
        <f t="shared" ca="1" si="597"/>
        <v>2.1245796233415604E-9</v>
      </c>
      <c r="BT64" s="15">
        <f t="shared" ca="1" si="597"/>
        <v>2.1245796233415604E-9</v>
      </c>
      <c r="BU64" s="15">
        <f t="shared" ca="1" si="597"/>
        <v>2.1245796233415604E-9</v>
      </c>
      <c r="BV64" s="15">
        <f t="shared" ca="1" si="597"/>
        <v>2.1245796233415604E-9</v>
      </c>
      <c r="BW64" s="15">
        <f t="shared" ca="1" si="597"/>
        <v>2.1245796233415604E-9</v>
      </c>
      <c r="BX64" s="15">
        <f t="shared" ca="1" si="597"/>
        <v>2.1245796233415604E-9</v>
      </c>
      <c r="BY64" s="15">
        <f t="shared" ref="BY64:CN64" ca="1" si="598">BX67</f>
        <v>2.1245796233415604E-9</v>
      </c>
      <c r="BZ64" s="15">
        <f t="shared" ca="1" si="598"/>
        <v>2.1245796233415604E-9</v>
      </c>
      <c r="CA64" s="15">
        <f t="shared" ca="1" si="598"/>
        <v>2.1245796233415604E-9</v>
      </c>
      <c r="CB64" s="15">
        <f t="shared" ca="1" si="598"/>
        <v>2.1245796233415604E-9</v>
      </c>
      <c r="CC64" s="15">
        <f t="shared" ca="1" si="598"/>
        <v>2.1245796233415604E-9</v>
      </c>
      <c r="CD64" s="15">
        <f t="shared" ca="1" si="598"/>
        <v>2.1245796233415604E-9</v>
      </c>
      <c r="CE64" s="15">
        <f t="shared" ca="1" si="598"/>
        <v>2.1245796233415604E-9</v>
      </c>
      <c r="CF64" s="15">
        <f t="shared" ca="1" si="598"/>
        <v>2.1245796233415604E-9</v>
      </c>
      <c r="CG64" s="15">
        <f t="shared" ca="1" si="598"/>
        <v>2.1245796233415604E-9</v>
      </c>
      <c r="CH64" s="15">
        <f t="shared" ca="1" si="598"/>
        <v>2.1245796233415604E-9</v>
      </c>
      <c r="CI64" s="15">
        <f t="shared" ca="1" si="598"/>
        <v>2.1245796233415604E-9</v>
      </c>
      <c r="CJ64" s="15">
        <f t="shared" ca="1" si="598"/>
        <v>2.1245796233415604E-9</v>
      </c>
      <c r="CK64" s="15">
        <f t="shared" ca="1" si="598"/>
        <v>2.1245796233415604E-9</v>
      </c>
      <c r="CL64" s="15">
        <f t="shared" ca="1" si="598"/>
        <v>2.1245796233415604E-9</v>
      </c>
      <c r="CM64" s="15">
        <f t="shared" ca="1" si="598"/>
        <v>2.1245796233415604E-9</v>
      </c>
      <c r="CN64" s="15">
        <f t="shared" ca="1" si="598"/>
        <v>2.1245796233415604E-9</v>
      </c>
    </row>
    <row r="65" spans="1:92" ht="12.75" customHeight="1" x14ac:dyDescent="0.3">
      <c r="D65" s="15" t="s">
        <v>182</v>
      </c>
      <c r="H65" s="16" t="s">
        <v>1</v>
      </c>
      <c r="J65" s="58">
        <f>SUM(L65:CN65)</f>
        <v>9210613.4865287021</v>
      </c>
      <c r="L65" s="81">
        <v>0</v>
      </c>
      <c r="M65" s="78">
        <f t="shared" ref="M65:BX65" si="599">INDEX(M$19:M$23,$C63)</f>
        <v>1000000</v>
      </c>
      <c r="N65" s="78">
        <f t="shared" si="599"/>
        <v>1510391.5167977419</v>
      </c>
      <c r="O65" s="78">
        <f t="shared" si="599"/>
        <v>1013903.3484509259</v>
      </c>
      <c r="P65" s="78">
        <f t="shared" si="599"/>
        <v>1531391.0163531036</v>
      </c>
      <c r="Q65" s="78">
        <f t="shared" si="599"/>
        <v>1027999.9999999998</v>
      </c>
      <c r="R65" s="78">
        <f t="shared" si="599"/>
        <v>1035121.6528453855</v>
      </c>
      <c r="S65" s="78">
        <f t="shared" si="599"/>
        <v>1042292.6422075516</v>
      </c>
      <c r="T65" s="78">
        <f t="shared" si="599"/>
        <v>1049513.3098739933</v>
      </c>
      <c r="U65" s="78">
        <f t="shared" si="599"/>
        <v>0</v>
      </c>
      <c r="V65" s="78">
        <f t="shared" si="599"/>
        <v>0</v>
      </c>
      <c r="W65" s="78">
        <f t="shared" si="599"/>
        <v>0</v>
      </c>
      <c r="X65" s="78">
        <f t="shared" si="599"/>
        <v>0</v>
      </c>
      <c r="Y65" s="78">
        <f t="shared" si="599"/>
        <v>0</v>
      </c>
      <c r="Z65" s="78">
        <f t="shared" si="599"/>
        <v>0</v>
      </c>
      <c r="AA65" s="78">
        <f t="shared" si="599"/>
        <v>0</v>
      </c>
      <c r="AB65" s="78">
        <f t="shared" si="599"/>
        <v>0</v>
      </c>
      <c r="AC65" s="78">
        <f t="shared" si="599"/>
        <v>0</v>
      </c>
      <c r="AD65" s="78">
        <f t="shared" si="599"/>
        <v>0</v>
      </c>
      <c r="AE65" s="78">
        <f t="shared" si="599"/>
        <v>0</v>
      </c>
      <c r="AF65" s="78">
        <f t="shared" si="599"/>
        <v>0</v>
      </c>
      <c r="AG65" s="78">
        <f t="shared" si="599"/>
        <v>0</v>
      </c>
      <c r="AH65" s="78">
        <f t="shared" si="599"/>
        <v>0</v>
      </c>
      <c r="AI65" s="78">
        <f t="shared" si="599"/>
        <v>0</v>
      </c>
      <c r="AJ65" s="78">
        <f t="shared" si="599"/>
        <v>0</v>
      </c>
      <c r="AK65" s="78">
        <f t="shared" si="599"/>
        <v>0</v>
      </c>
      <c r="AL65" s="78">
        <f t="shared" si="599"/>
        <v>0</v>
      </c>
      <c r="AM65" s="78">
        <f t="shared" si="599"/>
        <v>0</v>
      </c>
      <c r="AN65" s="78">
        <f t="shared" si="599"/>
        <v>0</v>
      </c>
      <c r="AO65" s="78">
        <f t="shared" si="599"/>
        <v>0</v>
      </c>
      <c r="AP65" s="78">
        <f t="shared" si="599"/>
        <v>0</v>
      </c>
      <c r="AQ65" s="78">
        <f t="shared" si="599"/>
        <v>0</v>
      </c>
      <c r="AR65" s="78">
        <f t="shared" si="599"/>
        <v>0</v>
      </c>
      <c r="AS65" s="78">
        <f t="shared" si="599"/>
        <v>0</v>
      </c>
      <c r="AT65" s="78">
        <f t="shared" si="599"/>
        <v>0</v>
      </c>
      <c r="AU65" s="78">
        <f t="shared" si="599"/>
        <v>0</v>
      </c>
      <c r="AV65" s="78">
        <f t="shared" si="599"/>
        <v>0</v>
      </c>
      <c r="AW65" s="78">
        <f t="shared" si="599"/>
        <v>0</v>
      </c>
      <c r="AX65" s="78">
        <f t="shared" si="599"/>
        <v>0</v>
      </c>
      <c r="AY65" s="78">
        <f t="shared" si="599"/>
        <v>0</v>
      </c>
      <c r="AZ65" s="78">
        <f t="shared" si="599"/>
        <v>0</v>
      </c>
      <c r="BA65" s="78">
        <f t="shared" si="599"/>
        <v>0</v>
      </c>
      <c r="BB65" s="78">
        <f t="shared" si="599"/>
        <v>0</v>
      </c>
      <c r="BC65" s="78">
        <f t="shared" si="599"/>
        <v>0</v>
      </c>
      <c r="BD65" s="78">
        <f t="shared" si="599"/>
        <v>0</v>
      </c>
      <c r="BE65" s="78">
        <f t="shared" si="599"/>
        <v>0</v>
      </c>
      <c r="BF65" s="78">
        <f t="shared" si="599"/>
        <v>0</v>
      </c>
      <c r="BG65" s="78">
        <f t="shared" si="599"/>
        <v>0</v>
      </c>
      <c r="BH65" s="78">
        <f t="shared" si="599"/>
        <v>0</v>
      </c>
      <c r="BI65" s="78">
        <f t="shared" si="599"/>
        <v>0</v>
      </c>
      <c r="BJ65" s="78">
        <f t="shared" si="599"/>
        <v>0</v>
      </c>
      <c r="BK65" s="78">
        <f t="shared" si="599"/>
        <v>0</v>
      </c>
      <c r="BL65" s="78">
        <f t="shared" si="599"/>
        <v>0</v>
      </c>
      <c r="BM65" s="78">
        <f t="shared" si="599"/>
        <v>0</v>
      </c>
      <c r="BN65" s="78">
        <f t="shared" si="599"/>
        <v>0</v>
      </c>
      <c r="BO65" s="78">
        <f t="shared" si="599"/>
        <v>0</v>
      </c>
      <c r="BP65" s="78">
        <f t="shared" si="599"/>
        <v>0</v>
      </c>
      <c r="BQ65" s="78">
        <f t="shared" si="599"/>
        <v>0</v>
      </c>
      <c r="BR65" s="78">
        <f t="shared" si="599"/>
        <v>0</v>
      </c>
      <c r="BS65" s="78">
        <f t="shared" si="599"/>
        <v>0</v>
      </c>
      <c r="BT65" s="78">
        <f t="shared" si="599"/>
        <v>0</v>
      </c>
      <c r="BU65" s="78">
        <f t="shared" si="599"/>
        <v>0</v>
      </c>
      <c r="BV65" s="78">
        <f t="shared" si="599"/>
        <v>0</v>
      </c>
      <c r="BW65" s="78">
        <f t="shared" si="599"/>
        <v>0</v>
      </c>
      <c r="BX65" s="78">
        <f t="shared" si="599"/>
        <v>0</v>
      </c>
      <c r="BY65" s="78">
        <f t="shared" ref="BY65:CN65" si="600">INDEX(BY$19:BY$23,$C63)</f>
        <v>0</v>
      </c>
      <c r="BZ65" s="78">
        <f t="shared" si="600"/>
        <v>0</v>
      </c>
      <c r="CA65" s="78">
        <f t="shared" si="600"/>
        <v>0</v>
      </c>
      <c r="CB65" s="78">
        <f t="shared" si="600"/>
        <v>0</v>
      </c>
      <c r="CC65" s="78">
        <f t="shared" si="600"/>
        <v>0</v>
      </c>
      <c r="CD65" s="78">
        <f t="shared" si="600"/>
        <v>0</v>
      </c>
      <c r="CE65" s="78">
        <f t="shared" si="600"/>
        <v>0</v>
      </c>
      <c r="CF65" s="78">
        <f t="shared" si="600"/>
        <v>0</v>
      </c>
      <c r="CG65" s="78">
        <f t="shared" si="600"/>
        <v>0</v>
      </c>
      <c r="CH65" s="78">
        <f t="shared" si="600"/>
        <v>0</v>
      </c>
      <c r="CI65" s="78">
        <f t="shared" si="600"/>
        <v>0</v>
      </c>
      <c r="CJ65" s="78">
        <f t="shared" si="600"/>
        <v>0</v>
      </c>
      <c r="CK65" s="78">
        <f t="shared" si="600"/>
        <v>0</v>
      </c>
      <c r="CL65" s="78">
        <f t="shared" si="600"/>
        <v>0</v>
      </c>
      <c r="CM65" s="78">
        <f t="shared" si="600"/>
        <v>0</v>
      </c>
      <c r="CN65" s="78">
        <f t="shared" si="600"/>
        <v>0</v>
      </c>
    </row>
    <row r="66" spans="1:92" ht="12.75" customHeight="1" x14ac:dyDescent="0.3">
      <c r="D66" s="15" t="s">
        <v>183</v>
      </c>
      <c r="E66" s="1">
        <f>INDEX(Ass!L$107:L$111,$C63)</f>
        <v>5</v>
      </c>
      <c r="F66" s="1" t="str">
        <f>INDEX(Ass!M$107:M$111,$C63)</f>
        <v>SL</v>
      </c>
      <c r="H66" s="16" t="s">
        <v>1</v>
      </c>
      <c r="J66" s="58">
        <f ca="1">SUM(L66:CN66)</f>
        <v>-9210613.4865287002</v>
      </c>
      <c r="L66" s="82">
        <v>0</v>
      </c>
      <c r="M66" s="15">
        <f t="shared" ref="M66" ca="1" si="601">-IF(M$12=1,SUM(M64:M65),IF($F66="SL",SUM(OFFSET(L65,,,,-MIN(L$14,$E66*4)))*1/($E66*4),2*1/($E66*4)*M64))</f>
        <v>0</v>
      </c>
      <c r="N66" s="15">
        <f t="shared" ref="N66" ca="1" si="602">-IF(N$12=1,SUM(N64:N65),IF($F66="SL",SUM(OFFSET(M65,,,,-MIN(M$14,$E66*4)))*1/($E66*4),2*1/($E66*4)*N64))</f>
        <v>-50000</v>
      </c>
      <c r="O66" s="15">
        <f t="shared" ref="O66" ca="1" si="603">-IF(O$12=1,SUM(O64:O65),IF($F66="SL",SUM(OFFSET(N65,,,,-MIN(N$14,$E66*4)))*1/($E66*4),2*1/($E66*4)*O64))</f>
        <v>-125519.5758398871</v>
      </c>
      <c r="P66" s="15">
        <f t="shared" ref="P66" ca="1" si="604">-IF(P$12=1,SUM(P64:P65),IF($F66="SL",SUM(OFFSET(O65,,,,-MIN(O$14,$E66*4)))*1/($E66*4),2*1/($E66*4)*P64))</f>
        <v>-176214.74326243339</v>
      </c>
      <c r="Q66" s="15">
        <f t="shared" ref="Q66" ca="1" si="605">-IF(Q$12=1,SUM(Q64:Q65),IF($F66="SL",SUM(OFFSET(P65,,,,-MIN(P$14,$E66*4)))*1/($E66*4),2*1/($E66*4)*Q64))</f>
        <v>-252784.29408008856</v>
      </c>
      <c r="R66" s="15">
        <f t="shared" ref="R66" ca="1" si="606">-IF(R$12=1,SUM(R64:R65),IF($F66="SL",SUM(OFFSET(Q65,,,,-MIN(Q$14,$E66*4)))*1/($E66*4),2*1/($E66*4)*R64))</f>
        <v>-304184.29408008856</v>
      </c>
      <c r="S66" s="15">
        <f t="shared" ref="S66" ca="1" si="607">-IF(S$12=1,SUM(S64:S65),IF($F66="SL",SUM(OFFSET(R65,,,,-MIN(R$14,$E66*4)))*1/($E66*4),2*1/($E66*4)*S64))</f>
        <v>-355940.37672235782</v>
      </c>
      <c r="T66" s="15">
        <f t="shared" ref="T66" ca="1" si="608">-IF(T$12=1,SUM(T64:T65),IF($F66="SL",SUM(OFFSET(S65,,,,-MIN(S$14,$E66*4)))*1/($E66*4),2*1/($E66*4)*T64))</f>
        <v>-408055.00883273542</v>
      </c>
      <c r="U66" s="15">
        <f t="shared" ref="U66" ca="1" si="609">-IF(U$12=1,SUM(U64:U65),IF($F66="SL",SUM(OFFSET(T65,,,,-MIN(T$14,$E66*4)))*1/($E66*4),2*1/($E66*4)*U64))</f>
        <v>-460530.67432643508</v>
      </c>
      <c r="V66" s="15">
        <f t="shared" ref="V66" ca="1" si="610">-IF(V$12=1,SUM(V64:V65),IF($F66="SL",SUM(OFFSET(U65,,,,-MIN(U$14,$E66*4)))*1/($E66*4),2*1/($E66*4)*V64))</f>
        <v>-460530.67432643508</v>
      </c>
      <c r="W66" s="15">
        <f t="shared" ref="W66" ca="1" si="611">-IF(W$12=1,SUM(W64:W65),IF($F66="SL",SUM(OFFSET(V65,,,,-MIN(V$14,$E66*4)))*1/($E66*4),2*1/($E66*4)*W64))</f>
        <v>-460530.67432643508</v>
      </c>
      <c r="X66" s="15">
        <f t="shared" ref="X66" ca="1" si="612">-IF(X$12=1,SUM(X64:X65),IF($F66="SL",SUM(OFFSET(W65,,,,-MIN(W$14,$E66*4)))*1/($E66*4),2*1/($E66*4)*X64))</f>
        <v>-460530.67432643508</v>
      </c>
      <c r="Y66" s="15">
        <f t="shared" ref="Y66" ca="1" si="613">-IF(Y$12=1,SUM(Y64:Y65),IF($F66="SL",SUM(OFFSET(X65,,,,-MIN(X$14,$E66*4)))*1/($E66*4),2*1/($E66*4)*Y64))</f>
        <v>-460530.67432643508</v>
      </c>
      <c r="Z66" s="15">
        <f t="shared" ref="Z66" ca="1" si="614">-IF(Z$12=1,SUM(Z64:Z65),IF($F66="SL",SUM(OFFSET(Y65,,,,-MIN(Y$14,$E66*4)))*1/($E66*4),2*1/($E66*4)*Z64))</f>
        <v>-460530.67432643508</v>
      </c>
      <c r="AA66" s="15">
        <f t="shared" ref="AA66" ca="1" si="615">-IF(AA$12=1,SUM(AA64:AA65),IF($F66="SL",SUM(OFFSET(Z65,,,,-MIN(Z$14,$E66*4)))*1/($E66*4),2*1/($E66*4)*AA64))</f>
        <v>-460530.67432643508</v>
      </c>
      <c r="AB66" s="15">
        <f t="shared" ref="AB66" ca="1" si="616">-IF(AB$12=1,SUM(AB64:AB65),IF($F66="SL",SUM(OFFSET(AA65,,,,-MIN(AA$14,$E66*4)))*1/($E66*4),2*1/($E66*4)*AB64))</f>
        <v>-460530.67432643508</v>
      </c>
      <c r="AC66" s="15">
        <f t="shared" ref="AC66" ca="1" si="617">-IF(AC$12=1,SUM(AC64:AC65),IF($F66="SL",SUM(OFFSET(AB65,,,,-MIN(AB$14,$E66*4)))*1/($E66*4),2*1/($E66*4)*AC64))</f>
        <v>-460530.67432643508</v>
      </c>
      <c r="AD66" s="15">
        <f t="shared" ref="AD66" ca="1" si="618">-IF(AD$12=1,SUM(AD64:AD65),IF($F66="SL",SUM(OFFSET(AC65,,,,-MIN(AC$14,$E66*4)))*1/($E66*4),2*1/($E66*4)*AD64))</f>
        <v>-460530.67432643508</v>
      </c>
      <c r="AE66" s="15">
        <f t="shared" ref="AE66" ca="1" si="619">-IF(AE$12=1,SUM(AE64:AE65),IF($F66="SL",SUM(OFFSET(AD65,,,,-MIN(AD$14,$E66*4)))*1/($E66*4),2*1/($E66*4)*AE64))</f>
        <v>-460530.67432643508</v>
      </c>
      <c r="AF66" s="15">
        <f t="shared" ref="AF66" ca="1" si="620">-IF(AF$12=1,SUM(AF64:AF65),IF($F66="SL",SUM(OFFSET(AE65,,,,-MIN(AE$14,$E66*4)))*1/($E66*4),2*1/($E66*4)*AF64))</f>
        <v>-460530.67432643508</v>
      </c>
      <c r="AG66" s="15">
        <f t="shared" ref="AG66" ca="1" si="621">-IF(AG$12=1,SUM(AG64:AG65),IF($F66="SL",SUM(OFFSET(AF65,,,,-MIN(AF$14,$E66*4)))*1/($E66*4),2*1/($E66*4)*AG64))</f>
        <v>-460530.67432643508</v>
      </c>
      <c r="AH66" s="15">
        <f t="shared" ref="AH66" ca="1" si="622">-IF(AH$12=1,SUM(AH64:AH65),IF($F66="SL",SUM(OFFSET(AG65,,,,-MIN(AG$14,$E66*4)))*1/($E66*4),2*1/($E66*4)*AH64))</f>
        <v>-410530.67432643508</v>
      </c>
      <c r="AI66" s="15">
        <f t="shared" ref="AI66" ca="1" si="623">-IF(AI$12=1,SUM(AI64:AI65),IF($F66="SL",SUM(OFFSET(AH65,,,,-MIN(AH$14,$E66*4)))*1/($E66*4),2*1/($E66*4)*AI64))</f>
        <v>-335011.098486548</v>
      </c>
      <c r="AJ66" s="15">
        <f t="shared" ref="AJ66" ca="1" si="624">-IF(AJ$12=1,SUM(AJ64:AJ65),IF($F66="SL",SUM(OFFSET(AI65,,,,-MIN(AI$14,$E66*4)))*1/($E66*4),2*1/($E66*4)*AJ64))</f>
        <v>-284315.93106400169</v>
      </c>
      <c r="AK66" s="15">
        <f t="shared" ref="AK66" ca="1" si="625">-IF(AK$12=1,SUM(AK64:AK65),IF($F66="SL",SUM(OFFSET(AJ65,,,,-MIN(AJ$14,$E66*4)))*1/($E66*4),2*1/($E66*4)*AK64))</f>
        <v>-207746.3802463465</v>
      </c>
      <c r="AL66" s="15">
        <f t="shared" ref="AL66" ca="1" si="626">-IF(AL$12=1,SUM(AL64:AL65),IF($F66="SL",SUM(OFFSET(AK65,,,,-MIN(AK$14,$E66*4)))*1/($E66*4),2*1/($E66*4)*AL64))</f>
        <v>-156346.38024634653</v>
      </c>
      <c r="AM66" s="15">
        <f t="shared" ref="AM66" ca="1" si="627">-IF(AM$12=1,SUM(AM64:AM65),IF($F66="SL",SUM(OFFSET(AL65,,,,-MIN(AL$14,$E66*4)))*1/($E66*4),2*1/($E66*4)*AM64))</f>
        <v>-104590.29760407723</v>
      </c>
      <c r="AN66" s="15">
        <f t="shared" ref="AN66" ca="1" si="628">-IF(AN$12=1,SUM(AN64:AN65),IF($F66="SL",SUM(OFFSET(AM65,,,,-MIN(AM$14,$E66*4)))*1/($E66*4),2*1/($E66*4)*AN64))</f>
        <v>-52475.665493699664</v>
      </c>
      <c r="AO66" s="15">
        <f t="shared" ref="AO66" ca="1" si="629">-IF(AO$12=1,SUM(AO64:AO65),IF($F66="SL",SUM(OFFSET(AN65,,,,-MIN(AN$14,$E66*4)))*1/($E66*4),2*1/($E66*4)*AO64))</f>
        <v>0</v>
      </c>
      <c r="AP66" s="15">
        <f t="shared" ref="AP66" ca="1" si="630">-IF(AP$12=1,SUM(AP64:AP65),IF($F66="SL",SUM(OFFSET(AO65,,,,-MIN(AO$14,$E66*4)))*1/($E66*4),2*1/($E66*4)*AP64))</f>
        <v>0</v>
      </c>
      <c r="AQ66" s="15">
        <f t="shared" ref="AQ66" ca="1" si="631">-IF(AQ$12=1,SUM(AQ64:AQ65),IF($F66="SL",SUM(OFFSET(AP65,,,,-MIN(AP$14,$E66*4)))*1/($E66*4),2*1/($E66*4)*AQ64))</f>
        <v>0</v>
      </c>
      <c r="AR66" s="15">
        <f t="shared" ref="AR66" ca="1" si="632">-IF(AR$12=1,SUM(AR64:AR65),IF($F66="SL",SUM(OFFSET(AQ65,,,,-MIN(AQ$14,$E66*4)))*1/($E66*4),2*1/($E66*4)*AR64))</f>
        <v>0</v>
      </c>
      <c r="AS66" s="15">
        <f t="shared" ref="AS66" ca="1" si="633">-IF(AS$12=1,SUM(AS64:AS65),IF($F66="SL",SUM(OFFSET(AR65,,,,-MIN(AR$14,$E66*4)))*1/($E66*4),2*1/($E66*4)*AS64))</f>
        <v>0</v>
      </c>
      <c r="AT66" s="15">
        <f t="shared" ref="AT66" ca="1" si="634">-IF(AT$12=1,SUM(AT64:AT65),IF($F66="SL",SUM(OFFSET(AS65,,,,-MIN(AS$14,$E66*4)))*1/($E66*4),2*1/($E66*4)*AT64))</f>
        <v>0</v>
      </c>
      <c r="AU66" s="15">
        <f t="shared" ref="AU66" ca="1" si="635">-IF(AU$12=1,SUM(AU64:AU65),IF($F66="SL",SUM(OFFSET(AT65,,,,-MIN(AT$14,$E66*4)))*1/($E66*4),2*1/($E66*4)*AU64))</f>
        <v>0</v>
      </c>
      <c r="AV66" s="15">
        <f t="shared" ref="AV66" ca="1" si="636">-IF(AV$12=1,SUM(AV64:AV65),IF($F66="SL",SUM(OFFSET(AU65,,,,-MIN(AU$14,$E66*4)))*1/($E66*4),2*1/($E66*4)*AV64))</f>
        <v>0</v>
      </c>
      <c r="AW66" s="15">
        <f t="shared" ref="AW66" ca="1" si="637">-IF(AW$12=1,SUM(AW64:AW65),IF($F66="SL",SUM(OFFSET(AV65,,,,-MIN(AV$14,$E66*4)))*1/($E66*4),2*1/($E66*4)*AW64))</f>
        <v>0</v>
      </c>
      <c r="AX66" s="15">
        <f t="shared" ref="AX66" ca="1" si="638">-IF(AX$12=1,SUM(AX64:AX65),IF($F66="SL",SUM(OFFSET(AW65,,,,-MIN(AW$14,$E66*4)))*1/($E66*4),2*1/($E66*4)*AX64))</f>
        <v>0</v>
      </c>
      <c r="AY66" s="15">
        <f t="shared" ref="AY66" ca="1" si="639">-IF(AY$12=1,SUM(AY64:AY65),IF($F66="SL",SUM(OFFSET(AX65,,,,-MIN(AX$14,$E66*4)))*1/($E66*4),2*1/($E66*4)*AY64))</f>
        <v>0</v>
      </c>
      <c r="AZ66" s="15">
        <f t="shared" ref="AZ66" ca="1" si="640">-IF(AZ$12=1,SUM(AZ64:AZ65),IF($F66="SL",SUM(OFFSET(AY65,,,,-MIN(AY$14,$E66*4)))*1/($E66*4),2*1/($E66*4)*AZ64))</f>
        <v>0</v>
      </c>
      <c r="BA66" s="15">
        <f t="shared" ref="BA66" ca="1" si="641">-IF(BA$12=1,SUM(BA64:BA65),IF($F66="SL",SUM(OFFSET(AZ65,,,,-MIN(AZ$14,$E66*4)))*1/($E66*4),2*1/($E66*4)*BA64))</f>
        <v>0</v>
      </c>
      <c r="BB66" s="15">
        <f t="shared" ref="BB66" ca="1" si="642">-IF(BB$12=1,SUM(BB64:BB65),IF($F66="SL",SUM(OFFSET(BA65,,,,-MIN(BA$14,$E66*4)))*1/($E66*4),2*1/($E66*4)*BB64))</f>
        <v>0</v>
      </c>
      <c r="BC66" s="15">
        <f t="shared" ref="BC66" ca="1" si="643">-IF(BC$12=1,SUM(BC64:BC65),IF($F66="SL",SUM(OFFSET(BB65,,,,-MIN(BB$14,$E66*4)))*1/($E66*4),2*1/($E66*4)*BC64))</f>
        <v>0</v>
      </c>
      <c r="BD66" s="15">
        <f t="shared" ref="BD66" ca="1" si="644">-IF(BD$12=1,SUM(BD64:BD65),IF($F66="SL",SUM(OFFSET(BC65,,,,-MIN(BC$14,$E66*4)))*1/($E66*4),2*1/($E66*4)*BD64))</f>
        <v>0</v>
      </c>
      <c r="BE66" s="15">
        <f t="shared" ref="BE66" ca="1" si="645">-IF(BE$12=1,SUM(BE64:BE65),IF($F66="SL",SUM(OFFSET(BD65,,,,-MIN(BD$14,$E66*4)))*1/($E66*4),2*1/($E66*4)*BE64))</f>
        <v>0</v>
      </c>
      <c r="BF66" s="15">
        <f t="shared" ref="BF66" ca="1" si="646">-IF(BF$12=1,SUM(BF64:BF65),IF($F66="SL",SUM(OFFSET(BE65,,,,-MIN(BE$14,$E66*4)))*1/($E66*4),2*1/($E66*4)*BF64))</f>
        <v>0</v>
      </c>
      <c r="BG66" s="15">
        <f t="shared" ref="BG66" ca="1" si="647">-IF(BG$12=1,SUM(BG64:BG65),IF($F66="SL",SUM(OFFSET(BF65,,,,-MIN(BF$14,$E66*4)))*1/($E66*4),2*1/($E66*4)*BG64))</f>
        <v>0</v>
      </c>
      <c r="BH66" s="15">
        <f t="shared" ref="BH66" ca="1" si="648">-IF(BH$12=1,SUM(BH64:BH65),IF($F66="SL",SUM(OFFSET(BG65,,,,-MIN(BG$14,$E66*4)))*1/($E66*4),2*1/($E66*4)*BH64))</f>
        <v>0</v>
      </c>
      <c r="BI66" s="15">
        <f t="shared" ref="BI66" ca="1" si="649">-IF(BI$12=1,SUM(BI64:BI65),IF($F66="SL",SUM(OFFSET(BH65,,,,-MIN(BH$14,$E66*4)))*1/($E66*4),2*1/($E66*4)*BI64))</f>
        <v>0</v>
      </c>
      <c r="BJ66" s="15">
        <f t="shared" ref="BJ66" ca="1" si="650">-IF(BJ$12=1,SUM(BJ64:BJ65),IF($F66="SL",SUM(OFFSET(BI65,,,,-MIN(BI$14,$E66*4)))*1/($E66*4),2*1/($E66*4)*BJ64))</f>
        <v>0</v>
      </c>
      <c r="BK66" s="15">
        <f t="shared" ref="BK66" ca="1" si="651">-IF(BK$12=1,SUM(BK64:BK65),IF($F66="SL",SUM(OFFSET(BJ65,,,,-MIN(BJ$14,$E66*4)))*1/($E66*4),2*1/($E66*4)*BK64))</f>
        <v>0</v>
      </c>
      <c r="BL66" s="15">
        <f t="shared" ref="BL66" ca="1" si="652">-IF(BL$12=1,SUM(BL64:BL65),IF($F66="SL",SUM(OFFSET(BK65,,,,-MIN(BK$14,$E66*4)))*1/($E66*4),2*1/($E66*4)*BL64))</f>
        <v>0</v>
      </c>
      <c r="BM66" s="15">
        <f t="shared" ref="BM66" ca="1" si="653">-IF(BM$12=1,SUM(BM64:BM65),IF($F66="SL",SUM(OFFSET(BL65,,,,-MIN(BL$14,$E66*4)))*1/($E66*4),2*1/($E66*4)*BM64))</f>
        <v>0</v>
      </c>
      <c r="BN66" s="15">
        <f t="shared" ref="BN66" ca="1" si="654">-IF(BN$12=1,SUM(BN64:BN65),IF($F66="SL",SUM(OFFSET(BM65,,,,-MIN(BM$14,$E66*4)))*1/($E66*4),2*1/($E66*4)*BN64))</f>
        <v>0</v>
      </c>
      <c r="BO66" s="15">
        <f t="shared" ref="BO66" ca="1" si="655">-IF(BO$12=1,SUM(BO64:BO65),IF($F66="SL",SUM(OFFSET(BN65,,,,-MIN(BN$14,$E66*4)))*1/($E66*4),2*1/($E66*4)*BO64))</f>
        <v>0</v>
      </c>
      <c r="BP66" s="15">
        <f t="shared" ref="BP66" ca="1" si="656">-IF(BP$12=1,SUM(BP64:BP65),IF($F66="SL",SUM(OFFSET(BO65,,,,-MIN(BO$14,$E66*4)))*1/($E66*4),2*1/($E66*4)*BP64))</f>
        <v>0</v>
      </c>
      <c r="BQ66" s="15">
        <f t="shared" ref="BQ66" ca="1" si="657">-IF(BQ$12=1,SUM(BQ64:BQ65),IF($F66="SL",SUM(OFFSET(BP65,,,,-MIN(BP$14,$E66*4)))*1/($E66*4),2*1/($E66*4)*BQ64))</f>
        <v>0</v>
      </c>
      <c r="BR66" s="15">
        <f t="shared" ref="BR66" ca="1" si="658">-IF(BR$12=1,SUM(BR64:BR65),IF($F66="SL",SUM(OFFSET(BQ65,,,,-MIN(BQ$14,$E66*4)))*1/($E66*4),2*1/($E66*4)*BR64))</f>
        <v>0</v>
      </c>
      <c r="BS66" s="15">
        <f t="shared" ref="BS66" ca="1" si="659">-IF(BS$12=1,SUM(BS64:BS65),IF($F66="SL",SUM(OFFSET(BR65,,,,-MIN(BR$14,$E66*4)))*1/($E66*4),2*1/($E66*4)*BS64))</f>
        <v>0</v>
      </c>
      <c r="BT66" s="15">
        <f t="shared" ref="BT66" ca="1" si="660">-IF(BT$12=1,SUM(BT64:BT65),IF($F66="SL",SUM(OFFSET(BS65,,,,-MIN(BS$14,$E66*4)))*1/($E66*4),2*1/($E66*4)*BT64))</f>
        <v>0</v>
      </c>
      <c r="BU66" s="15">
        <f t="shared" ref="BU66" ca="1" si="661">-IF(BU$12=1,SUM(BU64:BU65),IF($F66="SL",SUM(OFFSET(BT65,,,,-MIN(BT$14,$E66*4)))*1/($E66*4),2*1/($E66*4)*BU64))</f>
        <v>0</v>
      </c>
      <c r="BV66" s="15">
        <f t="shared" ref="BV66" ca="1" si="662">-IF(BV$12=1,SUM(BV64:BV65),IF($F66="SL",SUM(OFFSET(BU65,,,,-MIN(BU$14,$E66*4)))*1/($E66*4),2*1/($E66*4)*BV64))</f>
        <v>0</v>
      </c>
      <c r="BW66" s="15">
        <f t="shared" ref="BW66" ca="1" si="663">-IF(BW$12=1,SUM(BW64:BW65),IF($F66="SL",SUM(OFFSET(BV65,,,,-MIN(BV$14,$E66*4)))*1/($E66*4),2*1/($E66*4)*BW64))</f>
        <v>0</v>
      </c>
      <c r="BX66" s="15">
        <f t="shared" ref="BX66" ca="1" si="664">-IF(BX$12=1,SUM(BX64:BX65),IF($F66="SL",SUM(OFFSET(BW65,,,,-MIN(BW$14,$E66*4)))*1/($E66*4),2*1/($E66*4)*BX64))</f>
        <v>0</v>
      </c>
      <c r="BY66" s="15">
        <f t="shared" ref="BY66" ca="1" si="665">-IF(BY$12=1,SUM(BY64:BY65),IF($F66="SL",SUM(OFFSET(BX65,,,,-MIN(BX$14,$E66*4)))*1/($E66*4),2*1/($E66*4)*BY64))</f>
        <v>0</v>
      </c>
      <c r="BZ66" s="15">
        <f t="shared" ref="BZ66" ca="1" si="666">-IF(BZ$12=1,SUM(BZ64:BZ65),IF($F66="SL",SUM(OFFSET(BY65,,,,-MIN(BY$14,$E66*4)))*1/($E66*4),2*1/($E66*4)*BZ64))</f>
        <v>0</v>
      </c>
      <c r="CA66" s="15">
        <f t="shared" ref="CA66" ca="1" si="667">-IF(CA$12=1,SUM(CA64:CA65),IF($F66="SL",SUM(OFFSET(BZ65,,,,-MIN(BZ$14,$E66*4)))*1/($E66*4),2*1/($E66*4)*CA64))</f>
        <v>0</v>
      </c>
      <c r="CB66" s="15">
        <f t="shared" ref="CB66" ca="1" si="668">-IF(CB$12=1,SUM(CB64:CB65),IF($F66="SL",SUM(OFFSET(CA65,,,,-MIN(CA$14,$E66*4)))*1/($E66*4),2*1/($E66*4)*CB64))</f>
        <v>0</v>
      </c>
      <c r="CC66" s="15">
        <f t="shared" ref="CC66" ca="1" si="669">-IF(CC$12=1,SUM(CC64:CC65),IF($F66="SL",SUM(OFFSET(CB65,,,,-MIN(CB$14,$E66*4)))*1/($E66*4),2*1/($E66*4)*CC64))</f>
        <v>0</v>
      </c>
      <c r="CD66" s="15">
        <f t="shared" ref="CD66" ca="1" si="670">-IF(CD$12=1,SUM(CD64:CD65),IF($F66="SL",SUM(OFFSET(CC65,,,,-MIN(CC$14,$E66*4)))*1/($E66*4),2*1/($E66*4)*CD64))</f>
        <v>0</v>
      </c>
      <c r="CE66" s="15">
        <f t="shared" ref="CE66" ca="1" si="671">-IF(CE$12=1,SUM(CE64:CE65),IF($F66="SL",SUM(OFFSET(CD65,,,,-MIN(CD$14,$E66*4)))*1/($E66*4),2*1/($E66*4)*CE64))</f>
        <v>0</v>
      </c>
      <c r="CF66" s="15">
        <f t="shared" ref="CF66" ca="1" si="672">-IF(CF$12=1,SUM(CF64:CF65),IF($F66="SL",SUM(OFFSET(CE65,,,,-MIN(CE$14,$E66*4)))*1/($E66*4),2*1/($E66*4)*CF64))</f>
        <v>0</v>
      </c>
      <c r="CG66" s="15">
        <f t="shared" ref="CG66" ca="1" si="673">-IF(CG$12=1,SUM(CG64:CG65),IF($F66="SL",SUM(OFFSET(CF65,,,,-MIN(CF$14,$E66*4)))*1/($E66*4),2*1/($E66*4)*CG64))</f>
        <v>0</v>
      </c>
      <c r="CH66" s="15">
        <f t="shared" ref="CH66" ca="1" si="674">-IF(CH$12=1,SUM(CH64:CH65),IF($F66="SL",SUM(OFFSET(CG65,,,,-MIN(CG$14,$E66*4)))*1/($E66*4),2*1/($E66*4)*CH64))</f>
        <v>0</v>
      </c>
      <c r="CI66" s="15">
        <f t="shared" ref="CI66" ca="1" si="675">-IF(CI$12=1,SUM(CI64:CI65),IF($F66="SL",SUM(OFFSET(CH65,,,,-MIN(CH$14,$E66*4)))*1/($E66*4),2*1/($E66*4)*CI64))</f>
        <v>0</v>
      </c>
      <c r="CJ66" s="15">
        <f t="shared" ref="CJ66" ca="1" si="676">-IF(CJ$12=1,SUM(CJ64:CJ65),IF($F66="SL",SUM(OFFSET(CI65,,,,-MIN(CI$14,$E66*4)))*1/($E66*4),2*1/($E66*4)*CJ64))</f>
        <v>0</v>
      </c>
      <c r="CK66" s="15">
        <f t="shared" ref="CK66" ca="1" si="677">-IF(CK$12=1,SUM(CK64:CK65),IF($F66="SL",SUM(OFFSET(CJ65,,,,-MIN(CJ$14,$E66*4)))*1/($E66*4),2*1/($E66*4)*CK64))</f>
        <v>0</v>
      </c>
      <c r="CL66" s="15">
        <f t="shared" ref="CL66" ca="1" si="678">-IF(CL$12=1,SUM(CL64:CL65),IF($F66="SL",SUM(OFFSET(CK65,,,,-MIN(CK$14,$E66*4)))*1/($E66*4),2*1/($E66*4)*CL64))</f>
        <v>0</v>
      </c>
      <c r="CM66" s="15">
        <f t="shared" ref="CM66" ca="1" si="679">-IF(CM$12=1,SUM(CM64:CM65),IF($F66="SL",SUM(OFFSET(CL65,,,,-MIN(CL$14,$E66*4)))*1/($E66*4),2*1/($E66*4)*CM64))</f>
        <v>0</v>
      </c>
      <c r="CN66" s="75">
        <f t="shared" ref="CN66" ca="1" si="680">-IF(CN$12=1,SUM(CN64:CN65),IF($F66="SL",SUM(OFFSET(CM65,,,,-MIN(CM$14,$E66*4)))*1/($E66*4),2*1/($E66*4)*CN64))</f>
        <v>-2.1245796233415604E-9</v>
      </c>
    </row>
    <row r="67" spans="1:92" ht="12.75" customHeight="1" x14ac:dyDescent="0.3">
      <c r="D67" s="50" t="s">
        <v>184</v>
      </c>
      <c r="H67" s="16" t="s">
        <v>1</v>
      </c>
      <c r="J67" s="50">
        <f t="shared" ref="J67" ca="1" si="681">SUM(J64:J66)</f>
        <v>0</v>
      </c>
      <c r="L67" s="83">
        <v>0</v>
      </c>
      <c r="M67" s="50">
        <f t="shared" ref="M67" ca="1" si="682">SUM(M64:M66)</f>
        <v>1000000</v>
      </c>
      <c r="N67" s="50">
        <f t="shared" ref="N67" ca="1" si="683">SUM(N64:N66)</f>
        <v>2460391.5167977419</v>
      </c>
      <c r="O67" s="50">
        <f t="shared" ref="O67" ca="1" si="684">SUM(O64:O66)</f>
        <v>3348775.2894087811</v>
      </c>
      <c r="P67" s="50">
        <f t="shared" ref="P67" ca="1" si="685">SUM(P64:P66)</f>
        <v>4703951.5624994515</v>
      </c>
      <c r="Q67" s="50">
        <f t="shared" ref="Q67" ca="1" si="686">SUM(Q64:Q66)</f>
        <v>5479167.2684193626</v>
      </c>
      <c r="R67" s="50">
        <f t="shared" ref="R67" ca="1" si="687">SUM(R64:R66)</f>
        <v>6210104.6271846592</v>
      </c>
      <c r="S67" s="50">
        <f t="shared" ref="S67" ca="1" si="688">SUM(S64:S66)</f>
        <v>6896456.8926698528</v>
      </c>
      <c r="T67" s="50">
        <f t="shared" ref="T67" ca="1" si="689">SUM(T64:T66)</f>
        <v>7537915.1937111113</v>
      </c>
      <c r="U67" s="50">
        <f t="shared" ref="U67" ca="1" si="690">SUM(U64:U66)</f>
        <v>7077384.5193846766</v>
      </c>
      <c r="V67" s="50">
        <f t="shared" ref="V67" ca="1" si="691">SUM(V64:V66)</f>
        <v>6616853.8450582419</v>
      </c>
      <c r="W67" s="50">
        <f t="shared" ref="W67" ca="1" si="692">SUM(W64:W66)</f>
        <v>6156323.1707318071</v>
      </c>
      <c r="X67" s="50">
        <f t="shared" ref="X67" ca="1" si="693">SUM(X64:X66)</f>
        <v>5695792.4964053724</v>
      </c>
      <c r="Y67" s="50">
        <f t="shared" ref="Y67" ca="1" si="694">SUM(Y64:Y66)</f>
        <v>5235261.8220789377</v>
      </c>
      <c r="Z67" s="50">
        <f t="shared" ref="Z67" ca="1" si="695">SUM(Z64:Z66)</f>
        <v>4774731.1477525029</v>
      </c>
      <c r="AA67" s="50">
        <f t="shared" ref="AA67" ca="1" si="696">SUM(AA64:AA66)</f>
        <v>4314200.4734260682</v>
      </c>
      <c r="AB67" s="50">
        <f t="shared" ref="AB67" ca="1" si="697">SUM(AB64:AB66)</f>
        <v>3853669.799099633</v>
      </c>
      <c r="AC67" s="50">
        <f t="shared" ref="AC67" ca="1" si="698">SUM(AC64:AC66)</f>
        <v>3393139.1247731978</v>
      </c>
      <c r="AD67" s="50">
        <f t="shared" ref="AD67" ca="1" si="699">SUM(AD64:AD66)</f>
        <v>2932608.4504467626</v>
      </c>
      <c r="AE67" s="50">
        <f t="shared" ref="AE67" ca="1" si="700">SUM(AE64:AE66)</f>
        <v>2472077.7761203274</v>
      </c>
      <c r="AF67" s="50">
        <f t="shared" ref="AF67" ca="1" si="701">SUM(AF64:AF66)</f>
        <v>2011547.1017938922</v>
      </c>
      <c r="AG67" s="50">
        <f t="shared" ref="AG67" ca="1" si="702">SUM(AG64:AG66)</f>
        <v>1551016.427467457</v>
      </c>
      <c r="AH67" s="50">
        <f t="shared" ref="AH67" ca="1" si="703">SUM(AH64:AH66)</f>
        <v>1140485.7531410218</v>
      </c>
      <c r="AI67" s="50">
        <f t="shared" ref="AI67" ca="1" si="704">SUM(AI64:AI66)</f>
        <v>805474.65465447376</v>
      </c>
      <c r="AJ67" s="50">
        <f t="shared" ref="AJ67" ca="1" si="705">SUM(AJ64:AJ66)</f>
        <v>521158.72359047207</v>
      </c>
      <c r="AK67" s="50">
        <f t="shared" ref="AK67" ca="1" si="706">SUM(AK64:AK66)</f>
        <v>313412.34334412555</v>
      </c>
      <c r="AL67" s="50">
        <f t="shared" ref="AL67" ca="1" si="707">SUM(AL64:AL66)</f>
        <v>157065.96309777902</v>
      </c>
      <c r="AM67" s="50">
        <f t="shared" ref="AM67" ca="1" si="708">SUM(AM64:AM66)</f>
        <v>52475.665493701788</v>
      </c>
      <c r="AN67" s="50">
        <f t="shared" ref="AN67" ca="1" si="709">SUM(AN64:AN66)</f>
        <v>2.1245796233415604E-9</v>
      </c>
      <c r="AO67" s="50">
        <f t="shared" ref="AO67" ca="1" si="710">SUM(AO64:AO66)</f>
        <v>2.1245796233415604E-9</v>
      </c>
      <c r="AP67" s="50">
        <f t="shared" ref="AP67" ca="1" si="711">SUM(AP64:AP66)</f>
        <v>2.1245796233415604E-9</v>
      </c>
      <c r="AQ67" s="50">
        <f t="shared" ref="AQ67" ca="1" si="712">SUM(AQ64:AQ66)</f>
        <v>2.1245796233415604E-9</v>
      </c>
      <c r="AR67" s="50">
        <f t="shared" ref="AR67" ca="1" si="713">SUM(AR64:AR66)</f>
        <v>2.1245796233415604E-9</v>
      </c>
      <c r="AS67" s="50">
        <f t="shared" ref="AS67" ca="1" si="714">SUM(AS64:AS66)</f>
        <v>2.1245796233415604E-9</v>
      </c>
      <c r="AT67" s="50">
        <f t="shared" ref="AT67" ca="1" si="715">SUM(AT64:AT66)</f>
        <v>2.1245796233415604E-9</v>
      </c>
      <c r="AU67" s="50">
        <f t="shared" ref="AU67" ca="1" si="716">SUM(AU64:AU66)</f>
        <v>2.1245796233415604E-9</v>
      </c>
      <c r="AV67" s="50">
        <f t="shared" ref="AV67" ca="1" si="717">SUM(AV64:AV66)</f>
        <v>2.1245796233415604E-9</v>
      </c>
      <c r="AW67" s="50">
        <f t="shared" ref="AW67" ca="1" si="718">SUM(AW64:AW66)</f>
        <v>2.1245796233415604E-9</v>
      </c>
      <c r="AX67" s="50">
        <f t="shared" ref="AX67" ca="1" si="719">SUM(AX64:AX66)</f>
        <v>2.1245796233415604E-9</v>
      </c>
      <c r="AY67" s="50">
        <f t="shared" ref="AY67" ca="1" si="720">SUM(AY64:AY66)</f>
        <v>2.1245796233415604E-9</v>
      </c>
      <c r="AZ67" s="50">
        <f t="shared" ref="AZ67" ca="1" si="721">SUM(AZ64:AZ66)</f>
        <v>2.1245796233415604E-9</v>
      </c>
      <c r="BA67" s="50">
        <f t="shared" ref="BA67" ca="1" si="722">SUM(BA64:BA66)</f>
        <v>2.1245796233415604E-9</v>
      </c>
      <c r="BB67" s="50">
        <f t="shared" ref="BB67" ca="1" si="723">SUM(BB64:BB66)</f>
        <v>2.1245796233415604E-9</v>
      </c>
      <c r="BC67" s="50">
        <f t="shared" ref="BC67" ca="1" si="724">SUM(BC64:BC66)</f>
        <v>2.1245796233415604E-9</v>
      </c>
      <c r="BD67" s="50">
        <f t="shared" ref="BD67" ca="1" si="725">SUM(BD64:BD66)</f>
        <v>2.1245796233415604E-9</v>
      </c>
      <c r="BE67" s="50">
        <f t="shared" ref="BE67" ca="1" si="726">SUM(BE64:BE66)</f>
        <v>2.1245796233415604E-9</v>
      </c>
      <c r="BF67" s="50">
        <f t="shared" ref="BF67" ca="1" si="727">SUM(BF64:BF66)</f>
        <v>2.1245796233415604E-9</v>
      </c>
      <c r="BG67" s="50">
        <f t="shared" ref="BG67" ca="1" si="728">SUM(BG64:BG66)</f>
        <v>2.1245796233415604E-9</v>
      </c>
      <c r="BH67" s="50">
        <f t="shared" ref="BH67" ca="1" si="729">SUM(BH64:BH66)</f>
        <v>2.1245796233415604E-9</v>
      </c>
      <c r="BI67" s="50">
        <f t="shared" ref="BI67" ca="1" si="730">SUM(BI64:BI66)</f>
        <v>2.1245796233415604E-9</v>
      </c>
      <c r="BJ67" s="50">
        <f t="shared" ref="BJ67" ca="1" si="731">SUM(BJ64:BJ66)</f>
        <v>2.1245796233415604E-9</v>
      </c>
      <c r="BK67" s="50">
        <f t="shared" ref="BK67" ca="1" si="732">SUM(BK64:BK66)</f>
        <v>2.1245796233415604E-9</v>
      </c>
      <c r="BL67" s="50">
        <f t="shared" ref="BL67" ca="1" si="733">SUM(BL64:BL66)</f>
        <v>2.1245796233415604E-9</v>
      </c>
      <c r="BM67" s="50">
        <f t="shared" ref="BM67" ca="1" si="734">SUM(BM64:BM66)</f>
        <v>2.1245796233415604E-9</v>
      </c>
      <c r="BN67" s="50">
        <f t="shared" ref="BN67" ca="1" si="735">SUM(BN64:BN66)</f>
        <v>2.1245796233415604E-9</v>
      </c>
      <c r="BO67" s="50">
        <f t="shared" ref="BO67" ca="1" si="736">SUM(BO64:BO66)</f>
        <v>2.1245796233415604E-9</v>
      </c>
      <c r="BP67" s="50">
        <f t="shared" ref="BP67" ca="1" si="737">SUM(BP64:BP66)</f>
        <v>2.1245796233415604E-9</v>
      </c>
      <c r="BQ67" s="50">
        <f t="shared" ref="BQ67" ca="1" si="738">SUM(BQ64:BQ66)</f>
        <v>2.1245796233415604E-9</v>
      </c>
      <c r="BR67" s="50">
        <f t="shared" ref="BR67" ca="1" si="739">SUM(BR64:BR66)</f>
        <v>2.1245796233415604E-9</v>
      </c>
      <c r="BS67" s="50">
        <f t="shared" ref="BS67" ca="1" si="740">SUM(BS64:BS66)</f>
        <v>2.1245796233415604E-9</v>
      </c>
      <c r="BT67" s="50">
        <f t="shared" ref="BT67" ca="1" si="741">SUM(BT64:BT66)</f>
        <v>2.1245796233415604E-9</v>
      </c>
      <c r="BU67" s="50">
        <f t="shared" ref="BU67" ca="1" si="742">SUM(BU64:BU66)</f>
        <v>2.1245796233415604E-9</v>
      </c>
      <c r="BV67" s="50">
        <f t="shared" ref="BV67" ca="1" si="743">SUM(BV64:BV66)</f>
        <v>2.1245796233415604E-9</v>
      </c>
      <c r="BW67" s="50">
        <f t="shared" ref="BW67" ca="1" si="744">SUM(BW64:BW66)</f>
        <v>2.1245796233415604E-9</v>
      </c>
      <c r="BX67" s="50">
        <f t="shared" ref="BX67" ca="1" si="745">SUM(BX64:BX66)</f>
        <v>2.1245796233415604E-9</v>
      </c>
      <c r="BY67" s="50">
        <f t="shared" ref="BY67" ca="1" si="746">SUM(BY64:BY66)</f>
        <v>2.1245796233415604E-9</v>
      </c>
      <c r="BZ67" s="50">
        <f t="shared" ref="BZ67" ca="1" si="747">SUM(BZ64:BZ66)</f>
        <v>2.1245796233415604E-9</v>
      </c>
      <c r="CA67" s="50">
        <f t="shared" ref="CA67" ca="1" si="748">SUM(CA64:CA66)</f>
        <v>2.1245796233415604E-9</v>
      </c>
      <c r="CB67" s="50">
        <f t="shared" ref="CB67" ca="1" si="749">SUM(CB64:CB66)</f>
        <v>2.1245796233415604E-9</v>
      </c>
      <c r="CC67" s="50">
        <f t="shared" ref="CC67" ca="1" si="750">SUM(CC64:CC66)</f>
        <v>2.1245796233415604E-9</v>
      </c>
      <c r="CD67" s="50">
        <f t="shared" ref="CD67" ca="1" si="751">SUM(CD64:CD66)</f>
        <v>2.1245796233415604E-9</v>
      </c>
      <c r="CE67" s="50">
        <f t="shared" ref="CE67" ca="1" si="752">SUM(CE64:CE66)</f>
        <v>2.1245796233415604E-9</v>
      </c>
      <c r="CF67" s="50">
        <f t="shared" ref="CF67" ca="1" si="753">SUM(CF64:CF66)</f>
        <v>2.1245796233415604E-9</v>
      </c>
      <c r="CG67" s="50">
        <f t="shared" ref="CG67" ca="1" si="754">SUM(CG64:CG66)</f>
        <v>2.1245796233415604E-9</v>
      </c>
      <c r="CH67" s="50">
        <f t="shared" ref="CH67" ca="1" si="755">SUM(CH64:CH66)</f>
        <v>2.1245796233415604E-9</v>
      </c>
      <c r="CI67" s="50">
        <f t="shared" ref="CI67" ca="1" si="756">SUM(CI64:CI66)</f>
        <v>2.1245796233415604E-9</v>
      </c>
      <c r="CJ67" s="50">
        <f t="shared" ref="CJ67" ca="1" si="757">SUM(CJ64:CJ66)</f>
        <v>2.1245796233415604E-9</v>
      </c>
      <c r="CK67" s="50">
        <f t="shared" ref="CK67" ca="1" si="758">SUM(CK64:CK66)</f>
        <v>2.1245796233415604E-9</v>
      </c>
      <c r="CL67" s="50">
        <f t="shared" ref="CL67" ca="1" si="759">SUM(CL64:CL66)</f>
        <v>2.1245796233415604E-9</v>
      </c>
      <c r="CM67" s="50">
        <f t="shared" ref="CM67" ca="1" si="760">SUM(CM64:CM66)</f>
        <v>2.1245796233415604E-9</v>
      </c>
      <c r="CN67" s="50">
        <f t="shared" ref="CN67" ca="1" si="761">SUM(CN64:CN66)</f>
        <v>0</v>
      </c>
    </row>
    <row r="68" spans="1:92" ht="12.75" customHeight="1" x14ac:dyDescent="0.3">
      <c r="D68" s="84"/>
      <c r="E68" s="85"/>
      <c r="F68" s="85"/>
      <c r="G68" s="85"/>
      <c r="H68" s="86"/>
      <c r="I68" s="87"/>
      <c r="J68" s="84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</row>
    <row r="69" spans="1:92" ht="12.75" customHeight="1" x14ac:dyDescent="0.3">
      <c r="D69" s="15"/>
      <c r="H69" s="16"/>
      <c r="J69" s="15"/>
    </row>
    <row r="70" spans="1:92" ht="12.75" customHeight="1" x14ac:dyDescent="0.3">
      <c r="C70" s="24">
        <f>C63+1</f>
        <v>5</v>
      </c>
      <c r="D70" s="17" t="str">
        <f>INDEX(Ass!$D$107:$D$111,CapexDA!$C70)</f>
        <v>Longterm Capex</v>
      </c>
      <c r="H70" s="16"/>
      <c r="J70" s="15"/>
    </row>
    <row r="71" spans="1:92" ht="12.75" customHeight="1" x14ac:dyDescent="0.3">
      <c r="D71" s="15" t="s">
        <v>181</v>
      </c>
      <c r="H71" s="16" t="s">
        <v>1</v>
      </c>
      <c r="J71" s="15"/>
      <c r="L71" s="80">
        <v>0</v>
      </c>
      <c r="M71" s="15">
        <f t="shared" ref="M71:BX71" si="762">L74</f>
        <v>0</v>
      </c>
      <c r="N71" s="15">
        <f t="shared" ca="1" si="762"/>
        <v>0</v>
      </c>
      <c r="O71" s="15">
        <f t="shared" ca="1" si="762"/>
        <v>0</v>
      </c>
      <c r="P71" s="15">
        <f t="shared" ca="1" si="762"/>
        <v>0</v>
      </c>
      <c r="Q71" s="15">
        <f t="shared" ca="1" si="762"/>
        <v>0</v>
      </c>
      <c r="R71" s="15">
        <f t="shared" ca="1" si="762"/>
        <v>0</v>
      </c>
      <c r="S71" s="15">
        <f t="shared" ca="1" si="762"/>
        <v>0</v>
      </c>
      <c r="T71" s="15">
        <f t="shared" ca="1" si="762"/>
        <v>0</v>
      </c>
      <c r="U71" s="15">
        <f t="shared" ca="1" si="762"/>
        <v>0</v>
      </c>
      <c r="V71" s="15">
        <f t="shared" ca="1" si="762"/>
        <v>1056783.9999999995</v>
      </c>
      <c r="W71" s="15">
        <f t="shared" ca="1" si="762"/>
        <v>2068049.8591250556</v>
      </c>
      <c r="X71" s="15">
        <f t="shared" ca="1" si="762"/>
        <v>3033482.2423581658</v>
      </c>
      <c r="Y71" s="15">
        <f t="shared" ca="1" si="762"/>
        <v>3952763.6301429095</v>
      </c>
      <c r="Z71" s="15">
        <f t="shared" ca="1" si="762"/>
        <v>4825574.3032496646</v>
      </c>
      <c r="AA71" s="15">
        <f t="shared" ca="1" si="762"/>
        <v>5651592.3275369778</v>
      </c>
      <c r="AB71" s="15">
        <f t="shared" ca="1" si="762"/>
        <v>6430493.538607371</v>
      </c>
      <c r="AC71" s="15">
        <f t="shared" ca="1" si="762"/>
        <v>7161951.5263568433</v>
      </c>
      <c r="AD71" s="15">
        <f t="shared" ca="1" si="762"/>
        <v>7845637.6194173433</v>
      </c>
      <c r="AE71" s="15">
        <f t="shared" ca="1" si="762"/>
        <v>8481220.8694914561</v>
      </c>
      <c r="AF71" s="15">
        <f t="shared" ca="1" si="762"/>
        <v>9068368.035578575</v>
      </c>
      <c r="AG71" s="15">
        <f t="shared" ca="1" si="762"/>
        <v>9606743.5680917893</v>
      </c>
      <c r="AH71" s="15">
        <f t="shared" ca="1" si="762"/>
        <v>10096009.592864739</v>
      </c>
      <c r="AI71" s="15">
        <f t="shared" ca="1" si="762"/>
        <v>10535825.895047683</v>
      </c>
      <c r="AJ71" s="15">
        <f t="shared" ca="1" si="762"/>
        <v>10925849.902891997</v>
      </c>
      <c r="AK71" s="15">
        <f t="shared" ca="1" si="762"/>
        <v>11265736.671422336</v>
      </c>
      <c r="AL71" s="15">
        <f t="shared" ca="1" si="762"/>
        <v>11555138.865995685</v>
      </c>
      <c r="AM71" s="15">
        <f t="shared" ca="1" si="762"/>
        <v>11793706.745746506</v>
      </c>
      <c r="AN71" s="15">
        <f t="shared" ca="1" si="762"/>
        <v>11981088.146917218</v>
      </c>
      <c r="AO71" s="15">
        <f t="shared" ca="1" si="762"/>
        <v>12116928.466073163</v>
      </c>
      <c r="AP71" s="15">
        <f t="shared" ca="1" si="762"/>
        <v>12200870.64320132</v>
      </c>
      <c r="AQ71" s="15">
        <f t="shared" ca="1" si="762"/>
        <v>12285394.344691921</v>
      </c>
      <c r="AR71" s="15">
        <f t="shared" ca="1" si="762"/>
        <v>12370503.599158419</v>
      </c>
      <c r="AS71" s="15">
        <f t="shared" ca="1" si="762"/>
        <v>12456202.463123206</v>
      </c>
      <c r="AT71" s="15">
        <f t="shared" ca="1" si="762"/>
        <v>12542495.02121095</v>
      </c>
      <c r="AU71" s="15">
        <f t="shared" ca="1" si="762"/>
        <v>12629385.386343287</v>
      </c>
      <c r="AV71" s="15">
        <f t="shared" ca="1" si="762"/>
        <v>12716877.69993485</v>
      </c>
      <c r="AW71" s="15">
        <f t="shared" ca="1" si="762"/>
        <v>12804976.13209065</v>
      </c>
      <c r="AX71" s="15">
        <f t="shared" ca="1" si="762"/>
        <v>12893684.881804854</v>
      </c>
      <c r="AY71" s="15">
        <f t="shared" ca="1" si="762"/>
        <v>12983008.177160898</v>
      </c>
      <c r="AZ71" s="15">
        <f t="shared" ca="1" si="762"/>
        <v>13072950.275533024</v>
      </c>
      <c r="BA71" s="15">
        <f t="shared" ca="1" si="762"/>
        <v>13163515.463789187</v>
      </c>
      <c r="BB71" s="15">
        <f t="shared" ca="1" si="762"/>
        <v>13254708.058495387</v>
      </c>
      <c r="BC71" s="15">
        <f t="shared" ca="1" si="762"/>
        <v>13346532.406121399</v>
      </c>
      <c r="BD71" s="15">
        <f t="shared" ca="1" si="762"/>
        <v>13438992.883247944</v>
      </c>
      <c r="BE71" s="15">
        <f t="shared" ca="1" si="762"/>
        <v>13532093.896775281</v>
      </c>
      <c r="BF71" s="15">
        <f t="shared" ca="1" si="762"/>
        <v>13625839.884133255</v>
      </c>
      <c r="BG71" s="15">
        <f t="shared" ca="1" si="762"/>
        <v>13720235.313492795</v>
      </c>
      <c r="BH71" s="15">
        <f t="shared" ca="1" si="762"/>
        <v>13815284.683978882</v>
      </c>
      <c r="BI71" s="15">
        <f t="shared" ca="1" si="762"/>
        <v>13910992.525884984</v>
      </c>
      <c r="BJ71" s="15">
        <f t="shared" ca="1" si="762"/>
        <v>14007363.400888981</v>
      </c>
      <c r="BK71" s="15">
        <f t="shared" ca="1" si="762"/>
        <v>14104401.902270589</v>
      </c>
      <c r="BL71" s="15">
        <f t="shared" ca="1" si="762"/>
        <v>14202112.655130286</v>
      </c>
      <c r="BM71" s="15">
        <f t="shared" ca="1" si="762"/>
        <v>14300500.316609759</v>
      </c>
      <c r="BN71" s="15">
        <f t="shared" ca="1" si="762"/>
        <v>14399569.576113867</v>
      </c>
      <c r="BO71" s="15">
        <f t="shared" ca="1" si="762"/>
        <v>14499325.155534159</v>
      </c>
      <c r="BP71" s="15">
        <f t="shared" ca="1" si="762"/>
        <v>14599771.809473928</v>
      </c>
      <c r="BQ71" s="15">
        <f t="shared" ca="1" si="762"/>
        <v>14700914.325474825</v>
      </c>
      <c r="BR71" s="15">
        <f t="shared" ca="1" si="762"/>
        <v>14802757.524245048</v>
      </c>
      <c r="BS71" s="15">
        <f t="shared" ca="1" si="762"/>
        <v>14905306.259889111</v>
      </c>
      <c r="BT71" s="15">
        <f t="shared" ca="1" si="762"/>
        <v>15008565.420139194</v>
      </c>
      <c r="BU71" s="15">
        <f t="shared" ca="1" si="762"/>
        <v>15112539.926588116</v>
      </c>
      <c r="BV71" s="15">
        <f t="shared" ca="1" si="762"/>
        <v>15217234.734923907</v>
      </c>
      <c r="BW71" s="15">
        <f t="shared" ca="1" si="762"/>
        <v>15322654.835166002</v>
      </c>
      <c r="BX71" s="15">
        <f t="shared" ca="1" si="762"/>
        <v>15428805.251903087</v>
      </c>
      <c r="BY71" s="15">
        <f t="shared" ref="BY71:CN71" ca="1" si="763">BX74</f>
        <v>15535691.044532578</v>
      </c>
      <c r="BZ71" s="15">
        <f t="shared" ca="1" si="763"/>
        <v>15643317.307501771</v>
      </c>
      <c r="CA71" s="15">
        <f t="shared" ca="1" si="763"/>
        <v>15751689.170550644</v>
      </c>
      <c r="CB71" s="15">
        <f t="shared" ca="1" si="763"/>
        <v>15860811.798956368</v>
      </c>
      <c r="CC71" s="15">
        <f t="shared" ca="1" si="763"/>
        <v>15970690.393779486</v>
      </c>
      <c r="CD71" s="15">
        <f t="shared" ca="1" si="763"/>
        <v>16081330.192111816</v>
      </c>
      <c r="CE71" s="15">
        <f t="shared" ca="1" si="763"/>
        <v>16192736.467326058</v>
      </c>
      <c r="CF71" s="15">
        <f t="shared" ca="1" si="763"/>
        <v>16304914.529327141</v>
      </c>
      <c r="CG71" s="15">
        <f t="shared" ca="1" si="763"/>
        <v>16417869.724805305</v>
      </c>
      <c r="CH71" s="15">
        <f t="shared" ca="1" si="763"/>
        <v>16531607.43749094</v>
      </c>
      <c r="CI71" s="15">
        <f t="shared" ca="1" si="763"/>
        <v>16646133.08841118</v>
      </c>
      <c r="CJ71" s="15">
        <f t="shared" ca="1" si="763"/>
        <v>16761452.136148294</v>
      </c>
      <c r="CK71" s="15">
        <f t="shared" ca="1" si="763"/>
        <v>16877570.077099849</v>
      </c>
      <c r="CL71" s="15">
        <f t="shared" ca="1" si="763"/>
        <v>16994492.445740681</v>
      </c>
      <c r="CM71" s="15">
        <f t="shared" ca="1" si="763"/>
        <v>17112224.814886689</v>
      </c>
      <c r="CN71" s="15">
        <f t="shared" ca="1" si="763"/>
        <v>17230772.795960441</v>
      </c>
    </row>
    <row r="72" spans="1:92" ht="12.75" customHeight="1" x14ac:dyDescent="0.3">
      <c r="D72" s="15" t="s">
        <v>182</v>
      </c>
      <c r="H72" s="16" t="s">
        <v>1</v>
      </c>
      <c r="J72" s="58">
        <f>SUM(L72:CN72)</f>
        <v>96498942.134498507</v>
      </c>
      <c r="L72" s="81">
        <v>0</v>
      </c>
      <c r="M72" s="78">
        <f t="shared" ref="M72:BX72" si="764">INDEX(M$19:M$23,$C70)</f>
        <v>0</v>
      </c>
      <c r="N72" s="78">
        <f t="shared" si="764"/>
        <v>0</v>
      </c>
      <c r="O72" s="78">
        <f t="shared" si="764"/>
        <v>0</v>
      </c>
      <c r="P72" s="78">
        <f t="shared" si="764"/>
        <v>0</v>
      </c>
      <c r="Q72" s="78">
        <f t="shared" si="764"/>
        <v>0</v>
      </c>
      <c r="R72" s="78">
        <f t="shared" si="764"/>
        <v>0</v>
      </c>
      <c r="S72" s="78">
        <f t="shared" si="764"/>
        <v>0</v>
      </c>
      <c r="T72" s="78">
        <f t="shared" si="764"/>
        <v>0</v>
      </c>
      <c r="U72" s="78">
        <f t="shared" si="764"/>
        <v>1056783.9999999995</v>
      </c>
      <c r="V72" s="78">
        <f t="shared" si="764"/>
        <v>1064105.059125056</v>
      </c>
      <c r="W72" s="78">
        <f t="shared" si="764"/>
        <v>1071476.8361893627</v>
      </c>
      <c r="X72" s="78">
        <f t="shared" si="764"/>
        <v>1078899.6825504648</v>
      </c>
      <c r="Y72" s="78">
        <f t="shared" si="764"/>
        <v>1086373.9519999993</v>
      </c>
      <c r="Z72" s="78">
        <f t="shared" si="764"/>
        <v>1093900.0007805575</v>
      </c>
      <c r="AA72" s="78">
        <f t="shared" si="764"/>
        <v>1101478.1876026648</v>
      </c>
      <c r="AB72" s="78">
        <f t="shared" si="764"/>
        <v>1109108.8736618778</v>
      </c>
      <c r="AC72" s="78">
        <f t="shared" si="764"/>
        <v>1116792.4226559992</v>
      </c>
      <c r="AD72" s="78">
        <f t="shared" si="764"/>
        <v>1124529.2008024128</v>
      </c>
      <c r="AE72" s="78">
        <f t="shared" si="764"/>
        <v>1132319.5768555391</v>
      </c>
      <c r="AF72" s="78">
        <f t="shared" si="764"/>
        <v>1140163.92212441</v>
      </c>
      <c r="AG72" s="78">
        <f t="shared" si="764"/>
        <v>1148062.6104903666</v>
      </c>
      <c r="AH72" s="78">
        <f t="shared" si="764"/>
        <v>1156016.01842488</v>
      </c>
      <c r="AI72" s="78">
        <f t="shared" si="764"/>
        <v>1164024.5250074938</v>
      </c>
      <c r="AJ72" s="78">
        <f t="shared" si="764"/>
        <v>1172088.511943893</v>
      </c>
      <c r="AK72" s="78">
        <f t="shared" si="764"/>
        <v>1180208.3635840965</v>
      </c>
      <c r="AL72" s="78">
        <f t="shared" si="764"/>
        <v>1188384.4669407762</v>
      </c>
      <c r="AM72" s="78">
        <f t="shared" si="764"/>
        <v>1196617.2117077033</v>
      </c>
      <c r="AN72" s="78">
        <f t="shared" si="764"/>
        <v>1204906.9902783216</v>
      </c>
      <c r="AO72" s="78">
        <f t="shared" si="764"/>
        <v>1213254.1977644509</v>
      </c>
      <c r="AP72" s="78">
        <f t="shared" si="764"/>
        <v>1221659.2320151175</v>
      </c>
      <c r="AQ72" s="78">
        <f t="shared" si="764"/>
        <v>1230122.4936355187</v>
      </c>
      <c r="AR72" s="78">
        <f t="shared" si="764"/>
        <v>1238644.3860061143</v>
      </c>
      <c r="AS72" s="78">
        <f t="shared" si="764"/>
        <v>1247225.3153018551</v>
      </c>
      <c r="AT72" s="78">
        <f t="shared" si="764"/>
        <v>1255865.6905115405</v>
      </c>
      <c r="AU72" s="78">
        <f t="shared" si="764"/>
        <v>1264565.9234573126</v>
      </c>
      <c r="AV72" s="78">
        <f t="shared" si="764"/>
        <v>1273326.428814285</v>
      </c>
      <c r="AW72" s="78">
        <f t="shared" si="764"/>
        <v>1282147.6241303065</v>
      </c>
      <c r="AX72" s="78">
        <f t="shared" si="764"/>
        <v>1291029.9298458633</v>
      </c>
      <c r="AY72" s="78">
        <f t="shared" si="764"/>
        <v>1299973.769314117</v>
      </c>
      <c r="AZ72" s="78">
        <f t="shared" si="764"/>
        <v>1308979.5688210847</v>
      </c>
      <c r="BA72" s="78">
        <f t="shared" si="764"/>
        <v>1318047.7576059548</v>
      </c>
      <c r="BB72" s="78">
        <f t="shared" si="764"/>
        <v>1327178.7678815469</v>
      </c>
      <c r="BC72" s="78">
        <f t="shared" si="764"/>
        <v>1336373.034854912</v>
      </c>
      <c r="BD72" s="78">
        <f t="shared" si="764"/>
        <v>1345630.9967480747</v>
      </c>
      <c r="BE72" s="78">
        <f t="shared" si="764"/>
        <v>1354953.0948189211</v>
      </c>
      <c r="BF72" s="78">
        <f t="shared" si="764"/>
        <v>1364339.7733822297</v>
      </c>
      <c r="BG72" s="78">
        <f t="shared" si="764"/>
        <v>1373791.479830849</v>
      </c>
      <c r="BH72" s="78">
        <f t="shared" si="764"/>
        <v>1383308.6646570202</v>
      </c>
      <c r="BI72" s="78">
        <f t="shared" si="764"/>
        <v>1392891.7814738504</v>
      </c>
      <c r="BJ72" s="78">
        <f t="shared" si="764"/>
        <v>1402541.2870369318</v>
      </c>
      <c r="BK72" s="78">
        <f t="shared" si="764"/>
        <v>1412257.6412661122</v>
      </c>
      <c r="BL72" s="78">
        <f t="shared" si="764"/>
        <v>1422041.3072674163</v>
      </c>
      <c r="BM72" s="78">
        <f t="shared" si="764"/>
        <v>1431892.7513551177</v>
      </c>
      <c r="BN72" s="78">
        <f t="shared" si="764"/>
        <v>1441812.4430739654</v>
      </c>
      <c r="BO72" s="78">
        <f t="shared" si="764"/>
        <v>1451800.8552215628</v>
      </c>
      <c r="BP72" s="78">
        <f t="shared" si="764"/>
        <v>1461858.4638709035</v>
      </c>
      <c r="BQ72" s="78">
        <f t="shared" si="764"/>
        <v>1471985.7483930606</v>
      </c>
      <c r="BR72" s="78">
        <f t="shared" si="764"/>
        <v>1482183.1914800361</v>
      </c>
      <c r="BS72" s="78">
        <f t="shared" si="764"/>
        <v>1492451.2791677664</v>
      </c>
      <c r="BT72" s="78">
        <f t="shared" si="764"/>
        <v>1502790.5008592885</v>
      </c>
      <c r="BU72" s="78">
        <f t="shared" si="764"/>
        <v>1513201.3493480661</v>
      </c>
      <c r="BV72" s="78">
        <f t="shared" si="764"/>
        <v>1523684.3208414768</v>
      </c>
      <c r="BW72" s="78">
        <f t="shared" si="764"/>
        <v>1534239.9149844635</v>
      </c>
      <c r="BX72" s="78">
        <f t="shared" si="764"/>
        <v>1544868.6348833481</v>
      </c>
      <c r="BY72" s="78">
        <f t="shared" ref="BY72:CN72" si="765">INDEX(BY$19:BY$23,$C70)</f>
        <v>1555570.9871298117</v>
      </c>
      <c r="BZ72" s="78">
        <f t="shared" si="765"/>
        <v>1566347.4818250379</v>
      </c>
      <c r="CA72" s="78">
        <f t="shared" si="765"/>
        <v>1577198.6326040281</v>
      </c>
      <c r="CB72" s="78">
        <f t="shared" si="765"/>
        <v>1588124.9566600816</v>
      </c>
      <c r="CC72" s="78">
        <f t="shared" si="765"/>
        <v>1599126.9747694458</v>
      </c>
      <c r="CD72" s="78">
        <f t="shared" si="765"/>
        <v>1610205.2113161385</v>
      </c>
      <c r="CE72" s="78">
        <f t="shared" si="765"/>
        <v>1621360.1943169406</v>
      </c>
      <c r="CF72" s="78">
        <f t="shared" si="765"/>
        <v>1632592.4554465637</v>
      </c>
      <c r="CG72" s="78">
        <f t="shared" si="765"/>
        <v>1643902.53006299</v>
      </c>
      <c r="CH72" s="78">
        <f t="shared" si="765"/>
        <v>1655290.9572329898</v>
      </c>
      <c r="CI72" s="78">
        <f t="shared" si="765"/>
        <v>1666758.2797578145</v>
      </c>
      <c r="CJ72" s="78">
        <f t="shared" si="765"/>
        <v>1678305.0441990667</v>
      </c>
      <c r="CK72" s="78">
        <f t="shared" si="765"/>
        <v>1689931.8009047529</v>
      </c>
      <c r="CL72" s="78">
        <f t="shared" si="765"/>
        <v>1701639.104035513</v>
      </c>
      <c r="CM72" s="78">
        <f t="shared" si="765"/>
        <v>1713427.5115910326</v>
      </c>
      <c r="CN72" s="78">
        <f t="shared" si="765"/>
        <v>0</v>
      </c>
    </row>
    <row r="73" spans="1:92" ht="12.75" customHeight="1" x14ac:dyDescent="0.3">
      <c r="D73" s="15" t="s">
        <v>183</v>
      </c>
      <c r="E73" s="1">
        <f>INDEX(Ass!L$107:L$111,$C70)</f>
        <v>5</v>
      </c>
      <c r="F73" s="1" t="str">
        <f>INDEX(Ass!M$107:M$111,$C70)</f>
        <v>SL</v>
      </c>
      <c r="H73" s="16" t="s">
        <v>1</v>
      </c>
      <c r="J73" s="58">
        <f ca="1">SUM(L73:CN73)</f>
        <v>-96498942.134498551</v>
      </c>
      <c r="L73" s="82">
        <v>0</v>
      </c>
      <c r="M73" s="15">
        <f t="shared" ref="M73" ca="1" si="766">-IF(M$12=1,SUM(M71:M72),IF($F73="SL",SUM(OFFSET(L72,,,,-MIN(L$14,$E73*4)))*1/($E73*4),2*1/($E73*4)*M71))</f>
        <v>0</v>
      </c>
      <c r="N73" s="15">
        <f t="shared" ref="N73" ca="1" si="767">-IF(N$12=1,SUM(N71:N72),IF($F73="SL",SUM(OFFSET(M72,,,,-MIN(M$14,$E73*4)))*1/($E73*4),2*1/($E73*4)*N71))</f>
        <v>0</v>
      </c>
      <c r="O73" s="15">
        <f t="shared" ref="O73" ca="1" si="768">-IF(O$12=1,SUM(O71:O72),IF($F73="SL",SUM(OFFSET(N72,,,,-MIN(N$14,$E73*4)))*1/($E73*4),2*1/($E73*4)*O71))</f>
        <v>0</v>
      </c>
      <c r="P73" s="15">
        <f t="shared" ref="P73" ca="1" si="769">-IF(P$12=1,SUM(P71:P72),IF($F73="SL",SUM(OFFSET(O72,,,,-MIN(O$14,$E73*4)))*1/($E73*4),2*1/($E73*4)*P71))</f>
        <v>0</v>
      </c>
      <c r="Q73" s="15">
        <f t="shared" ref="Q73" ca="1" si="770">-IF(Q$12=1,SUM(Q71:Q72),IF($F73="SL",SUM(OFFSET(P72,,,,-MIN(P$14,$E73*4)))*1/($E73*4),2*1/($E73*4)*Q71))</f>
        <v>0</v>
      </c>
      <c r="R73" s="15">
        <f t="shared" ref="R73" ca="1" si="771">-IF(R$12=1,SUM(R71:R72),IF($F73="SL",SUM(OFFSET(Q72,,,,-MIN(Q$14,$E73*4)))*1/($E73*4),2*1/($E73*4)*R71))</f>
        <v>0</v>
      </c>
      <c r="S73" s="15">
        <f t="shared" ref="S73" ca="1" si="772">-IF(S$12=1,SUM(S71:S72),IF($F73="SL",SUM(OFFSET(R72,,,,-MIN(R$14,$E73*4)))*1/($E73*4),2*1/($E73*4)*S71))</f>
        <v>0</v>
      </c>
      <c r="T73" s="15">
        <f t="shared" ref="T73" ca="1" si="773">-IF(T$12=1,SUM(T71:T72),IF($F73="SL",SUM(OFFSET(S72,,,,-MIN(S$14,$E73*4)))*1/($E73*4),2*1/($E73*4)*T71))</f>
        <v>0</v>
      </c>
      <c r="U73" s="15">
        <f t="shared" ref="U73" ca="1" si="774">-IF(U$12=1,SUM(U71:U72),IF($F73="SL",SUM(OFFSET(T72,,,,-MIN(T$14,$E73*4)))*1/($E73*4),2*1/($E73*4)*U71))</f>
        <v>0</v>
      </c>
      <c r="V73" s="15">
        <f t="shared" ref="V73" ca="1" si="775">-IF(V$12=1,SUM(V71:V72),IF($F73="SL",SUM(OFFSET(U72,,,,-MIN(U$14,$E73*4)))*1/($E73*4),2*1/($E73*4)*V71))</f>
        <v>-52839.199999999975</v>
      </c>
      <c r="W73" s="15">
        <f t="shared" ref="W73" ca="1" si="776">-IF(W$12=1,SUM(W71:W72),IF($F73="SL",SUM(OFFSET(V72,,,,-MIN(V$14,$E73*4)))*1/($E73*4),2*1/($E73*4)*W71))</f>
        <v>-106044.45295625278</v>
      </c>
      <c r="X73" s="15">
        <f t="shared" ref="X73" ca="1" si="777">-IF(X$12=1,SUM(X71:X72),IF($F73="SL",SUM(OFFSET(W72,,,,-MIN(W$14,$E73*4)))*1/($E73*4),2*1/($E73*4)*X71))</f>
        <v>-159618.2947657209</v>
      </c>
      <c r="Y73" s="15">
        <f t="shared" ref="Y73" ca="1" si="778">-IF(Y$12=1,SUM(Y71:Y72),IF($F73="SL",SUM(OFFSET(X72,,,,-MIN(X$14,$E73*4)))*1/($E73*4),2*1/($E73*4)*Y71))</f>
        <v>-213563.27889324416</v>
      </c>
      <c r="Z73" s="15">
        <f t="shared" ref="Z73" ca="1" si="779">-IF(Z$12=1,SUM(Z71:Z72),IF($F73="SL",SUM(OFFSET(Y72,,,,-MIN(Y$14,$E73*4)))*1/($E73*4),2*1/($E73*4)*Z71))</f>
        <v>-267881.97649324418</v>
      </c>
      <c r="AA73" s="15">
        <f t="shared" ref="AA73" ca="1" si="780">-IF(AA$12=1,SUM(AA71:AA72),IF($F73="SL",SUM(OFFSET(Z72,,,,-MIN(Z$14,$E73*4)))*1/($E73*4),2*1/($E73*4)*AA71))</f>
        <v>-322576.976532272</v>
      </c>
      <c r="AB73" s="15">
        <f t="shared" ref="AB73" ca="1" si="781">-IF(AB$12=1,SUM(AB71:AB72),IF($F73="SL",SUM(OFFSET(AA72,,,,-MIN(AA$14,$E73*4)))*1/($E73*4),2*1/($E73*4)*AB71))</f>
        <v>-377650.88591240521</v>
      </c>
      <c r="AC73" s="15">
        <f t="shared" ref="AC73" ca="1" si="782">-IF(AC$12=1,SUM(AC71:AC72),IF($F73="SL",SUM(OFFSET(AB72,,,,-MIN(AB$14,$E73*4)))*1/($E73*4),2*1/($E73*4)*AC71))</f>
        <v>-433106.32959549909</v>
      </c>
      <c r="AD73" s="15">
        <f t="shared" ref="AD73" ca="1" si="783">-IF(AD$12=1,SUM(AD71:AD72),IF($F73="SL",SUM(OFFSET(AC72,,,,-MIN(AC$14,$E73*4)))*1/($E73*4),2*1/($E73*4)*AD71))</f>
        <v>-488945.9507282991</v>
      </c>
      <c r="AE73" s="15">
        <f t="shared" ref="AE73" ca="1" si="784">-IF(AE$12=1,SUM(AE71:AE72),IF($F73="SL",SUM(OFFSET(AD72,,,,-MIN(AD$14,$E73*4)))*1/($E73*4),2*1/($E73*4)*AE71))</f>
        <v>-545172.41076841974</v>
      </c>
      <c r="AF73" s="15">
        <f t="shared" ref="AF73" ca="1" si="785">-IF(AF$12=1,SUM(AF71:AF72),IF($F73="SL",SUM(OFFSET(AE72,,,,-MIN(AE$14,$E73*4)))*1/($E73*4),2*1/($E73*4)*AF71))</f>
        <v>-601788.38961119659</v>
      </c>
      <c r="AG73" s="15">
        <f t="shared" ref="AG73" ca="1" si="786">-IF(AG$12=1,SUM(AG71:AG72),IF($F73="SL",SUM(OFFSET(AF72,,,,-MIN(AF$14,$E73*4)))*1/($E73*4),2*1/($E73*4)*AG71))</f>
        <v>-658796.58571741707</v>
      </c>
      <c r="AH73" s="15">
        <f t="shared" ref="AH73" ca="1" si="787">-IF(AH$12=1,SUM(AH71:AH72),IF($F73="SL",SUM(OFFSET(AG72,,,,-MIN(AG$14,$E73*4)))*1/($E73*4),2*1/($E73*4)*AH71))</f>
        <v>-716199.7162419355</v>
      </c>
      <c r="AI73" s="15">
        <f t="shared" ref="AI73" ca="1" si="788">-IF(AI$12=1,SUM(AI71:AI72),IF($F73="SL",SUM(OFFSET(AH72,,,,-MIN(AH$14,$E73*4)))*1/($E73*4),2*1/($E73*4)*AI71))</f>
        <v>-774000.51716317947</v>
      </c>
      <c r="AJ73" s="15">
        <f t="shared" ref="AJ73" ca="1" si="789">-IF(AJ$12=1,SUM(AJ71:AJ72),IF($F73="SL",SUM(OFFSET(AI72,,,,-MIN(AI$14,$E73*4)))*1/($E73*4),2*1/($E73*4)*AJ71))</f>
        <v>-832201.74341355416</v>
      </c>
      <c r="AK73" s="15">
        <f t="shared" ref="AK73" ca="1" si="790">-IF(AK$12=1,SUM(AK71:AK72),IF($F73="SL",SUM(OFFSET(AJ72,,,,-MIN(AJ$14,$E73*4)))*1/($E73*4),2*1/($E73*4)*AK71))</f>
        <v>-890806.16901074874</v>
      </c>
      <c r="AL73" s="15">
        <f t="shared" ref="AL73" ca="1" si="791">-IF(AL$12=1,SUM(AL71:AL72),IF($F73="SL",SUM(OFFSET(AK72,,,,-MIN(AK$14,$E73*4)))*1/($E73*4),2*1/($E73*4)*AL71))</f>
        <v>-949816.58718995354</v>
      </c>
      <c r="AM73" s="15">
        <f t="shared" ref="AM73" ca="1" si="792">-IF(AM$12=1,SUM(AM71:AM72),IF($F73="SL",SUM(OFFSET(AL72,,,,-MIN(AL$14,$E73*4)))*1/($E73*4),2*1/($E73*4)*AM71))</f>
        <v>-1009235.8105369924</v>
      </c>
      <c r="AN73" s="15">
        <f t="shared" ref="AN73" ca="1" si="793">-IF(AN$12=1,SUM(AN71:AN72),IF($F73="SL",SUM(OFFSET(AM72,,,,-MIN(AM$14,$E73*4)))*1/($E73*4),2*1/($E73*4)*AN71))</f>
        <v>-1069066.6711223775</v>
      </c>
      <c r="AO73" s="15">
        <f t="shared" ref="AO73" ca="1" si="794">-IF(AO$12=1,SUM(AO71:AO72),IF($F73="SL",SUM(OFFSET(AN72,,,,-MIN(AN$14,$E73*4)))*1/($E73*4),2*1/($E73*4)*AO71))</f>
        <v>-1129312.0206362936</v>
      </c>
      <c r="AP73" s="15">
        <f t="shared" ref="AP73" ca="1" si="795">-IF(AP$12=1,SUM(AP71:AP72),IF($F73="SL",SUM(OFFSET(AO72,,,,-MIN(AO$14,$E73*4)))*1/($E73*4),2*1/($E73*4)*AP71))</f>
        <v>-1137135.5305245162</v>
      </c>
      <c r="AQ73" s="15">
        <f t="shared" ref="AQ73" ca="1" si="796">-IF(AQ$12=1,SUM(AQ71:AQ72),IF($F73="SL",SUM(OFFSET(AP72,,,,-MIN(AP$14,$E73*4)))*1/($E73*4),2*1/($E73*4)*AQ71))</f>
        <v>-1145013.2391690195</v>
      </c>
      <c r="AR73" s="15">
        <f t="shared" ref="AR73" ca="1" si="797">-IF(AR$12=1,SUM(AR71:AR72),IF($F73="SL",SUM(OFFSET(AQ72,,,,-MIN(AQ$14,$E73*4)))*1/($E73*4),2*1/($E73*4)*AR71))</f>
        <v>-1152945.5220413276</v>
      </c>
      <c r="AS73" s="15">
        <f t="shared" ref="AS73" ca="1" si="798">-IF(AS$12=1,SUM(AS71:AS72),IF($F73="SL",SUM(OFFSET(AR72,,,,-MIN(AR$14,$E73*4)))*1/($E73*4),2*1/($E73*4)*AS71))</f>
        <v>-1160932.7572141099</v>
      </c>
      <c r="AT73" s="15">
        <f t="shared" ref="AT73" ca="1" si="799">-IF(AT$12=1,SUM(AT71:AT72),IF($F73="SL",SUM(OFFSET(AS72,,,,-MIN(AS$14,$E73*4)))*1/($E73*4),2*1/($E73*4)*AT71))</f>
        <v>-1168975.3253792026</v>
      </c>
      <c r="AU73" s="15">
        <f t="shared" ref="AU73" ca="1" si="800">-IF(AU$12=1,SUM(AU71:AU72),IF($F73="SL",SUM(OFFSET(AT72,,,,-MIN(AT$14,$E73*4)))*1/($E73*4),2*1/($E73*4)*AU71))</f>
        <v>-1177073.6098657516</v>
      </c>
      <c r="AV73" s="15">
        <f t="shared" ref="AV73" ca="1" si="801">-IF(AV$12=1,SUM(AV71:AV72),IF($F73="SL",SUM(OFFSET(AU72,,,,-MIN(AU$14,$E73*4)))*1/($E73*4),2*1/($E73*4)*AV71))</f>
        <v>-1185227.996658484</v>
      </c>
      <c r="AW73" s="15">
        <f t="shared" ref="AW73" ca="1" si="802">-IF(AW$12=1,SUM(AW71:AW72),IF($F73="SL",SUM(OFFSET(AV72,,,,-MIN(AV$14,$E73*4)))*1/($E73*4),2*1/($E73*4)*AW71))</f>
        <v>-1193438.8744161041</v>
      </c>
      <c r="AX73" s="15">
        <f t="shared" ref="AX73" ca="1" si="803">-IF(AX$12=1,SUM(AX71:AX72),IF($F73="SL",SUM(OFFSET(AW72,,,,-MIN(AW$14,$E73*4)))*1/($E73*4),2*1/($E73*4)*AX71))</f>
        <v>-1201706.6344898196</v>
      </c>
      <c r="AY73" s="15">
        <f t="shared" ref="AY73" ca="1" si="804">-IF(AY$12=1,SUM(AY71:AY72),IF($F73="SL",SUM(OFFSET(AX72,,,,-MIN(AX$14,$E73*4)))*1/($E73*4),2*1/($E73*4)*AY71))</f>
        <v>-1210031.6709419922</v>
      </c>
      <c r="AZ73" s="15">
        <f t="shared" ref="AZ73" ca="1" si="805">-IF(AZ$12=1,SUM(AZ71:AZ72),IF($F73="SL",SUM(OFFSET(AY72,,,,-MIN(AY$14,$E73*4)))*1/($E73*4),2*1/($E73*4)*AZ71))</f>
        <v>-1218414.3805649211</v>
      </c>
      <c r="BA73" s="15">
        <f t="shared" ref="BA73" ca="1" si="806">-IF(BA$12=1,SUM(BA71:BA72),IF($F73="SL",SUM(OFFSET(AZ72,,,,-MIN(AZ$14,$E73*4)))*1/($E73*4),2*1/($E73*4)*BA71))</f>
        <v>-1226855.1628997547</v>
      </c>
      <c r="BB73" s="15">
        <f t="shared" ref="BB73" ca="1" si="807">-IF(BB$12=1,SUM(BB71:BB72),IF($F73="SL",SUM(OFFSET(BA72,,,,-MIN(BA$14,$E73*4)))*1/($E73*4),2*1/($E73*4)*BB71))</f>
        <v>-1235354.4202555341</v>
      </c>
      <c r="BC73" s="15">
        <f t="shared" ref="BC73" ca="1" si="808">-IF(BC$12=1,SUM(BC71:BC72),IF($F73="SL",SUM(OFFSET(BB72,,,,-MIN(BB$14,$E73*4)))*1/($E73*4),2*1/($E73*4)*BC71))</f>
        <v>-1243912.5577283674</v>
      </c>
      <c r="BD73" s="15">
        <f t="shared" ref="BD73" ca="1" si="809">-IF(BD$12=1,SUM(BD71:BD72),IF($F73="SL",SUM(OFFSET(BC72,,,,-MIN(BC$14,$E73*4)))*1/($E73*4),2*1/($E73*4)*BD71))</f>
        <v>-1252529.9832207381</v>
      </c>
      <c r="BE73" s="15">
        <f t="shared" ref="BE73" ca="1" si="810">-IF(BE$12=1,SUM(BE71:BE72),IF($F73="SL",SUM(OFFSET(BD72,,,,-MIN(BD$14,$E73*4)))*1/($E73*4),2*1/($E73*4)*BE71))</f>
        <v>-1261207.1074609475</v>
      </c>
      <c r="BF73" s="15">
        <f t="shared" ref="BF73" ca="1" si="811">-IF(BF$12=1,SUM(BF71:BF72),IF($F73="SL",SUM(OFFSET(BE72,,,,-MIN(BE$14,$E73*4)))*1/($E73*4),2*1/($E73*4)*BF71))</f>
        <v>-1269944.3440226887</v>
      </c>
      <c r="BG73" s="15">
        <f t="shared" ref="BG73" ca="1" si="812">-IF(BG$12=1,SUM(BG71:BG72),IF($F73="SL",SUM(OFFSET(BF72,,,,-MIN(BF$14,$E73*4)))*1/($E73*4),2*1/($E73*4)*BG71))</f>
        <v>-1278742.1093447614</v>
      </c>
      <c r="BH73" s="15">
        <f t="shared" ref="BH73" ca="1" si="813">-IF(BH$12=1,SUM(BH71:BH72),IF($F73="SL",SUM(OFFSET(BG72,,,,-MIN(BG$14,$E73*4)))*1/($E73*4),2*1/($E73*4)*BH71))</f>
        <v>-1287600.8227509188</v>
      </c>
      <c r="BI73" s="15">
        <f t="shared" ref="BI73" ca="1" si="814">-IF(BI$12=1,SUM(BI71:BI72),IF($F73="SL",SUM(OFFSET(BH72,,,,-MIN(BH$14,$E73*4)))*1/($E73*4),2*1/($E73*4)*BI71))</f>
        <v>-1296520.9064698538</v>
      </c>
      <c r="BJ73" s="15">
        <f t="shared" ref="BJ73" ca="1" si="815">-IF(BJ$12=1,SUM(BJ71:BJ72),IF($F73="SL",SUM(OFFSET(BI72,,,,-MIN(BI$14,$E73*4)))*1/($E73*4),2*1/($E73*4)*BJ71))</f>
        <v>-1305502.7856553234</v>
      </c>
      <c r="BK73" s="15">
        <f t="shared" ref="BK73" ca="1" si="816">-IF(BK$12=1,SUM(BK71:BK72),IF($F73="SL",SUM(OFFSET(BJ72,,,,-MIN(BJ$14,$E73*4)))*1/($E73*4),2*1/($E73*4)*BK71))</f>
        <v>-1314546.8884064145</v>
      </c>
      <c r="BL73" s="15">
        <f t="shared" ref="BL73" ca="1" si="817">-IF(BL$12=1,SUM(BL71:BL72),IF($F73="SL",SUM(OFFSET(BK72,,,,-MIN(BK$14,$E73*4)))*1/($E73*4),2*1/($E73*4)*BL71))</f>
        <v>-1323653.6457879441</v>
      </c>
      <c r="BM73" s="15">
        <f t="shared" ref="BM73" ca="1" si="818">-IF(BM$12=1,SUM(BM71:BM72),IF($F73="SL",SUM(OFFSET(BL72,,,,-MIN(BL$14,$E73*4)))*1/($E73*4),2*1/($E73*4)*BM71))</f>
        <v>-1332823.491851009</v>
      </c>
      <c r="BN73" s="15">
        <f t="shared" ref="BN73" ca="1" si="819">-IF(BN$12=1,SUM(BN71:BN72),IF($F73="SL",SUM(OFFSET(BM72,,,,-MIN(BM$14,$E73*4)))*1/($E73*4),2*1/($E73*4)*BN71))</f>
        <v>-1342056.8636536724</v>
      </c>
      <c r="BO73" s="15">
        <f t="shared" ref="BO73" ca="1" si="820">-IF(BO$12=1,SUM(BO71:BO72),IF($F73="SL",SUM(OFFSET(BN72,,,,-MIN(BN$14,$E73*4)))*1/($E73*4),2*1/($E73*4)*BO71))</f>
        <v>-1351354.2012817934</v>
      </c>
      <c r="BP73" s="15">
        <f t="shared" ref="BP73" ca="1" si="821">-IF(BP$12=1,SUM(BP71:BP72),IF($F73="SL",SUM(OFFSET(BO72,,,,-MIN(BO$14,$E73*4)))*1/($E73*4),2*1/($E73*4)*BP71))</f>
        <v>-1360715.9478700061</v>
      </c>
      <c r="BQ73" s="15">
        <f t="shared" ref="BQ73" ca="1" si="822">-IF(BQ$12=1,SUM(BQ71:BQ72),IF($F73="SL",SUM(OFFSET(BP72,,,,-MIN(BP$14,$E73*4)))*1/($E73*4),2*1/($E73*4)*BQ71))</f>
        <v>-1370142.549622837</v>
      </c>
      <c r="BR73" s="15">
        <f t="shared" ref="BR73" ca="1" si="823">-IF(BR$12=1,SUM(BR71:BR72),IF($F73="SL",SUM(OFFSET(BQ72,,,,-MIN(BQ$14,$E73*4)))*1/($E73*4),2*1/($E73*4)*BR71))</f>
        <v>-1379634.4558359745</v>
      </c>
      <c r="BS73" s="15">
        <f t="shared" ref="BS73" ca="1" si="824">-IF(BS$12=1,SUM(BS71:BS72),IF($F73="SL",SUM(OFFSET(BR72,,,,-MIN(BR$14,$E73*4)))*1/($E73*4),2*1/($E73*4)*BS71))</f>
        <v>-1389192.1189176834</v>
      </c>
      <c r="BT73" s="15">
        <f t="shared" ref="BT73" ca="1" si="825">-IF(BT$12=1,SUM(BT71:BT72),IF($F73="SL",SUM(OFFSET(BS72,,,,-MIN(BS$14,$E73*4)))*1/($E73*4),2*1/($E73*4)*BT71))</f>
        <v>-1398815.9944103658</v>
      </c>
      <c r="BU73" s="15">
        <f t="shared" ref="BU73" ca="1" si="826">-IF(BU$12=1,SUM(BU71:BU72),IF($F73="SL",SUM(OFFSET(BT72,,,,-MIN(BT$14,$E73*4)))*1/($E73*4),2*1/($E73*4)*BU71))</f>
        <v>-1408506.5410122764</v>
      </c>
      <c r="BV73" s="15">
        <f t="shared" ref="BV73" ca="1" si="827">-IF(BV$12=1,SUM(BV71:BV72),IF($F73="SL",SUM(OFFSET(BU72,,,,-MIN(BU$14,$E73*4)))*1/($E73*4),2*1/($E73*4)*BV71))</f>
        <v>-1418264.2205993815</v>
      </c>
      <c r="BW73" s="15">
        <f t="shared" ref="BW73" ca="1" si="828">-IF(BW$12=1,SUM(BW71:BW72),IF($F73="SL",SUM(OFFSET(BV72,,,,-MIN(BV$14,$E73*4)))*1/($E73*4),2*1/($E73*4)*BW71))</f>
        <v>-1428089.498247378</v>
      </c>
      <c r="BX73" s="15">
        <f t="shared" ref="BX73" ca="1" si="829">-IF(BX$12=1,SUM(BX71:BX72),IF($F73="SL",SUM(OFFSET(BW72,,,,-MIN(BW$14,$E73*4)))*1/($E73*4),2*1/($E73*4)*BX71))</f>
        <v>-1437982.8422538559</v>
      </c>
      <c r="BY73" s="15">
        <f t="shared" ref="BY73" ca="1" si="830">-IF(BY$12=1,SUM(BY71:BY72),IF($F73="SL",SUM(OFFSET(BX72,,,,-MIN(BX$14,$E73*4)))*1/($E73*4),2*1/($E73*4)*BY71))</f>
        <v>-1447944.7241606195</v>
      </c>
      <c r="BZ73" s="15">
        <f t="shared" ref="BZ73" ca="1" si="831">-IF(BZ$12=1,SUM(BZ71:BZ72),IF($F73="SL",SUM(OFFSET(BY72,,,,-MIN(BY$14,$E73*4)))*1/($E73*4),2*1/($E73*4)*BZ71))</f>
        <v>-1457975.618776164</v>
      </c>
      <c r="CA73" s="15">
        <f t="shared" ref="CA73" ca="1" si="832">-IF(CA$12=1,SUM(CA71:CA72),IF($F73="SL",SUM(OFFSET(BZ72,,,,-MIN(BZ$14,$E73*4)))*1/($E73*4),2*1/($E73*4)*CA71))</f>
        <v>-1468076.0041983044</v>
      </c>
      <c r="CB73" s="15">
        <f t="shared" ref="CB73" ca="1" si="833">-IF(CB$12=1,SUM(CB71:CB72),IF($F73="SL",SUM(OFFSET(CA72,,,,-MIN(CA$14,$E73*4)))*1/($E73*4),2*1/($E73*4)*CB71))</f>
        <v>-1478246.3618369631</v>
      </c>
      <c r="CC73" s="15">
        <f t="shared" ref="CC73" ca="1" si="834">-IF(CC$12=1,SUM(CC71:CC72),IF($F73="SL",SUM(OFFSET(CB72,,,,-MIN(CB$14,$E73*4)))*1/($E73*4),2*1/($E73*4)*CC71))</f>
        <v>-1488487.1764371162</v>
      </c>
      <c r="CD73" s="15">
        <f t="shared" ref="CD73" ca="1" si="835">-IF(CD$12=1,SUM(CD71:CD72),IF($F73="SL",SUM(OFFSET(CC72,,,,-MIN(CC$14,$E73*4)))*1/($E73*4),2*1/($E73*4)*CD71))</f>
        <v>-1498798.9361018962</v>
      </c>
      <c r="CE73" s="15">
        <f t="shared" ref="CE73" ca="1" si="836">-IF(CE$12=1,SUM(CE71:CE72),IF($F73="SL",SUM(OFFSET(CD72,,,,-MIN(CD$14,$E73*4)))*1/($E73*4),2*1/($E73*4)*CE71))</f>
        <v>-1509182.1323158566</v>
      </c>
      <c r="CF73" s="15">
        <f t="shared" ref="CF73" ca="1" si="837">-IF(CF$12=1,SUM(CF71:CF72),IF($F73="SL",SUM(OFFSET(CE72,,,,-MIN(CE$14,$E73*4)))*1/($E73*4),2*1/($E73*4)*CF71))</f>
        <v>-1519637.2599683979</v>
      </c>
      <c r="CG73" s="15">
        <f t="shared" ref="CG73" ca="1" si="838">-IF(CG$12=1,SUM(CG71:CG72),IF($F73="SL",SUM(OFFSET(CF72,,,,-MIN(CF$14,$E73*4)))*1/($E73*4),2*1/($E73*4)*CG71))</f>
        <v>-1530164.8173773554</v>
      </c>
      <c r="CH73" s="15">
        <f t="shared" ref="CH73" ca="1" si="839">-IF(CH$12=1,SUM(CH71:CH72),IF($F73="SL",SUM(OFFSET(CG72,,,,-MIN(CG$14,$E73*4)))*1/($E73*4),2*1/($E73*4)*CH71))</f>
        <v>-1540765.3063127487</v>
      </c>
      <c r="CI73" s="15">
        <f t="shared" ref="CI73" ca="1" si="840">-IF(CI$12=1,SUM(CI71:CI72),IF($F73="SL",SUM(OFFSET(CH72,,,,-MIN(CH$14,$E73*4)))*1/($E73*4),2*1/($E73*4)*CI71))</f>
        <v>-1551439.2320206999</v>
      </c>
      <c r="CJ73" s="15">
        <f t="shared" ref="CJ73" ca="1" si="841">-IF(CJ$12=1,SUM(CJ71:CJ72),IF($F73="SL",SUM(OFFSET(CI72,,,,-MIN(CI$14,$E73*4)))*1/($E73*4),2*1/($E73*4)*CJ71))</f>
        <v>-1562187.1032475126</v>
      </c>
      <c r="CK73" s="15">
        <f t="shared" ref="CK73" ca="1" si="842">-IF(CK$12=1,SUM(CK71:CK72),IF($F73="SL",SUM(OFFSET(CJ72,,,,-MIN(CJ$14,$E73*4)))*1/($E73*4),2*1/($E73*4)*CK71))</f>
        <v>-1573009.4322639205</v>
      </c>
      <c r="CL73" s="15">
        <f t="shared" ref="CL73" ca="1" si="843">-IF(CL$12=1,SUM(CL71:CL72),IF($F73="SL",SUM(OFFSET(CK72,,,,-MIN(CK$14,$E73*4)))*1/($E73*4),2*1/($E73*4)*CL71))</f>
        <v>-1583906.7348895054</v>
      </c>
      <c r="CM73" s="15">
        <f t="shared" ref="CM73" ca="1" si="844">-IF(CM$12=1,SUM(CM71:CM72),IF($F73="SL",SUM(OFFSET(CL72,,,,-MIN(CL$14,$E73*4)))*1/($E73*4),2*1/($E73*4)*CM71))</f>
        <v>-1594879.5305172794</v>
      </c>
      <c r="CN73" s="75">
        <f t="shared" ref="CN73" ca="1" si="845">-IF(CN$12=1,SUM(CN71:CN72),IF($F73="SL",SUM(OFFSET(CM72,,,,-MIN(CM$14,$E73*4)))*1/($E73*4),2*1/($E73*4)*CN71))</f>
        <v>-17230772.795960441</v>
      </c>
    </row>
    <row r="74" spans="1:92" ht="12.75" customHeight="1" x14ac:dyDescent="0.3">
      <c r="D74" s="50" t="s">
        <v>184</v>
      </c>
      <c r="H74" s="16" t="s">
        <v>1</v>
      </c>
      <c r="J74" s="50">
        <f t="shared" ref="J74" ca="1" si="846">SUM(J71:J73)</f>
        <v>0</v>
      </c>
      <c r="L74" s="83">
        <v>0</v>
      </c>
      <c r="M74" s="50">
        <f t="shared" ref="M74" ca="1" si="847">SUM(M71:M73)</f>
        <v>0</v>
      </c>
      <c r="N74" s="50">
        <f t="shared" ref="N74" ca="1" si="848">SUM(N71:N73)</f>
        <v>0</v>
      </c>
      <c r="O74" s="50">
        <f t="shared" ref="O74" ca="1" si="849">SUM(O71:O73)</f>
        <v>0</v>
      </c>
      <c r="P74" s="50">
        <f t="shared" ref="P74" ca="1" si="850">SUM(P71:P73)</f>
        <v>0</v>
      </c>
      <c r="Q74" s="50">
        <f t="shared" ref="Q74" ca="1" si="851">SUM(Q71:Q73)</f>
        <v>0</v>
      </c>
      <c r="R74" s="50">
        <f t="shared" ref="R74" ca="1" si="852">SUM(R71:R73)</f>
        <v>0</v>
      </c>
      <c r="S74" s="50">
        <f t="shared" ref="S74" ca="1" si="853">SUM(S71:S73)</f>
        <v>0</v>
      </c>
      <c r="T74" s="50">
        <f t="shared" ref="T74" ca="1" si="854">SUM(T71:T73)</f>
        <v>0</v>
      </c>
      <c r="U74" s="50">
        <f t="shared" ref="U74" ca="1" si="855">SUM(U71:U73)</f>
        <v>1056783.9999999995</v>
      </c>
      <c r="V74" s="50">
        <f t="shared" ref="V74" ca="1" si="856">SUM(V71:V73)</f>
        <v>2068049.8591250556</v>
      </c>
      <c r="W74" s="50">
        <f t="shared" ref="W74" ca="1" si="857">SUM(W71:W73)</f>
        <v>3033482.2423581658</v>
      </c>
      <c r="X74" s="50">
        <f t="shared" ref="X74" ca="1" si="858">SUM(X71:X73)</f>
        <v>3952763.6301429095</v>
      </c>
      <c r="Y74" s="50">
        <f t="shared" ref="Y74" ca="1" si="859">SUM(Y71:Y73)</f>
        <v>4825574.3032496646</v>
      </c>
      <c r="Z74" s="50">
        <f t="shared" ref="Z74" ca="1" si="860">SUM(Z71:Z73)</f>
        <v>5651592.3275369778</v>
      </c>
      <c r="AA74" s="50">
        <f t="shared" ref="AA74" ca="1" si="861">SUM(AA71:AA73)</f>
        <v>6430493.538607371</v>
      </c>
      <c r="AB74" s="50">
        <f t="shared" ref="AB74" ca="1" si="862">SUM(AB71:AB73)</f>
        <v>7161951.5263568433</v>
      </c>
      <c r="AC74" s="50">
        <f t="shared" ref="AC74" ca="1" si="863">SUM(AC71:AC73)</f>
        <v>7845637.6194173433</v>
      </c>
      <c r="AD74" s="50">
        <f t="shared" ref="AD74" ca="1" si="864">SUM(AD71:AD73)</f>
        <v>8481220.8694914561</v>
      </c>
      <c r="AE74" s="50">
        <f t="shared" ref="AE74" ca="1" si="865">SUM(AE71:AE73)</f>
        <v>9068368.035578575</v>
      </c>
      <c r="AF74" s="50">
        <f t="shared" ref="AF74" ca="1" si="866">SUM(AF71:AF73)</f>
        <v>9606743.5680917893</v>
      </c>
      <c r="AG74" s="50">
        <f t="shared" ref="AG74" ca="1" si="867">SUM(AG71:AG73)</f>
        <v>10096009.592864739</v>
      </c>
      <c r="AH74" s="50">
        <f t="shared" ref="AH74" ca="1" si="868">SUM(AH71:AH73)</f>
        <v>10535825.895047683</v>
      </c>
      <c r="AI74" s="50">
        <f t="shared" ref="AI74" ca="1" si="869">SUM(AI71:AI73)</f>
        <v>10925849.902891997</v>
      </c>
      <c r="AJ74" s="50">
        <f t="shared" ref="AJ74" ca="1" si="870">SUM(AJ71:AJ73)</f>
        <v>11265736.671422336</v>
      </c>
      <c r="AK74" s="50">
        <f t="shared" ref="AK74" ca="1" si="871">SUM(AK71:AK73)</f>
        <v>11555138.865995685</v>
      </c>
      <c r="AL74" s="50">
        <f t="shared" ref="AL74" ca="1" si="872">SUM(AL71:AL73)</f>
        <v>11793706.745746506</v>
      </c>
      <c r="AM74" s="50">
        <f t="shared" ref="AM74" ca="1" si="873">SUM(AM71:AM73)</f>
        <v>11981088.146917218</v>
      </c>
      <c r="AN74" s="50">
        <f t="shared" ref="AN74" ca="1" si="874">SUM(AN71:AN73)</f>
        <v>12116928.466073163</v>
      </c>
      <c r="AO74" s="50">
        <f t="shared" ref="AO74" ca="1" si="875">SUM(AO71:AO73)</f>
        <v>12200870.64320132</v>
      </c>
      <c r="AP74" s="50">
        <f t="shared" ref="AP74" ca="1" si="876">SUM(AP71:AP73)</f>
        <v>12285394.344691921</v>
      </c>
      <c r="AQ74" s="50">
        <f t="shared" ref="AQ74" ca="1" si="877">SUM(AQ71:AQ73)</f>
        <v>12370503.599158419</v>
      </c>
      <c r="AR74" s="50">
        <f t="shared" ref="AR74" ca="1" si="878">SUM(AR71:AR73)</f>
        <v>12456202.463123206</v>
      </c>
      <c r="AS74" s="50">
        <f t="shared" ref="AS74" ca="1" si="879">SUM(AS71:AS73)</f>
        <v>12542495.02121095</v>
      </c>
      <c r="AT74" s="50">
        <f t="shared" ref="AT74" ca="1" si="880">SUM(AT71:AT73)</f>
        <v>12629385.386343287</v>
      </c>
      <c r="AU74" s="50">
        <f t="shared" ref="AU74" ca="1" si="881">SUM(AU71:AU73)</f>
        <v>12716877.69993485</v>
      </c>
      <c r="AV74" s="50">
        <f t="shared" ref="AV74" ca="1" si="882">SUM(AV71:AV73)</f>
        <v>12804976.13209065</v>
      </c>
      <c r="AW74" s="50">
        <f t="shared" ref="AW74" ca="1" si="883">SUM(AW71:AW73)</f>
        <v>12893684.881804854</v>
      </c>
      <c r="AX74" s="50">
        <f t="shared" ref="AX74" ca="1" si="884">SUM(AX71:AX73)</f>
        <v>12983008.177160898</v>
      </c>
      <c r="AY74" s="50">
        <f t="shared" ref="AY74" ca="1" si="885">SUM(AY71:AY73)</f>
        <v>13072950.275533024</v>
      </c>
      <c r="AZ74" s="50">
        <f t="shared" ref="AZ74" ca="1" si="886">SUM(AZ71:AZ73)</f>
        <v>13163515.463789187</v>
      </c>
      <c r="BA74" s="50">
        <f t="shared" ref="BA74" ca="1" si="887">SUM(BA71:BA73)</f>
        <v>13254708.058495387</v>
      </c>
      <c r="BB74" s="50">
        <f t="shared" ref="BB74" ca="1" si="888">SUM(BB71:BB73)</f>
        <v>13346532.406121399</v>
      </c>
      <c r="BC74" s="50">
        <f t="shared" ref="BC74" ca="1" si="889">SUM(BC71:BC73)</f>
        <v>13438992.883247944</v>
      </c>
      <c r="BD74" s="50">
        <f t="shared" ref="BD74" ca="1" si="890">SUM(BD71:BD73)</f>
        <v>13532093.896775281</v>
      </c>
      <c r="BE74" s="50">
        <f t="shared" ref="BE74" ca="1" si="891">SUM(BE71:BE73)</f>
        <v>13625839.884133255</v>
      </c>
      <c r="BF74" s="50">
        <f t="shared" ref="BF74" ca="1" si="892">SUM(BF71:BF73)</f>
        <v>13720235.313492795</v>
      </c>
      <c r="BG74" s="50">
        <f t="shared" ref="BG74" ca="1" si="893">SUM(BG71:BG73)</f>
        <v>13815284.683978882</v>
      </c>
      <c r="BH74" s="50">
        <f t="shared" ref="BH74" ca="1" si="894">SUM(BH71:BH73)</f>
        <v>13910992.525884984</v>
      </c>
      <c r="BI74" s="50">
        <f t="shared" ref="BI74" ca="1" si="895">SUM(BI71:BI73)</f>
        <v>14007363.400888981</v>
      </c>
      <c r="BJ74" s="50">
        <f t="shared" ref="BJ74" ca="1" si="896">SUM(BJ71:BJ73)</f>
        <v>14104401.902270589</v>
      </c>
      <c r="BK74" s="50">
        <f t="shared" ref="BK74" ca="1" si="897">SUM(BK71:BK73)</f>
        <v>14202112.655130286</v>
      </c>
      <c r="BL74" s="50">
        <f t="shared" ref="BL74" ca="1" si="898">SUM(BL71:BL73)</f>
        <v>14300500.316609759</v>
      </c>
      <c r="BM74" s="50">
        <f t="shared" ref="BM74" ca="1" si="899">SUM(BM71:BM73)</f>
        <v>14399569.576113867</v>
      </c>
      <c r="BN74" s="50">
        <f t="shared" ref="BN74" ca="1" si="900">SUM(BN71:BN73)</f>
        <v>14499325.155534159</v>
      </c>
      <c r="BO74" s="50">
        <f t="shared" ref="BO74" ca="1" si="901">SUM(BO71:BO73)</f>
        <v>14599771.809473928</v>
      </c>
      <c r="BP74" s="50">
        <f t="shared" ref="BP74" ca="1" si="902">SUM(BP71:BP73)</f>
        <v>14700914.325474825</v>
      </c>
      <c r="BQ74" s="50">
        <f t="shared" ref="BQ74" ca="1" si="903">SUM(BQ71:BQ73)</f>
        <v>14802757.524245048</v>
      </c>
      <c r="BR74" s="50">
        <f t="shared" ref="BR74" ca="1" si="904">SUM(BR71:BR73)</f>
        <v>14905306.259889111</v>
      </c>
      <c r="BS74" s="50">
        <f t="shared" ref="BS74" ca="1" si="905">SUM(BS71:BS73)</f>
        <v>15008565.420139194</v>
      </c>
      <c r="BT74" s="50">
        <f t="shared" ref="BT74" ca="1" si="906">SUM(BT71:BT73)</f>
        <v>15112539.926588116</v>
      </c>
      <c r="BU74" s="50">
        <f t="shared" ref="BU74" ca="1" si="907">SUM(BU71:BU73)</f>
        <v>15217234.734923907</v>
      </c>
      <c r="BV74" s="50">
        <f t="shared" ref="BV74" ca="1" si="908">SUM(BV71:BV73)</f>
        <v>15322654.835166002</v>
      </c>
      <c r="BW74" s="50">
        <f t="shared" ref="BW74" ca="1" si="909">SUM(BW71:BW73)</f>
        <v>15428805.251903087</v>
      </c>
      <c r="BX74" s="50">
        <f t="shared" ref="BX74" ca="1" si="910">SUM(BX71:BX73)</f>
        <v>15535691.044532578</v>
      </c>
      <c r="BY74" s="50">
        <f t="shared" ref="BY74" ca="1" si="911">SUM(BY71:BY73)</f>
        <v>15643317.307501771</v>
      </c>
      <c r="BZ74" s="50">
        <f t="shared" ref="BZ74" ca="1" si="912">SUM(BZ71:BZ73)</f>
        <v>15751689.170550644</v>
      </c>
      <c r="CA74" s="50">
        <f t="shared" ref="CA74" ca="1" si="913">SUM(CA71:CA73)</f>
        <v>15860811.798956368</v>
      </c>
      <c r="CB74" s="50">
        <f t="shared" ref="CB74" ca="1" si="914">SUM(CB71:CB73)</f>
        <v>15970690.393779486</v>
      </c>
      <c r="CC74" s="50">
        <f t="shared" ref="CC74" ca="1" si="915">SUM(CC71:CC73)</f>
        <v>16081330.192111816</v>
      </c>
      <c r="CD74" s="50">
        <f t="shared" ref="CD74" ca="1" si="916">SUM(CD71:CD73)</f>
        <v>16192736.467326058</v>
      </c>
      <c r="CE74" s="50">
        <f t="shared" ref="CE74" ca="1" si="917">SUM(CE71:CE73)</f>
        <v>16304914.529327141</v>
      </c>
      <c r="CF74" s="50">
        <f t="shared" ref="CF74" ca="1" si="918">SUM(CF71:CF73)</f>
        <v>16417869.724805305</v>
      </c>
      <c r="CG74" s="50">
        <f t="shared" ref="CG74" ca="1" si="919">SUM(CG71:CG73)</f>
        <v>16531607.43749094</v>
      </c>
      <c r="CH74" s="50">
        <f t="shared" ref="CH74" ca="1" si="920">SUM(CH71:CH73)</f>
        <v>16646133.08841118</v>
      </c>
      <c r="CI74" s="50">
        <f t="shared" ref="CI74" ca="1" si="921">SUM(CI71:CI73)</f>
        <v>16761452.136148294</v>
      </c>
      <c r="CJ74" s="50">
        <f t="shared" ref="CJ74" ca="1" si="922">SUM(CJ71:CJ73)</f>
        <v>16877570.077099849</v>
      </c>
      <c r="CK74" s="50">
        <f t="shared" ref="CK74" ca="1" si="923">SUM(CK71:CK73)</f>
        <v>16994492.445740681</v>
      </c>
      <c r="CL74" s="50">
        <f t="shared" ref="CL74" ca="1" si="924">SUM(CL71:CL73)</f>
        <v>17112224.814886689</v>
      </c>
      <c r="CM74" s="50">
        <f t="shared" ref="CM74" ca="1" si="925">SUM(CM71:CM73)</f>
        <v>17230772.795960441</v>
      </c>
      <c r="CN74" s="50">
        <f t="shared" ref="CN74" ca="1" si="926">SUM(CN71:CN73)</f>
        <v>0</v>
      </c>
    </row>
    <row r="75" spans="1:92" ht="12.75" customHeight="1" x14ac:dyDescent="0.3">
      <c r="D75" s="84"/>
      <c r="E75" s="85"/>
      <c r="F75" s="85"/>
      <c r="G75" s="85"/>
      <c r="H75" s="86"/>
      <c r="I75" s="87"/>
      <c r="J75" s="84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</row>
    <row r="76" spans="1:92" ht="12.75" customHeight="1" x14ac:dyDescent="0.3">
      <c r="D76" s="15"/>
      <c r="H76" s="16"/>
      <c r="J76" s="15"/>
    </row>
    <row r="77" spans="1:92" ht="13.2" x14ac:dyDescent="0.25">
      <c r="A77" s="14">
        <f>MAX(A$3:A76)+0.01</f>
        <v>3.0499999999999989</v>
      </c>
      <c r="B77" s="14"/>
      <c r="C77" s="14" t="s">
        <v>190</v>
      </c>
      <c r="D77" s="20"/>
      <c r="E77" s="14"/>
      <c r="F77" s="14"/>
      <c r="G77" s="14"/>
      <c r="H77" s="57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</row>
    <row r="78" spans="1:92" customFormat="1" ht="12.75" customHeight="1" x14ac:dyDescent="0.3">
      <c r="A78" s="1"/>
      <c r="B78" s="1"/>
      <c r="C78" s="7"/>
      <c r="D78" s="15"/>
      <c r="E78" s="1"/>
      <c r="F78" s="1"/>
      <c r="G78" s="1"/>
      <c r="H78" s="1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ht="12.75" customHeight="1" x14ac:dyDescent="0.3">
      <c r="C79" s="24">
        <v>1</v>
      </c>
      <c r="D79" s="17" t="str">
        <f>INDEX(Ass!$D$107:$D$111,CapexDA!$C79)</f>
        <v>Asset Class 1</v>
      </c>
      <c r="H79" s="16"/>
      <c r="J79" s="15"/>
    </row>
    <row r="80" spans="1:92" ht="12.75" customHeight="1" x14ac:dyDescent="0.3">
      <c r="D80" s="15" t="s">
        <v>181</v>
      </c>
      <c r="H80" s="16" t="s">
        <v>1</v>
      </c>
      <c r="J80" s="15"/>
      <c r="L80" s="80">
        <v>0</v>
      </c>
      <c r="M80" s="15">
        <f t="shared" ref="M80:BX80" si="927">L83</f>
        <v>0</v>
      </c>
      <c r="N80" s="15">
        <f t="shared" ca="1" si="927"/>
        <v>0</v>
      </c>
      <c r="O80" s="15">
        <f t="shared" ca="1" si="927"/>
        <v>906234.9100786451</v>
      </c>
      <c r="P80" s="15">
        <f t="shared" ca="1" si="927"/>
        <v>830715.33423875808</v>
      </c>
      <c r="Q80" s="15">
        <f t="shared" ca="1" si="927"/>
        <v>761489.0563855283</v>
      </c>
      <c r="R80" s="15">
        <f t="shared" ca="1" si="927"/>
        <v>698031.63502006757</v>
      </c>
      <c r="S80" s="15">
        <f t="shared" ca="1" si="927"/>
        <v>639862.33210172865</v>
      </c>
      <c r="T80" s="15">
        <f t="shared" ca="1" si="927"/>
        <v>586540.47109325125</v>
      </c>
      <c r="U80" s="15">
        <f t="shared" ca="1" si="927"/>
        <v>537662.09850214701</v>
      </c>
      <c r="V80" s="15">
        <f t="shared" ca="1" si="927"/>
        <v>492856.92362696811</v>
      </c>
      <c r="W80" s="15">
        <f t="shared" ca="1" si="927"/>
        <v>451785.51332472079</v>
      </c>
      <c r="X80" s="15">
        <f t="shared" ca="1" si="927"/>
        <v>414136.72054766072</v>
      </c>
      <c r="Y80" s="15">
        <f t="shared" ca="1" si="927"/>
        <v>379625.32716868899</v>
      </c>
      <c r="Z80" s="15">
        <f t="shared" ca="1" si="927"/>
        <v>347989.88323796494</v>
      </c>
      <c r="AA80" s="15">
        <f t="shared" ca="1" si="927"/>
        <v>318990.72630146786</v>
      </c>
      <c r="AB80" s="15">
        <f t="shared" ca="1" si="927"/>
        <v>292408.16577634553</v>
      </c>
      <c r="AC80" s="15">
        <f t="shared" ca="1" si="927"/>
        <v>268040.81862831675</v>
      </c>
      <c r="AD80" s="15">
        <f t="shared" ca="1" si="927"/>
        <v>245704.08374262368</v>
      </c>
      <c r="AE80" s="15">
        <f t="shared" ca="1" si="927"/>
        <v>225228.74343073837</v>
      </c>
      <c r="AF80" s="15">
        <f t="shared" ca="1" si="927"/>
        <v>206459.68147817685</v>
      </c>
      <c r="AG80" s="15">
        <f t="shared" ca="1" si="927"/>
        <v>189254.70802166211</v>
      </c>
      <c r="AH80" s="15">
        <f t="shared" ca="1" si="927"/>
        <v>173483.48235319028</v>
      </c>
      <c r="AI80" s="15">
        <f t="shared" ca="1" si="927"/>
        <v>159026.52549042442</v>
      </c>
      <c r="AJ80" s="15">
        <f t="shared" ca="1" si="927"/>
        <v>145774.31503288905</v>
      </c>
      <c r="AK80" s="15">
        <f t="shared" ca="1" si="927"/>
        <v>133626.45544681497</v>
      </c>
      <c r="AL80" s="15">
        <f t="shared" ca="1" si="927"/>
        <v>122490.91749291372</v>
      </c>
      <c r="AM80" s="15">
        <f t="shared" ca="1" si="927"/>
        <v>112283.34103517092</v>
      </c>
      <c r="AN80" s="15">
        <f t="shared" ca="1" si="927"/>
        <v>102926.39594890668</v>
      </c>
      <c r="AO80" s="15">
        <f t="shared" ca="1" si="927"/>
        <v>94349.196286497783</v>
      </c>
      <c r="AP80" s="15">
        <f t="shared" ca="1" si="927"/>
        <v>86486.763262622961</v>
      </c>
      <c r="AQ80" s="15">
        <f t="shared" ca="1" si="927"/>
        <v>79279.532990737716</v>
      </c>
      <c r="AR80" s="15">
        <f t="shared" ca="1" si="927"/>
        <v>72672.905241509579</v>
      </c>
      <c r="AS80" s="15">
        <f t="shared" ca="1" si="927"/>
        <v>66616.829804717112</v>
      </c>
      <c r="AT80" s="15">
        <f t="shared" ca="1" si="927"/>
        <v>61065.427320990682</v>
      </c>
      <c r="AU80" s="15">
        <f t="shared" ca="1" si="927"/>
        <v>55976.641710908123</v>
      </c>
      <c r="AV80" s="15">
        <f t="shared" ca="1" si="927"/>
        <v>51311.921568332444</v>
      </c>
      <c r="AW80" s="15">
        <f t="shared" ca="1" si="927"/>
        <v>47035.928104304738</v>
      </c>
      <c r="AX80" s="15">
        <f t="shared" ca="1" si="927"/>
        <v>43116.267428946012</v>
      </c>
      <c r="AY80" s="15">
        <f t="shared" ca="1" si="927"/>
        <v>39523.245143200511</v>
      </c>
      <c r="AZ80" s="15">
        <f t="shared" ca="1" si="927"/>
        <v>36229.641381267138</v>
      </c>
      <c r="BA80" s="15">
        <f t="shared" ca="1" si="927"/>
        <v>33210.504599494874</v>
      </c>
      <c r="BB80" s="15">
        <f t="shared" ca="1" si="927"/>
        <v>30442.962549536969</v>
      </c>
      <c r="BC80" s="15">
        <f t="shared" ca="1" si="927"/>
        <v>27906.049003742221</v>
      </c>
      <c r="BD80" s="15">
        <f t="shared" ca="1" si="927"/>
        <v>25580.544920097036</v>
      </c>
      <c r="BE80" s="15">
        <f t="shared" ca="1" si="927"/>
        <v>23448.832843422282</v>
      </c>
      <c r="BF80" s="15">
        <f t="shared" ca="1" si="927"/>
        <v>21494.763439803759</v>
      </c>
      <c r="BG80" s="15">
        <f t="shared" ca="1" si="927"/>
        <v>19703.533153153447</v>
      </c>
      <c r="BH80" s="15">
        <f t="shared" ca="1" si="927"/>
        <v>18061.572057057325</v>
      </c>
      <c r="BI80" s="15">
        <f t="shared" ca="1" si="927"/>
        <v>16556.441052302547</v>
      </c>
      <c r="BJ80" s="15">
        <f t="shared" ca="1" si="927"/>
        <v>15176.737631277334</v>
      </c>
      <c r="BK80" s="15">
        <f t="shared" ca="1" si="927"/>
        <v>13912.009495337556</v>
      </c>
      <c r="BL80" s="15">
        <f t="shared" ca="1" si="927"/>
        <v>12752.675370726092</v>
      </c>
      <c r="BM80" s="15">
        <f t="shared" ca="1" si="927"/>
        <v>11689.952423165585</v>
      </c>
      <c r="BN80" s="15">
        <f t="shared" ca="1" si="927"/>
        <v>10715.78972123512</v>
      </c>
      <c r="BO80" s="15">
        <f t="shared" ca="1" si="927"/>
        <v>9822.8072444655263</v>
      </c>
      <c r="BP80" s="15">
        <f t="shared" ca="1" si="927"/>
        <v>9004.2399740933997</v>
      </c>
      <c r="BQ80" s="15">
        <f t="shared" ca="1" si="927"/>
        <v>8253.8866429189493</v>
      </c>
      <c r="BR80" s="15">
        <f t="shared" ca="1" si="927"/>
        <v>7566.062756009037</v>
      </c>
      <c r="BS80" s="15">
        <f t="shared" ca="1" si="927"/>
        <v>6935.5575263416176</v>
      </c>
      <c r="BT80" s="15">
        <f t="shared" ca="1" si="927"/>
        <v>6357.5943991464828</v>
      </c>
      <c r="BU80" s="15">
        <f t="shared" ca="1" si="927"/>
        <v>5827.7948658842761</v>
      </c>
      <c r="BV80" s="15">
        <f t="shared" ca="1" si="927"/>
        <v>5342.1452937272534</v>
      </c>
      <c r="BW80" s="15">
        <f t="shared" ca="1" si="927"/>
        <v>4896.9665192499824</v>
      </c>
      <c r="BX80" s="15">
        <f t="shared" ca="1" si="927"/>
        <v>4488.8859759791503</v>
      </c>
      <c r="BY80" s="15">
        <f t="shared" ref="BY80:CN80" ca="1" si="928">BX83</f>
        <v>4114.8121446475543</v>
      </c>
      <c r="BZ80" s="15">
        <f t="shared" ca="1" si="928"/>
        <v>3771.9111325935914</v>
      </c>
      <c r="CA80" s="15">
        <f t="shared" ca="1" si="928"/>
        <v>3457.5852048774586</v>
      </c>
      <c r="CB80" s="15">
        <f t="shared" ca="1" si="928"/>
        <v>3169.4531044710038</v>
      </c>
      <c r="CC80" s="15">
        <f t="shared" ca="1" si="928"/>
        <v>2905.3320124317534</v>
      </c>
      <c r="CD80" s="15">
        <f t="shared" ca="1" si="928"/>
        <v>2663.221011395774</v>
      </c>
      <c r="CE80" s="15">
        <f t="shared" ca="1" si="928"/>
        <v>2441.2859271127927</v>
      </c>
      <c r="CF80" s="15">
        <f t="shared" ca="1" si="928"/>
        <v>2237.8454331867265</v>
      </c>
      <c r="CG80" s="15">
        <f t="shared" ca="1" si="928"/>
        <v>2051.3583137544992</v>
      </c>
      <c r="CH80" s="15">
        <f t="shared" ca="1" si="928"/>
        <v>1880.411787608291</v>
      </c>
      <c r="CI80" s="15">
        <f t="shared" ca="1" si="928"/>
        <v>1723.7108053076001</v>
      </c>
      <c r="CJ80" s="15">
        <f t="shared" ca="1" si="928"/>
        <v>1580.0682381986335</v>
      </c>
      <c r="CK80" s="15">
        <f t="shared" ca="1" si="928"/>
        <v>1448.395885015414</v>
      </c>
      <c r="CL80" s="15">
        <f t="shared" ca="1" si="928"/>
        <v>1327.6962279307961</v>
      </c>
      <c r="CM80" s="15">
        <f t="shared" ca="1" si="928"/>
        <v>1217.0548756032297</v>
      </c>
      <c r="CN80" s="15">
        <f t="shared" ca="1" si="928"/>
        <v>1115.6336359696272</v>
      </c>
    </row>
    <row r="81" spans="3:92" ht="12.75" customHeight="1" x14ac:dyDescent="0.3">
      <c r="D81" s="15" t="s">
        <v>182</v>
      </c>
      <c r="H81" s="16" t="s">
        <v>1</v>
      </c>
      <c r="J81" s="58">
        <f>SUM(L81:CN81)</f>
        <v>906234.9100786451</v>
      </c>
      <c r="L81" s="81">
        <v>0</v>
      </c>
      <c r="M81" s="78">
        <f t="shared" ref="M81:BX81" si="929">INDEX(M$19:M$23,$C79)</f>
        <v>0</v>
      </c>
      <c r="N81" s="78">
        <f t="shared" si="929"/>
        <v>906234.9100786451</v>
      </c>
      <c r="O81" s="78">
        <f t="shared" si="929"/>
        <v>0</v>
      </c>
      <c r="P81" s="78">
        <f t="shared" si="929"/>
        <v>0</v>
      </c>
      <c r="Q81" s="78">
        <f t="shared" si="929"/>
        <v>0</v>
      </c>
      <c r="R81" s="78">
        <f t="shared" si="929"/>
        <v>0</v>
      </c>
      <c r="S81" s="78">
        <f t="shared" si="929"/>
        <v>0</v>
      </c>
      <c r="T81" s="78">
        <f t="shared" si="929"/>
        <v>0</v>
      </c>
      <c r="U81" s="78">
        <f t="shared" si="929"/>
        <v>0</v>
      </c>
      <c r="V81" s="78">
        <f t="shared" si="929"/>
        <v>0</v>
      </c>
      <c r="W81" s="78">
        <f t="shared" si="929"/>
        <v>0</v>
      </c>
      <c r="X81" s="78">
        <f t="shared" si="929"/>
        <v>0</v>
      </c>
      <c r="Y81" s="78">
        <f t="shared" si="929"/>
        <v>0</v>
      </c>
      <c r="Z81" s="78">
        <f t="shared" si="929"/>
        <v>0</v>
      </c>
      <c r="AA81" s="78">
        <f t="shared" si="929"/>
        <v>0</v>
      </c>
      <c r="AB81" s="78">
        <f t="shared" si="929"/>
        <v>0</v>
      </c>
      <c r="AC81" s="78">
        <f t="shared" si="929"/>
        <v>0</v>
      </c>
      <c r="AD81" s="78">
        <f t="shared" si="929"/>
        <v>0</v>
      </c>
      <c r="AE81" s="78">
        <f t="shared" si="929"/>
        <v>0</v>
      </c>
      <c r="AF81" s="78">
        <f t="shared" si="929"/>
        <v>0</v>
      </c>
      <c r="AG81" s="78">
        <f t="shared" si="929"/>
        <v>0</v>
      </c>
      <c r="AH81" s="78">
        <f t="shared" si="929"/>
        <v>0</v>
      </c>
      <c r="AI81" s="78">
        <f t="shared" si="929"/>
        <v>0</v>
      </c>
      <c r="AJ81" s="78">
        <f t="shared" si="929"/>
        <v>0</v>
      </c>
      <c r="AK81" s="78">
        <f t="shared" si="929"/>
        <v>0</v>
      </c>
      <c r="AL81" s="78">
        <f t="shared" si="929"/>
        <v>0</v>
      </c>
      <c r="AM81" s="78">
        <f t="shared" si="929"/>
        <v>0</v>
      </c>
      <c r="AN81" s="78">
        <f t="shared" si="929"/>
        <v>0</v>
      </c>
      <c r="AO81" s="78">
        <f t="shared" si="929"/>
        <v>0</v>
      </c>
      <c r="AP81" s="78">
        <f t="shared" si="929"/>
        <v>0</v>
      </c>
      <c r="AQ81" s="78">
        <f t="shared" si="929"/>
        <v>0</v>
      </c>
      <c r="AR81" s="78">
        <f t="shared" si="929"/>
        <v>0</v>
      </c>
      <c r="AS81" s="78">
        <f t="shared" si="929"/>
        <v>0</v>
      </c>
      <c r="AT81" s="78">
        <f t="shared" si="929"/>
        <v>0</v>
      </c>
      <c r="AU81" s="78">
        <f t="shared" si="929"/>
        <v>0</v>
      </c>
      <c r="AV81" s="78">
        <f t="shared" si="929"/>
        <v>0</v>
      </c>
      <c r="AW81" s="78">
        <f t="shared" si="929"/>
        <v>0</v>
      </c>
      <c r="AX81" s="78">
        <f t="shared" si="929"/>
        <v>0</v>
      </c>
      <c r="AY81" s="78">
        <f t="shared" si="929"/>
        <v>0</v>
      </c>
      <c r="AZ81" s="78">
        <f t="shared" si="929"/>
        <v>0</v>
      </c>
      <c r="BA81" s="78">
        <f t="shared" si="929"/>
        <v>0</v>
      </c>
      <c r="BB81" s="78">
        <f t="shared" si="929"/>
        <v>0</v>
      </c>
      <c r="BC81" s="78">
        <f t="shared" si="929"/>
        <v>0</v>
      </c>
      <c r="BD81" s="78">
        <f t="shared" si="929"/>
        <v>0</v>
      </c>
      <c r="BE81" s="78">
        <f t="shared" si="929"/>
        <v>0</v>
      </c>
      <c r="BF81" s="78">
        <f t="shared" si="929"/>
        <v>0</v>
      </c>
      <c r="BG81" s="78">
        <f t="shared" si="929"/>
        <v>0</v>
      </c>
      <c r="BH81" s="78">
        <f t="shared" si="929"/>
        <v>0</v>
      </c>
      <c r="BI81" s="78">
        <f t="shared" si="929"/>
        <v>0</v>
      </c>
      <c r="BJ81" s="78">
        <f t="shared" si="929"/>
        <v>0</v>
      </c>
      <c r="BK81" s="78">
        <f t="shared" si="929"/>
        <v>0</v>
      </c>
      <c r="BL81" s="78">
        <f t="shared" si="929"/>
        <v>0</v>
      </c>
      <c r="BM81" s="78">
        <f t="shared" si="929"/>
        <v>0</v>
      </c>
      <c r="BN81" s="78">
        <f t="shared" si="929"/>
        <v>0</v>
      </c>
      <c r="BO81" s="78">
        <f t="shared" si="929"/>
        <v>0</v>
      </c>
      <c r="BP81" s="78">
        <f t="shared" si="929"/>
        <v>0</v>
      </c>
      <c r="BQ81" s="78">
        <f t="shared" si="929"/>
        <v>0</v>
      </c>
      <c r="BR81" s="78">
        <f t="shared" si="929"/>
        <v>0</v>
      </c>
      <c r="BS81" s="78">
        <f t="shared" si="929"/>
        <v>0</v>
      </c>
      <c r="BT81" s="78">
        <f t="shared" si="929"/>
        <v>0</v>
      </c>
      <c r="BU81" s="78">
        <f t="shared" si="929"/>
        <v>0</v>
      </c>
      <c r="BV81" s="78">
        <f t="shared" si="929"/>
        <v>0</v>
      </c>
      <c r="BW81" s="78">
        <f t="shared" si="929"/>
        <v>0</v>
      </c>
      <c r="BX81" s="78">
        <f t="shared" si="929"/>
        <v>0</v>
      </c>
      <c r="BY81" s="78">
        <f t="shared" ref="BY81:CN81" si="930">INDEX(BY$19:BY$23,$C79)</f>
        <v>0</v>
      </c>
      <c r="BZ81" s="78">
        <f t="shared" si="930"/>
        <v>0</v>
      </c>
      <c r="CA81" s="78">
        <f t="shared" si="930"/>
        <v>0</v>
      </c>
      <c r="CB81" s="78">
        <f t="shared" si="930"/>
        <v>0</v>
      </c>
      <c r="CC81" s="78">
        <f t="shared" si="930"/>
        <v>0</v>
      </c>
      <c r="CD81" s="78">
        <f t="shared" si="930"/>
        <v>0</v>
      </c>
      <c r="CE81" s="78">
        <f t="shared" si="930"/>
        <v>0</v>
      </c>
      <c r="CF81" s="78">
        <f t="shared" si="930"/>
        <v>0</v>
      </c>
      <c r="CG81" s="78">
        <f t="shared" si="930"/>
        <v>0</v>
      </c>
      <c r="CH81" s="78">
        <f t="shared" si="930"/>
        <v>0</v>
      </c>
      <c r="CI81" s="78">
        <f t="shared" si="930"/>
        <v>0</v>
      </c>
      <c r="CJ81" s="78">
        <f t="shared" si="930"/>
        <v>0</v>
      </c>
      <c r="CK81" s="78">
        <f t="shared" si="930"/>
        <v>0</v>
      </c>
      <c r="CL81" s="78">
        <f t="shared" si="930"/>
        <v>0</v>
      </c>
      <c r="CM81" s="78">
        <f t="shared" si="930"/>
        <v>0</v>
      </c>
      <c r="CN81" s="78">
        <f t="shared" si="930"/>
        <v>0</v>
      </c>
    </row>
    <row r="82" spans="3:92" ht="12.75" customHeight="1" x14ac:dyDescent="0.3">
      <c r="D82" s="15" t="s">
        <v>183</v>
      </c>
      <c r="E82" s="1">
        <f>INDEX(Ass!I$107:I$111,$C79)</f>
        <v>6</v>
      </c>
      <c r="F82" s="1" t="str">
        <f>INDEX(Ass!J$107:J$111,$C79)</f>
        <v>DDB</v>
      </c>
      <c r="H82" s="16" t="s">
        <v>1</v>
      </c>
      <c r="J82" s="58">
        <f ca="1">SUM(L82:CN82)</f>
        <v>-906234.91007864533</v>
      </c>
      <c r="L82" s="82">
        <v>0</v>
      </c>
      <c r="M82" s="15">
        <f t="shared" ref="M82" ca="1" si="931">-IF(M$12=1,SUM(M80:M81),IF($F82="SL",SUM(OFFSET(L81,,,,-MIN(L$14,$E82*4)))*1/($E82*4),2*1/($E82*4)*M80))</f>
        <v>0</v>
      </c>
      <c r="N82" s="15">
        <f t="shared" ref="N82" ca="1" si="932">-IF(N$12=1,SUM(N80:N81),IF($F82="SL",SUM(OFFSET(M81,,,,-MIN(M$14,$E82*4)))*1/($E82*4),2*1/($E82*4)*N80))</f>
        <v>0</v>
      </c>
      <c r="O82" s="15">
        <f t="shared" ref="O82" ca="1" si="933">-IF(O$12=1,SUM(O80:O81),IF($F82="SL",SUM(OFFSET(N81,,,,-MIN(N$14,$E82*4)))*1/($E82*4),2*1/($E82*4)*O80))</f>
        <v>-75519.575839887082</v>
      </c>
      <c r="P82" s="15">
        <f t="shared" ref="P82" ca="1" si="934">-IF(P$12=1,SUM(P80:P81),IF($F82="SL",SUM(OFFSET(O81,,,,-MIN(O$14,$E82*4)))*1/($E82*4),2*1/($E82*4)*P80))</f>
        <v>-69226.27785322984</v>
      </c>
      <c r="Q82" s="15">
        <f t="shared" ref="Q82" ca="1" si="935">-IF(Q$12=1,SUM(Q80:Q81),IF($F82="SL",SUM(OFFSET(P81,,,,-MIN(P$14,$E82*4)))*1/($E82*4),2*1/($E82*4)*Q80))</f>
        <v>-63457.421365460687</v>
      </c>
      <c r="R82" s="15">
        <f t="shared" ref="R82" ca="1" si="936">-IF(R$12=1,SUM(R80:R81),IF($F82="SL",SUM(OFFSET(Q81,,,,-MIN(Q$14,$E82*4)))*1/($E82*4),2*1/($E82*4)*R80))</f>
        <v>-58169.302918338959</v>
      </c>
      <c r="S82" s="15">
        <f t="shared" ref="S82" ca="1" si="937">-IF(S$12=1,SUM(S80:S81),IF($F82="SL",SUM(OFFSET(R81,,,,-MIN(R$14,$E82*4)))*1/($E82*4),2*1/($E82*4)*S80))</f>
        <v>-53321.861008477383</v>
      </c>
      <c r="T82" s="15">
        <f t="shared" ref="T82" ca="1" si="938">-IF(T$12=1,SUM(T80:T81),IF($F82="SL",SUM(OFFSET(S81,,,,-MIN(S$14,$E82*4)))*1/($E82*4),2*1/($E82*4)*T80))</f>
        <v>-48878.372591104271</v>
      </c>
      <c r="U82" s="15">
        <f t="shared" ref="U82" ca="1" si="939">-IF(U$12=1,SUM(U80:U81),IF($F82="SL",SUM(OFFSET(T81,,,,-MIN(T$14,$E82*4)))*1/($E82*4),2*1/($E82*4)*U80))</f>
        <v>-44805.174875178913</v>
      </c>
      <c r="V82" s="15">
        <f t="shared" ref="V82" ca="1" si="940">-IF(V$12=1,SUM(V80:V81),IF($F82="SL",SUM(OFFSET(U81,,,,-MIN(U$14,$E82*4)))*1/($E82*4),2*1/($E82*4)*V80))</f>
        <v>-41071.410302247343</v>
      </c>
      <c r="W82" s="15">
        <f t="shared" ref="W82" ca="1" si="941">-IF(W$12=1,SUM(W80:W81),IF($F82="SL",SUM(OFFSET(V81,,,,-MIN(V$14,$E82*4)))*1/($E82*4),2*1/($E82*4)*W80))</f>
        <v>-37648.792777060065</v>
      </c>
      <c r="X82" s="15">
        <f t="shared" ref="X82" ca="1" si="942">-IF(X$12=1,SUM(X80:X81),IF($F82="SL",SUM(OFFSET(W81,,,,-MIN(W$14,$E82*4)))*1/($E82*4),2*1/($E82*4)*X80))</f>
        <v>-34511.393378971727</v>
      </c>
      <c r="Y82" s="15">
        <f t="shared" ref="Y82" ca="1" si="943">-IF(Y$12=1,SUM(Y80:Y81),IF($F82="SL",SUM(OFFSET(X81,,,,-MIN(X$14,$E82*4)))*1/($E82*4),2*1/($E82*4)*Y80))</f>
        <v>-31635.443930724083</v>
      </c>
      <c r="Z82" s="15">
        <f t="shared" ref="Z82" ca="1" si="944">-IF(Z$12=1,SUM(Z80:Z81),IF($F82="SL",SUM(OFFSET(Y81,,,,-MIN(Y$14,$E82*4)))*1/($E82*4),2*1/($E82*4)*Z80))</f>
        <v>-28999.156936497078</v>
      </c>
      <c r="AA82" s="15">
        <f t="shared" ref="AA82" ca="1" si="945">-IF(AA$12=1,SUM(AA80:AA81),IF($F82="SL",SUM(OFFSET(Z81,,,,-MIN(Z$14,$E82*4)))*1/($E82*4),2*1/($E82*4)*AA80))</f>
        <v>-26582.560525122321</v>
      </c>
      <c r="AB82" s="15">
        <f t="shared" ref="AB82" ca="1" si="946">-IF(AB$12=1,SUM(AB80:AB81),IF($F82="SL",SUM(OFFSET(AA81,,,,-MIN(AA$14,$E82*4)))*1/($E82*4),2*1/($E82*4)*AB80))</f>
        <v>-24367.347148028792</v>
      </c>
      <c r="AC82" s="15">
        <f t="shared" ref="AC82" ca="1" si="947">-IF(AC$12=1,SUM(AC80:AC81),IF($F82="SL",SUM(OFFSET(AB81,,,,-MIN(AB$14,$E82*4)))*1/($E82*4),2*1/($E82*4)*AC80))</f>
        <v>-22336.734885693062</v>
      </c>
      <c r="AD82" s="15">
        <f t="shared" ref="AD82" ca="1" si="948">-IF(AD$12=1,SUM(AD80:AD81),IF($F82="SL",SUM(OFFSET(AC81,,,,-MIN(AC$14,$E82*4)))*1/($E82*4),2*1/($E82*4)*AD80))</f>
        <v>-20475.340311885306</v>
      </c>
      <c r="AE82" s="15">
        <f t="shared" ref="AE82" ca="1" si="949">-IF(AE$12=1,SUM(AE80:AE81),IF($F82="SL",SUM(OFFSET(AD81,,,,-MIN(AD$14,$E82*4)))*1/($E82*4),2*1/($E82*4)*AE80))</f>
        <v>-18769.061952561529</v>
      </c>
      <c r="AF82" s="15">
        <f t="shared" ref="AF82" ca="1" si="950">-IF(AF$12=1,SUM(AF80:AF81),IF($F82="SL",SUM(OFFSET(AE81,,,,-MIN(AE$14,$E82*4)))*1/($E82*4),2*1/($E82*4)*AF80))</f>
        <v>-17204.973456514737</v>
      </c>
      <c r="AG82" s="15">
        <f t="shared" ref="AG82" ca="1" si="951">-IF(AG$12=1,SUM(AG80:AG81),IF($F82="SL",SUM(OFFSET(AF81,,,,-MIN(AF$14,$E82*4)))*1/($E82*4),2*1/($E82*4)*AG80))</f>
        <v>-15771.225668471841</v>
      </c>
      <c r="AH82" s="15">
        <f t="shared" ref="AH82" ca="1" si="952">-IF(AH$12=1,SUM(AH80:AH81),IF($F82="SL",SUM(OFFSET(AG81,,,,-MIN(AG$14,$E82*4)))*1/($E82*4),2*1/($E82*4)*AH80))</f>
        <v>-14456.956862765855</v>
      </c>
      <c r="AI82" s="15">
        <f t="shared" ref="AI82" ca="1" si="953">-IF(AI$12=1,SUM(AI80:AI81),IF($F82="SL",SUM(OFFSET(AH81,,,,-MIN(AH$14,$E82*4)))*1/($E82*4),2*1/($E82*4)*AI80))</f>
        <v>-13252.210457535368</v>
      </c>
      <c r="AJ82" s="15">
        <f t="shared" ref="AJ82" ca="1" si="954">-IF(AJ$12=1,SUM(AJ80:AJ81),IF($F82="SL",SUM(OFFSET(AI81,,,,-MIN(AI$14,$E82*4)))*1/($E82*4),2*1/($E82*4)*AJ80))</f>
        <v>-12147.859586074086</v>
      </c>
      <c r="AK82" s="15">
        <f t="shared" ref="AK82" ca="1" si="955">-IF(AK$12=1,SUM(AK80:AK81),IF($F82="SL",SUM(OFFSET(AJ81,,,,-MIN(AJ$14,$E82*4)))*1/($E82*4),2*1/($E82*4)*AK80))</f>
        <v>-11135.537953901247</v>
      </c>
      <c r="AL82" s="15">
        <f t="shared" ref="AL82" ca="1" si="956">-IF(AL$12=1,SUM(AL80:AL81),IF($F82="SL",SUM(OFFSET(AK81,,,,-MIN(AK$14,$E82*4)))*1/($E82*4),2*1/($E82*4)*AL80))</f>
        <v>-10207.576457742809</v>
      </c>
      <c r="AM82" s="15">
        <f t="shared" ref="AM82" ca="1" si="957">-IF(AM$12=1,SUM(AM80:AM81),IF($F82="SL",SUM(OFFSET(AL81,,,,-MIN(AL$14,$E82*4)))*1/($E82*4),2*1/($E82*4)*AM80))</f>
        <v>-9356.9450862642425</v>
      </c>
      <c r="AN82" s="15">
        <f t="shared" ref="AN82" ca="1" si="958">-IF(AN$12=1,SUM(AN80:AN81),IF($F82="SL",SUM(OFFSET(AM81,,,,-MIN(AM$14,$E82*4)))*1/($E82*4),2*1/($E82*4)*AN80))</f>
        <v>-8577.1996624088897</v>
      </c>
      <c r="AO82" s="15">
        <f t="shared" ref="AO82" ca="1" si="959">-IF(AO$12=1,SUM(AO80:AO81),IF($F82="SL",SUM(OFFSET(AN81,,,,-MIN(AN$14,$E82*4)))*1/($E82*4),2*1/($E82*4)*AO80))</f>
        <v>-7862.4330238748153</v>
      </c>
      <c r="AP82" s="15">
        <f t="shared" ref="AP82" ca="1" si="960">-IF(AP$12=1,SUM(AP80:AP81),IF($F82="SL",SUM(OFFSET(AO81,,,,-MIN(AO$14,$E82*4)))*1/($E82*4),2*1/($E82*4)*AP80))</f>
        <v>-7207.2302718852461</v>
      </c>
      <c r="AQ82" s="15">
        <f t="shared" ref="AQ82" ca="1" si="961">-IF(AQ$12=1,SUM(AQ80:AQ81),IF($F82="SL",SUM(OFFSET(AP81,,,,-MIN(AP$14,$E82*4)))*1/($E82*4),2*1/($E82*4)*AQ80))</f>
        <v>-6606.6277492281424</v>
      </c>
      <c r="AR82" s="15">
        <f t="shared" ref="AR82" ca="1" si="962">-IF(AR$12=1,SUM(AR80:AR81),IF($F82="SL",SUM(OFFSET(AQ81,,,,-MIN(AQ$14,$E82*4)))*1/($E82*4),2*1/($E82*4)*AR80))</f>
        <v>-6056.0754367924646</v>
      </c>
      <c r="AS82" s="15">
        <f t="shared" ref="AS82" ca="1" si="963">-IF(AS$12=1,SUM(AS80:AS81),IF($F82="SL",SUM(OFFSET(AR81,,,,-MIN(AR$14,$E82*4)))*1/($E82*4),2*1/($E82*4)*AS80))</f>
        <v>-5551.402483726426</v>
      </c>
      <c r="AT82" s="15">
        <f t="shared" ref="AT82" ca="1" si="964">-IF(AT$12=1,SUM(AT80:AT81),IF($F82="SL",SUM(OFFSET(AS81,,,,-MIN(AS$14,$E82*4)))*1/($E82*4),2*1/($E82*4)*AT80))</f>
        <v>-5088.7856100825566</v>
      </c>
      <c r="AU82" s="15">
        <f t="shared" ref="AU82" ca="1" si="965">-IF(AU$12=1,SUM(AU80:AU81),IF($F82="SL",SUM(OFFSET(AT81,,,,-MIN(AT$14,$E82*4)))*1/($E82*4),2*1/($E82*4)*AU80))</f>
        <v>-4664.7201425756766</v>
      </c>
      <c r="AV82" s="15">
        <f t="shared" ref="AV82" ca="1" si="966">-IF(AV$12=1,SUM(AV80:AV81),IF($F82="SL",SUM(OFFSET(AU81,,,,-MIN(AU$14,$E82*4)))*1/($E82*4),2*1/($E82*4)*AV80))</f>
        <v>-4275.9934640277033</v>
      </c>
      <c r="AW82" s="15">
        <f t="shared" ref="AW82" ca="1" si="967">-IF(AW$12=1,SUM(AW80:AW81),IF($F82="SL",SUM(OFFSET(AV81,,,,-MIN(AV$14,$E82*4)))*1/($E82*4),2*1/($E82*4)*AW80))</f>
        <v>-3919.660675358728</v>
      </c>
      <c r="AX82" s="15">
        <f t="shared" ref="AX82" ca="1" si="968">-IF(AX$12=1,SUM(AX80:AX81),IF($F82="SL",SUM(OFFSET(AW81,,,,-MIN(AW$14,$E82*4)))*1/($E82*4),2*1/($E82*4)*AX80))</f>
        <v>-3593.022285745501</v>
      </c>
      <c r="AY82" s="15">
        <f t="shared" ref="AY82" ca="1" si="969">-IF(AY$12=1,SUM(AY80:AY81),IF($F82="SL",SUM(OFFSET(AX81,,,,-MIN(AX$14,$E82*4)))*1/($E82*4),2*1/($E82*4)*AY80))</f>
        <v>-3293.6037619333756</v>
      </c>
      <c r="AZ82" s="15">
        <f t="shared" ref="AZ82" ca="1" si="970">-IF(AZ$12=1,SUM(AZ80:AZ81),IF($F82="SL",SUM(OFFSET(AY81,,,,-MIN(AY$14,$E82*4)))*1/($E82*4),2*1/($E82*4)*AZ80))</f>
        <v>-3019.1367817722612</v>
      </c>
      <c r="BA82" s="15">
        <f t="shared" ref="BA82" ca="1" si="971">-IF(BA$12=1,SUM(BA80:BA81),IF($F82="SL",SUM(OFFSET(AZ81,,,,-MIN(AZ$14,$E82*4)))*1/($E82*4),2*1/($E82*4)*BA80))</f>
        <v>-2767.5420499579059</v>
      </c>
      <c r="BB82" s="15">
        <f t="shared" ref="BB82" ca="1" si="972">-IF(BB$12=1,SUM(BB80:BB81),IF($F82="SL",SUM(OFFSET(BA81,,,,-MIN(BA$14,$E82*4)))*1/($E82*4),2*1/($E82*4)*BB80))</f>
        <v>-2536.9135457947473</v>
      </c>
      <c r="BC82" s="15">
        <f t="shared" ref="BC82" ca="1" si="973">-IF(BC$12=1,SUM(BC80:BC81),IF($F82="SL",SUM(OFFSET(BB81,,,,-MIN(BB$14,$E82*4)))*1/($E82*4),2*1/($E82*4)*BC80))</f>
        <v>-2325.5040836451849</v>
      </c>
      <c r="BD82" s="15">
        <f t="shared" ref="BD82" ca="1" si="974">-IF(BD$12=1,SUM(BD80:BD81),IF($F82="SL",SUM(OFFSET(BC81,,,,-MIN(BC$14,$E82*4)))*1/($E82*4),2*1/($E82*4)*BD80))</f>
        <v>-2131.712076674753</v>
      </c>
      <c r="BE82" s="15">
        <f t="shared" ref="BE82" ca="1" si="975">-IF(BE$12=1,SUM(BE80:BE81),IF($F82="SL",SUM(OFFSET(BD81,,,,-MIN(BD$14,$E82*4)))*1/($E82*4),2*1/($E82*4)*BE80))</f>
        <v>-1954.0694036185234</v>
      </c>
      <c r="BF82" s="15">
        <f t="shared" ref="BF82" ca="1" si="976">-IF(BF$12=1,SUM(BF80:BF81),IF($F82="SL",SUM(OFFSET(BE81,,,,-MIN(BE$14,$E82*4)))*1/($E82*4),2*1/($E82*4)*BF80))</f>
        <v>-1791.2302866503132</v>
      </c>
      <c r="BG82" s="15">
        <f t="shared" ref="BG82" ca="1" si="977">-IF(BG$12=1,SUM(BG80:BG81),IF($F82="SL",SUM(OFFSET(BF81,,,,-MIN(BF$14,$E82*4)))*1/($E82*4),2*1/($E82*4)*BG80))</f>
        <v>-1641.9610960961204</v>
      </c>
      <c r="BH82" s="15">
        <f t="shared" ref="BH82" ca="1" si="978">-IF(BH$12=1,SUM(BH80:BH81),IF($F82="SL",SUM(OFFSET(BG81,,,,-MIN(BG$14,$E82*4)))*1/($E82*4),2*1/($E82*4)*BH80))</f>
        <v>-1505.131004754777</v>
      </c>
      <c r="BI82" s="15">
        <f t="shared" ref="BI82" ca="1" si="979">-IF(BI$12=1,SUM(BI80:BI81),IF($F82="SL",SUM(OFFSET(BH81,,,,-MIN(BH$14,$E82*4)))*1/($E82*4),2*1/($E82*4)*BI80))</f>
        <v>-1379.7034210252123</v>
      </c>
      <c r="BJ82" s="15">
        <f t="shared" ref="BJ82" ca="1" si="980">-IF(BJ$12=1,SUM(BJ80:BJ81),IF($F82="SL",SUM(OFFSET(BI81,,,,-MIN(BI$14,$E82*4)))*1/($E82*4),2*1/($E82*4)*BJ80))</f>
        <v>-1264.7281359397778</v>
      </c>
      <c r="BK82" s="15">
        <f t="shared" ref="BK82" ca="1" si="981">-IF(BK$12=1,SUM(BK80:BK81),IF($F82="SL",SUM(OFFSET(BJ81,,,,-MIN(BJ$14,$E82*4)))*1/($E82*4),2*1/($E82*4)*BK80))</f>
        <v>-1159.3341246114628</v>
      </c>
      <c r="BL82" s="15">
        <f t="shared" ref="BL82" ca="1" si="982">-IF(BL$12=1,SUM(BL80:BL81),IF($F82="SL",SUM(OFFSET(BK81,,,,-MIN(BK$14,$E82*4)))*1/($E82*4),2*1/($E82*4)*BL80))</f>
        <v>-1062.7229475605077</v>
      </c>
      <c r="BM82" s="15">
        <f t="shared" ref="BM82" ca="1" si="983">-IF(BM$12=1,SUM(BM80:BM81),IF($F82="SL",SUM(OFFSET(BL81,,,,-MIN(BL$14,$E82*4)))*1/($E82*4),2*1/($E82*4)*BM80))</f>
        <v>-974.16270193046535</v>
      </c>
      <c r="BN82" s="15">
        <f t="shared" ref="BN82" ca="1" si="984">-IF(BN$12=1,SUM(BN80:BN81),IF($F82="SL",SUM(OFFSET(BM81,,,,-MIN(BM$14,$E82*4)))*1/($E82*4),2*1/($E82*4)*BN80))</f>
        <v>-892.98247676959329</v>
      </c>
      <c r="BO82" s="15">
        <f t="shared" ref="BO82" ca="1" si="985">-IF(BO$12=1,SUM(BO80:BO81),IF($F82="SL",SUM(OFFSET(BN81,,,,-MIN(BN$14,$E82*4)))*1/($E82*4),2*1/($E82*4)*BO80))</f>
        <v>-818.56727037212715</v>
      </c>
      <c r="BP82" s="15">
        <f t="shared" ref="BP82" ca="1" si="986">-IF(BP$12=1,SUM(BP80:BP81),IF($F82="SL",SUM(OFFSET(BO81,,,,-MIN(BO$14,$E82*4)))*1/($E82*4),2*1/($E82*4)*BP80))</f>
        <v>-750.35333117444998</v>
      </c>
      <c r="BQ82" s="15">
        <f t="shared" ref="BQ82" ca="1" si="987">-IF(BQ$12=1,SUM(BQ80:BQ81),IF($F82="SL",SUM(OFFSET(BP81,,,,-MIN(BP$14,$E82*4)))*1/($E82*4),2*1/($E82*4)*BQ80))</f>
        <v>-687.8238869099124</v>
      </c>
      <c r="BR82" s="15">
        <f t="shared" ref="BR82" ca="1" si="988">-IF(BR$12=1,SUM(BR80:BR81),IF($F82="SL",SUM(OFFSET(BQ81,,,,-MIN(BQ$14,$E82*4)))*1/($E82*4),2*1/($E82*4)*BR80))</f>
        <v>-630.50522966741971</v>
      </c>
      <c r="BS82" s="15">
        <f t="shared" ref="BS82" ca="1" si="989">-IF(BS$12=1,SUM(BS80:BS81),IF($F82="SL",SUM(OFFSET(BR81,,,,-MIN(BR$14,$E82*4)))*1/($E82*4),2*1/($E82*4)*BS80))</f>
        <v>-577.9631271951348</v>
      </c>
      <c r="BT82" s="15">
        <f t="shared" ref="BT82" ca="1" si="990">-IF(BT$12=1,SUM(BT80:BT81),IF($F82="SL",SUM(OFFSET(BS81,,,,-MIN(BS$14,$E82*4)))*1/($E82*4),2*1/($E82*4)*BT80))</f>
        <v>-529.79953326220686</v>
      </c>
      <c r="BU82" s="15">
        <f t="shared" ref="BU82" ca="1" si="991">-IF(BU$12=1,SUM(BU80:BU81),IF($F82="SL",SUM(OFFSET(BT81,,,,-MIN(BT$14,$E82*4)))*1/($E82*4),2*1/($E82*4)*BU80))</f>
        <v>-485.64957215702299</v>
      </c>
      <c r="BV82" s="15">
        <f t="shared" ref="BV82" ca="1" si="992">-IF(BV$12=1,SUM(BV80:BV81),IF($F82="SL",SUM(OFFSET(BU81,,,,-MIN(BU$14,$E82*4)))*1/($E82*4),2*1/($E82*4)*BV80))</f>
        <v>-445.17877447727108</v>
      </c>
      <c r="BW82" s="15">
        <f t="shared" ref="BW82" ca="1" si="993">-IF(BW$12=1,SUM(BW80:BW81),IF($F82="SL",SUM(OFFSET(BV81,,,,-MIN(BV$14,$E82*4)))*1/($E82*4),2*1/($E82*4)*BW80))</f>
        <v>-408.08054327083187</v>
      </c>
      <c r="BX82" s="15">
        <f t="shared" ref="BX82" ca="1" si="994">-IF(BX$12=1,SUM(BX80:BX81),IF($F82="SL",SUM(OFFSET(BW81,,,,-MIN(BW$14,$E82*4)))*1/($E82*4),2*1/($E82*4)*BX80))</f>
        <v>-374.07383133159584</v>
      </c>
      <c r="BY82" s="15">
        <f t="shared" ref="BY82" ca="1" si="995">-IF(BY$12=1,SUM(BY80:BY81),IF($F82="SL",SUM(OFFSET(BX81,,,,-MIN(BX$14,$E82*4)))*1/($E82*4),2*1/($E82*4)*BY80))</f>
        <v>-342.90101205396286</v>
      </c>
      <c r="BZ82" s="15">
        <f t="shared" ref="BZ82" ca="1" si="996">-IF(BZ$12=1,SUM(BZ80:BZ81),IF($F82="SL",SUM(OFFSET(BY81,,,,-MIN(BY$14,$E82*4)))*1/($E82*4),2*1/($E82*4)*BZ80))</f>
        <v>-314.32592771613258</v>
      </c>
      <c r="CA82" s="15">
        <f t="shared" ref="CA82" ca="1" si="997">-IF(CA$12=1,SUM(CA80:CA81),IF($F82="SL",SUM(OFFSET(BZ81,,,,-MIN(BZ$14,$E82*4)))*1/($E82*4),2*1/($E82*4)*CA80))</f>
        <v>-288.13210040645487</v>
      </c>
      <c r="CB82" s="15">
        <f t="shared" ref="CB82" ca="1" si="998">-IF(CB$12=1,SUM(CB80:CB81),IF($F82="SL",SUM(OFFSET(CA81,,,,-MIN(CA$14,$E82*4)))*1/($E82*4),2*1/($E82*4)*CB80))</f>
        <v>-264.1210920392503</v>
      </c>
      <c r="CC82" s="15">
        <f t="shared" ref="CC82" ca="1" si="999">-IF(CC$12=1,SUM(CC80:CC81),IF($F82="SL",SUM(OFFSET(CB81,,,,-MIN(CB$14,$E82*4)))*1/($E82*4),2*1/($E82*4)*CC80))</f>
        <v>-242.11100103597943</v>
      </c>
      <c r="CD82" s="15">
        <f t="shared" ref="CD82" ca="1" si="1000">-IF(CD$12=1,SUM(CD80:CD81),IF($F82="SL",SUM(OFFSET(CC81,,,,-MIN(CC$14,$E82*4)))*1/($E82*4),2*1/($E82*4)*CD80))</f>
        <v>-221.93508428298117</v>
      </c>
      <c r="CE82" s="15">
        <f t="shared" ref="CE82" ca="1" si="1001">-IF(CE$12=1,SUM(CE80:CE81),IF($F82="SL",SUM(OFFSET(CD81,,,,-MIN(CD$14,$E82*4)))*1/($E82*4),2*1/($E82*4)*CE80))</f>
        <v>-203.44049392606604</v>
      </c>
      <c r="CF82" s="15">
        <f t="shared" ref="CF82" ca="1" si="1002">-IF(CF$12=1,SUM(CF80:CF81),IF($F82="SL",SUM(OFFSET(CE81,,,,-MIN(CE$14,$E82*4)))*1/($E82*4),2*1/($E82*4)*CF80))</f>
        <v>-186.48711943222719</v>
      </c>
      <c r="CG82" s="15">
        <f t="shared" ref="CG82" ca="1" si="1003">-IF(CG$12=1,SUM(CG80:CG81),IF($F82="SL",SUM(OFFSET(CF81,,,,-MIN(CF$14,$E82*4)))*1/($E82*4),2*1/($E82*4)*CG80))</f>
        <v>-170.94652614620827</v>
      </c>
      <c r="CH82" s="15">
        <f t="shared" ref="CH82" ca="1" si="1004">-IF(CH$12=1,SUM(CH80:CH81),IF($F82="SL",SUM(OFFSET(CG81,,,,-MIN(CG$14,$E82*4)))*1/($E82*4),2*1/($E82*4)*CH80))</f>
        <v>-156.7009823006909</v>
      </c>
      <c r="CI82" s="15">
        <f t="shared" ref="CI82" ca="1" si="1005">-IF(CI$12=1,SUM(CI80:CI81),IF($F82="SL",SUM(OFFSET(CH81,,,,-MIN(CH$14,$E82*4)))*1/($E82*4),2*1/($E82*4)*CI80))</f>
        <v>-143.64256710896666</v>
      </c>
      <c r="CJ82" s="15">
        <f t="shared" ref="CJ82" ca="1" si="1006">-IF(CJ$12=1,SUM(CJ80:CJ81),IF($F82="SL",SUM(OFFSET(CI81,,,,-MIN(CI$14,$E82*4)))*1/($E82*4),2*1/($E82*4)*CJ80))</f>
        <v>-131.67235318321946</v>
      </c>
      <c r="CK82" s="15">
        <f t="shared" ref="CK82" ca="1" si="1007">-IF(CK$12=1,SUM(CK80:CK81),IF($F82="SL",SUM(OFFSET(CJ81,,,,-MIN(CJ$14,$E82*4)))*1/($E82*4),2*1/($E82*4)*CK80))</f>
        <v>-120.69965708461783</v>
      </c>
      <c r="CL82" s="15">
        <f t="shared" ref="CL82" ca="1" si="1008">-IF(CL$12=1,SUM(CL80:CL81),IF($F82="SL",SUM(OFFSET(CK81,,,,-MIN(CK$14,$E82*4)))*1/($E82*4),2*1/($E82*4)*CL80))</f>
        <v>-110.64135232756634</v>
      </c>
      <c r="CM82" s="15">
        <f t="shared" ref="CM82" ca="1" si="1009">-IF(CM$12=1,SUM(CM80:CM81),IF($F82="SL",SUM(OFFSET(CL81,,,,-MIN(CL$14,$E82*4)))*1/($E82*4),2*1/($E82*4)*CM80))</f>
        <v>-101.42123963360247</v>
      </c>
      <c r="CN82" s="75">
        <f t="shared" ref="CN82" ca="1" si="1010">-IF(CN$12=1,SUM(CN80:CN81),IF($F82="SL",SUM(OFFSET(CM81,,,,-MIN(CM$14,$E82*4)))*1/($E82*4),2*1/($E82*4)*CN80))</f>
        <v>-1115.6336359696272</v>
      </c>
    </row>
    <row r="83" spans="3:92" ht="12.75" customHeight="1" x14ac:dyDescent="0.3">
      <c r="D83" s="50" t="s">
        <v>184</v>
      </c>
      <c r="H83" s="16" t="s">
        <v>1</v>
      </c>
      <c r="J83" s="50">
        <f t="shared" ref="J83" ca="1" si="1011">SUM(J80:J82)</f>
        <v>0</v>
      </c>
      <c r="L83" s="83">
        <v>0</v>
      </c>
      <c r="M83" s="50">
        <f t="shared" ref="M83" ca="1" si="1012">SUM(M80:M82)</f>
        <v>0</v>
      </c>
      <c r="N83" s="50">
        <f t="shared" ref="N83" ca="1" si="1013">SUM(N80:N82)</f>
        <v>906234.9100786451</v>
      </c>
      <c r="O83" s="50">
        <f t="shared" ref="O83" ca="1" si="1014">SUM(O80:O82)</f>
        <v>830715.33423875808</v>
      </c>
      <c r="P83" s="50">
        <f t="shared" ref="P83" ca="1" si="1015">SUM(P80:P82)</f>
        <v>761489.0563855283</v>
      </c>
      <c r="Q83" s="50">
        <f t="shared" ref="Q83" ca="1" si="1016">SUM(Q80:Q82)</f>
        <v>698031.63502006757</v>
      </c>
      <c r="R83" s="50">
        <f t="shared" ref="R83" ca="1" si="1017">SUM(R80:R82)</f>
        <v>639862.33210172865</v>
      </c>
      <c r="S83" s="50">
        <f t="shared" ref="S83" ca="1" si="1018">SUM(S80:S82)</f>
        <v>586540.47109325125</v>
      </c>
      <c r="T83" s="50">
        <f t="shared" ref="T83" ca="1" si="1019">SUM(T80:T82)</f>
        <v>537662.09850214701</v>
      </c>
      <c r="U83" s="50">
        <f t="shared" ref="U83" ca="1" si="1020">SUM(U80:U82)</f>
        <v>492856.92362696811</v>
      </c>
      <c r="V83" s="50">
        <f t="shared" ref="V83" ca="1" si="1021">SUM(V80:V82)</f>
        <v>451785.51332472079</v>
      </c>
      <c r="W83" s="50">
        <f t="shared" ref="W83" ca="1" si="1022">SUM(W80:W82)</f>
        <v>414136.72054766072</v>
      </c>
      <c r="X83" s="50">
        <f t="shared" ref="X83" ca="1" si="1023">SUM(X80:X82)</f>
        <v>379625.32716868899</v>
      </c>
      <c r="Y83" s="50">
        <f t="shared" ref="Y83" ca="1" si="1024">SUM(Y80:Y82)</f>
        <v>347989.88323796494</v>
      </c>
      <c r="Z83" s="50">
        <f t="shared" ref="Z83" ca="1" si="1025">SUM(Z80:Z82)</f>
        <v>318990.72630146786</v>
      </c>
      <c r="AA83" s="50">
        <f t="shared" ref="AA83" ca="1" si="1026">SUM(AA80:AA82)</f>
        <v>292408.16577634553</v>
      </c>
      <c r="AB83" s="50">
        <f t="shared" ref="AB83" ca="1" si="1027">SUM(AB80:AB82)</f>
        <v>268040.81862831675</v>
      </c>
      <c r="AC83" s="50">
        <f t="shared" ref="AC83" ca="1" si="1028">SUM(AC80:AC82)</f>
        <v>245704.08374262368</v>
      </c>
      <c r="AD83" s="50">
        <f t="shared" ref="AD83" ca="1" si="1029">SUM(AD80:AD82)</f>
        <v>225228.74343073837</v>
      </c>
      <c r="AE83" s="50">
        <f t="shared" ref="AE83" ca="1" si="1030">SUM(AE80:AE82)</f>
        <v>206459.68147817685</v>
      </c>
      <c r="AF83" s="50">
        <f t="shared" ref="AF83" ca="1" si="1031">SUM(AF80:AF82)</f>
        <v>189254.70802166211</v>
      </c>
      <c r="AG83" s="50">
        <f t="shared" ref="AG83" ca="1" si="1032">SUM(AG80:AG82)</f>
        <v>173483.48235319028</v>
      </c>
      <c r="AH83" s="50">
        <f t="shared" ref="AH83" ca="1" si="1033">SUM(AH80:AH82)</f>
        <v>159026.52549042442</v>
      </c>
      <c r="AI83" s="50">
        <f t="shared" ref="AI83" ca="1" si="1034">SUM(AI80:AI82)</f>
        <v>145774.31503288905</v>
      </c>
      <c r="AJ83" s="50">
        <f t="shared" ref="AJ83" ca="1" si="1035">SUM(AJ80:AJ82)</f>
        <v>133626.45544681497</v>
      </c>
      <c r="AK83" s="50">
        <f t="shared" ref="AK83" ca="1" si="1036">SUM(AK80:AK82)</f>
        <v>122490.91749291372</v>
      </c>
      <c r="AL83" s="50">
        <f t="shared" ref="AL83" ca="1" si="1037">SUM(AL80:AL82)</f>
        <v>112283.34103517092</v>
      </c>
      <c r="AM83" s="50">
        <f t="shared" ref="AM83" ca="1" si="1038">SUM(AM80:AM82)</f>
        <v>102926.39594890668</v>
      </c>
      <c r="AN83" s="50">
        <f t="shared" ref="AN83" ca="1" si="1039">SUM(AN80:AN82)</f>
        <v>94349.196286497783</v>
      </c>
      <c r="AO83" s="50">
        <f t="shared" ref="AO83" ca="1" si="1040">SUM(AO80:AO82)</f>
        <v>86486.763262622961</v>
      </c>
      <c r="AP83" s="50">
        <f t="shared" ref="AP83" ca="1" si="1041">SUM(AP80:AP82)</f>
        <v>79279.532990737716</v>
      </c>
      <c r="AQ83" s="50">
        <f t="shared" ref="AQ83" ca="1" si="1042">SUM(AQ80:AQ82)</f>
        <v>72672.905241509579</v>
      </c>
      <c r="AR83" s="50">
        <f t="shared" ref="AR83" ca="1" si="1043">SUM(AR80:AR82)</f>
        <v>66616.829804717112</v>
      </c>
      <c r="AS83" s="50">
        <f t="shared" ref="AS83" ca="1" si="1044">SUM(AS80:AS82)</f>
        <v>61065.427320990682</v>
      </c>
      <c r="AT83" s="50">
        <f t="shared" ref="AT83" ca="1" si="1045">SUM(AT80:AT82)</f>
        <v>55976.641710908123</v>
      </c>
      <c r="AU83" s="50">
        <f t="shared" ref="AU83" ca="1" si="1046">SUM(AU80:AU82)</f>
        <v>51311.921568332444</v>
      </c>
      <c r="AV83" s="50">
        <f t="shared" ref="AV83" ca="1" si="1047">SUM(AV80:AV82)</f>
        <v>47035.928104304738</v>
      </c>
      <c r="AW83" s="50">
        <f t="shared" ref="AW83" ca="1" si="1048">SUM(AW80:AW82)</f>
        <v>43116.267428946012</v>
      </c>
      <c r="AX83" s="50">
        <f t="shared" ref="AX83" ca="1" si="1049">SUM(AX80:AX82)</f>
        <v>39523.245143200511</v>
      </c>
      <c r="AY83" s="50">
        <f t="shared" ref="AY83" ca="1" si="1050">SUM(AY80:AY82)</f>
        <v>36229.641381267138</v>
      </c>
      <c r="AZ83" s="50">
        <f t="shared" ref="AZ83" ca="1" si="1051">SUM(AZ80:AZ82)</f>
        <v>33210.504599494874</v>
      </c>
      <c r="BA83" s="50">
        <f t="shared" ref="BA83" ca="1" si="1052">SUM(BA80:BA82)</f>
        <v>30442.962549536969</v>
      </c>
      <c r="BB83" s="50">
        <f t="shared" ref="BB83" ca="1" si="1053">SUM(BB80:BB82)</f>
        <v>27906.049003742221</v>
      </c>
      <c r="BC83" s="50">
        <f t="shared" ref="BC83" ca="1" si="1054">SUM(BC80:BC82)</f>
        <v>25580.544920097036</v>
      </c>
      <c r="BD83" s="50">
        <f t="shared" ref="BD83" ca="1" si="1055">SUM(BD80:BD82)</f>
        <v>23448.832843422282</v>
      </c>
      <c r="BE83" s="50">
        <f t="shared" ref="BE83" ca="1" si="1056">SUM(BE80:BE82)</f>
        <v>21494.763439803759</v>
      </c>
      <c r="BF83" s="50">
        <f t="shared" ref="BF83" ca="1" si="1057">SUM(BF80:BF82)</f>
        <v>19703.533153153447</v>
      </c>
      <c r="BG83" s="50">
        <f t="shared" ref="BG83" ca="1" si="1058">SUM(BG80:BG82)</f>
        <v>18061.572057057325</v>
      </c>
      <c r="BH83" s="50">
        <f t="shared" ref="BH83" ca="1" si="1059">SUM(BH80:BH82)</f>
        <v>16556.441052302547</v>
      </c>
      <c r="BI83" s="50">
        <f t="shared" ref="BI83" ca="1" si="1060">SUM(BI80:BI82)</f>
        <v>15176.737631277334</v>
      </c>
      <c r="BJ83" s="50">
        <f t="shared" ref="BJ83" ca="1" si="1061">SUM(BJ80:BJ82)</f>
        <v>13912.009495337556</v>
      </c>
      <c r="BK83" s="50">
        <f t="shared" ref="BK83" ca="1" si="1062">SUM(BK80:BK82)</f>
        <v>12752.675370726092</v>
      </c>
      <c r="BL83" s="50">
        <f t="shared" ref="BL83" ca="1" si="1063">SUM(BL80:BL82)</f>
        <v>11689.952423165585</v>
      </c>
      <c r="BM83" s="50">
        <f t="shared" ref="BM83" ca="1" si="1064">SUM(BM80:BM82)</f>
        <v>10715.78972123512</v>
      </c>
      <c r="BN83" s="50">
        <f t="shared" ref="BN83" ca="1" si="1065">SUM(BN80:BN82)</f>
        <v>9822.8072444655263</v>
      </c>
      <c r="BO83" s="50">
        <f t="shared" ref="BO83" ca="1" si="1066">SUM(BO80:BO82)</f>
        <v>9004.2399740933997</v>
      </c>
      <c r="BP83" s="50">
        <f t="shared" ref="BP83" ca="1" si="1067">SUM(BP80:BP82)</f>
        <v>8253.8866429189493</v>
      </c>
      <c r="BQ83" s="50">
        <f t="shared" ref="BQ83" ca="1" si="1068">SUM(BQ80:BQ82)</f>
        <v>7566.062756009037</v>
      </c>
      <c r="BR83" s="50">
        <f t="shared" ref="BR83" ca="1" si="1069">SUM(BR80:BR82)</f>
        <v>6935.5575263416176</v>
      </c>
      <c r="BS83" s="50">
        <f t="shared" ref="BS83" ca="1" si="1070">SUM(BS80:BS82)</f>
        <v>6357.5943991464828</v>
      </c>
      <c r="BT83" s="50">
        <f t="shared" ref="BT83" ca="1" si="1071">SUM(BT80:BT82)</f>
        <v>5827.7948658842761</v>
      </c>
      <c r="BU83" s="50">
        <f t="shared" ref="BU83" ca="1" si="1072">SUM(BU80:BU82)</f>
        <v>5342.1452937272534</v>
      </c>
      <c r="BV83" s="50">
        <f t="shared" ref="BV83" ca="1" si="1073">SUM(BV80:BV82)</f>
        <v>4896.9665192499824</v>
      </c>
      <c r="BW83" s="50">
        <f t="shared" ref="BW83" ca="1" si="1074">SUM(BW80:BW82)</f>
        <v>4488.8859759791503</v>
      </c>
      <c r="BX83" s="50">
        <f t="shared" ref="BX83" ca="1" si="1075">SUM(BX80:BX82)</f>
        <v>4114.8121446475543</v>
      </c>
      <c r="BY83" s="50">
        <f t="shared" ref="BY83" ca="1" si="1076">SUM(BY80:BY82)</f>
        <v>3771.9111325935914</v>
      </c>
      <c r="BZ83" s="50">
        <f t="shared" ref="BZ83" ca="1" si="1077">SUM(BZ80:BZ82)</f>
        <v>3457.5852048774586</v>
      </c>
      <c r="CA83" s="50">
        <f t="shared" ref="CA83" ca="1" si="1078">SUM(CA80:CA82)</f>
        <v>3169.4531044710038</v>
      </c>
      <c r="CB83" s="50">
        <f t="shared" ref="CB83" ca="1" si="1079">SUM(CB80:CB82)</f>
        <v>2905.3320124317534</v>
      </c>
      <c r="CC83" s="50">
        <f t="shared" ref="CC83" ca="1" si="1080">SUM(CC80:CC82)</f>
        <v>2663.221011395774</v>
      </c>
      <c r="CD83" s="50">
        <f t="shared" ref="CD83" ca="1" si="1081">SUM(CD80:CD82)</f>
        <v>2441.2859271127927</v>
      </c>
      <c r="CE83" s="50">
        <f t="shared" ref="CE83" ca="1" si="1082">SUM(CE80:CE82)</f>
        <v>2237.8454331867265</v>
      </c>
      <c r="CF83" s="50">
        <f t="shared" ref="CF83" ca="1" si="1083">SUM(CF80:CF82)</f>
        <v>2051.3583137544992</v>
      </c>
      <c r="CG83" s="50">
        <f t="shared" ref="CG83" ca="1" si="1084">SUM(CG80:CG82)</f>
        <v>1880.411787608291</v>
      </c>
      <c r="CH83" s="50">
        <f t="shared" ref="CH83" ca="1" si="1085">SUM(CH80:CH82)</f>
        <v>1723.7108053076001</v>
      </c>
      <c r="CI83" s="50">
        <f t="shared" ref="CI83" ca="1" si="1086">SUM(CI80:CI82)</f>
        <v>1580.0682381986335</v>
      </c>
      <c r="CJ83" s="50">
        <f t="shared" ref="CJ83" ca="1" si="1087">SUM(CJ80:CJ82)</f>
        <v>1448.395885015414</v>
      </c>
      <c r="CK83" s="50">
        <f t="shared" ref="CK83" ca="1" si="1088">SUM(CK80:CK82)</f>
        <v>1327.6962279307961</v>
      </c>
      <c r="CL83" s="50">
        <f t="shared" ref="CL83" ca="1" si="1089">SUM(CL80:CL82)</f>
        <v>1217.0548756032297</v>
      </c>
      <c r="CM83" s="50">
        <f t="shared" ref="CM83" ca="1" si="1090">SUM(CM80:CM82)</f>
        <v>1115.6336359696272</v>
      </c>
      <c r="CN83" s="50">
        <f t="shared" ref="CN83" ca="1" si="1091">SUM(CN80:CN82)</f>
        <v>0</v>
      </c>
    </row>
    <row r="84" spans="3:92" ht="12.75" customHeight="1" x14ac:dyDescent="0.3">
      <c r="D84" s="84"/>
      <c r="E84" s="85"/>
      <c r="F84" s="85"/>
      <c r="G84" s="85"/>
      <c r="H84" s="86"/>
      <c r="I84" s="87"/>
      <c r="J84" s="84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</row>
    <row r="85" spans="3:92" ht="12.75" customHeight="1" x14ac:dyDescent="0.3">
      <c r="D85" s="15"/>
      <c r="H85" s="16"/>
      <c r="J85" s="15"/>
    </row>
    <row r="86" spans="3:92" ht="12.75" customHeight="1" x14ac:dyDescent="0.3">
      <c r="C86" s="24">
        <f>C79+1</f>
        <v>2</v>
      </c>
      <c r="D86" s="17" t="str">
        <f>INDEX(Ass!$D$107:$D$111,CapexDA!$C86)</f>
        <v>Asset Class 2</v>
      </c>
      <c r="H86" s="16"/>
      <c r="J86" s="15"/>
    </row>
    <row r="87" spans="3:92" ht="12.75" customHeight="1" x14ac:dyDescent="0.3">
      <c r="D87" s="15" t="s">
        <v>181</v>
      </c>
      <c r="H87" s="16" t="s">
        <v>1</v>
      </c>
      <c r="J87" s="15"/>
      <c r="L87" s="80">
        <v>0</v>
      </c>
      <c r="M87" s="15">
        <f t="shared" ref="M87:BX87" si="1092">L90</f>
        <v>0</v>
      </c>
      <c r="N87" s="15">
        <f t="shared" ca="1" si="1092"/>
        <v>0</v>
      </c>
      <c r="O87" s="15">
        <f t="shared" ca="1" si="1092"/>
        <v>0</v>
      </c>
      <c r="P87" s="15">
        <f t="shared" ca="1" si="1092"/>
        <v>1013903.3484509259</v>
      </c>
      <c r="Q87" s="15">
        <f t="shared" ca="1" si="1092"/>
        <v>941481.68070443114</v>
      </c>
      <c r="R87" s="15">
        <f t="shared" ca="1" si="1092"/>
        <v>874232.98922554322</v>
      </c>
      <c r="S87" s="15">
        <f t="shared" ca="1" si="1092"/>
        <v>811787.77570943302</v>
      </c>
      <c r="T87" s="15">
        <f t="shared" ca="1" si="1092"/>
        <v>753802.93458733067</v>
      </c>
      <c r="U87" s="15">
        <f t="shared" ca="1" si="1092"/>
        <v>699959.86783109279</v>
      </c>
      <c r="V87" s="15">
        <f t="shared" ca="1" si="1092"/>
        <v>649962.73441458622</v>
      </c>
      <c r="W87" s="15">
        <f t="shared" ca="1" si="1092"/>
        <v>603536.82481354428</v>
      </c>
      <c r="X87" s="15">
        <f t="shared" ca="1" si="1092"/>
        <v>560427.05161257682</v>
      </c>
      <c r="Y87" s="15">
        <f t="shared" ca="1" si="1092"/>
        <v>520396.54792596417</v>
      </c>
      <c r="Z87" s="15">
        <f t="shared" ca="1" si="1092"/>
        <v>483225.36593125243</v>
      </c>
      <c r="AA87" s="15">
        <f t="shared" ca="1" si="1092"/>
        <v>448709.26836473437</v>
      </c>
      <c r="AB87" s="15">
        <f t="shared" ca="1" si="1092"/>
        <v>416658.60633868189</v>
      </c>
      <c r="AC87" s="15">
        <f t="shared" ca="1" si="1092"/>
        <v>386897.27731449035</v>
      </c>
      <c r="AD87" s="15">
        <f t="shared" ca="1" si="1092"/>
        <v>359261.75750631245</v>
      </c>
      <c r="AE87" s="15">
        <f t="shared" ca="1" si="1092"/>
        <v>333600.20339871873</v>
      </c>
      <c r="AF87" s="15">
        <f t="shared" ca="1" si="1092"/>
        <v>309771.61744166742</v>
      </c>
      <c r="AG87" s="15">
        <f t="shared" ca="1" si="1092"/>
        <v>287645.07333869115</v>
      </c>
      <c r="AH87" s="15">
        <f t="shared" ca="1" si="1092"/>
        <v>267098.99667164177</v>
      </c>
      <c r="AI87" s="15">
        <f t="shared" ca="1" si="1092"/>
        <v>248020.49690938165</v>
      </c>
      <c r="AJ87" s="15">
        <f t="shared" ca="1" si="1092"/>
        <v>230304.74713014011</v>
      </c>
      <c r="AK87" s="15">
        <f t="shared" ca="1" si="1092"/>
        <v>213854.40804941583</v>
      </c>
      <c r="AL87" s="15">
        <f t="shared" ca="1" si="1092"/>
        <v>198579.09318874328</v>
      </c>
      <c r="AM87" s="15">
        <f t="shared" ca="1" si="1092"/>
        <v>184394.87224669018</v>
      </c>
      <c r="AN87" s="15">
        <f t="shared" ca="1" si="1092"/>
        <v>171223.80994335515</v>
      </c>
      <c r="AO87" s="15">
        <f t="shared" ca="1" si="1092"/>
        <v>158993.53780454406</v>
      </c>
      <c r="AP87" s="15">
        <f t="shared" ca="1" si="1092"/>
        <v>147636.8565327909</v>
      </c>
      <c r="AQ87" s="15">
        <f t="shared" ca="1" si="1092"/>
        <v>137091.3667804487</v>
      </c>
      <c r="AR87" s="15">
        <f t="shared" ca="1" si="1092"/>
        <v>127299.12629613094</v>
      </c>
      <c r="AS87" s="15">
        <f t="shared" ca="1" si="1092"/>
        <v>118206.33156069301</v>
      </c>
      <c r="AT87" s="15">
        <f t="shared" ca="1" si="1092"/>
        <v>109763.02216350066</v>
      </c>
      <c r="AU87" s="15">
        <f t="shared" ca="1" si="1092"/>
        <v>101922.80629467919</v>
      </c>
      <c r="AV87" s="15">
        <f t="shared" ca="1" si="1092"/>
        <v>94642.605845059254</v>
      </c>
      <c r="AW87" s="15">
        <f t="shared" ca="1" si="1092"/>
        <v>87882.419713269308</v>
      </c>
      <c r="AX87" s="15">
        <f t="shared" ca="1" si="1092"/>
        <v>81605.104019464357</v>
      </c>
      <c r="AY87" s="15">
        <f t="shared" ca="1" si="1092"/>
        <v>75776.168018074051</v>
      </c>
      <c r="AZ87" s="15">
        <f t="shared" ca="1" si="1092"/>
        <v>70363.584588211612</v>
      </c>
      <c r="BA87" s="15">
        <f t="shared" ca="1" si="1092"/>
        <v>65337.614260482209</v>
      </c>
      <c r="BB87" s="15">
        <f t="shared" ca="1" si="1092"/>
        <v>60670.641813304908</v>
      </c>
      <c r="BC87" s="15">
        <f t="shared" ca="1" si="1092"/>
        <v>56337.024540925988</v>
      </c>
      <c r="BD87" s="15">
        <f t="shared" ca="1" si="1092"/>
        <v>52312.951359431274</v>
      </c>
      <c r="BE87" s="15">
        <f t="shared" ca="1" si="1092"/>
        <v>48576.311976614757</v>
      </c>
      <c r="BF87" s="15">
        <f t="shared" ca="1" si="1092"/>
        <v>45106.575406856558</v>
      </c>
      <c r="BG87" s="15">
        <f t="shared" ca="1" si="1092"/>
        <v>41884.677163509659</v>
      </c>
      <c r="BH87" s="15">
        <f t="shared" ca="1" si="1092"/>
        <v>38892.914508973256</v>
      </c>
      <c r="BI87" s="15">
        <f t="shared" ca="1" si="1092"/>
        <v>36114.849186903739</v>
      </c>
      <c r="BJ87" s="15">
        <f t="shared" ca="1" si="1092"/>
        <v>33535.217102124901</v>
      </c>
      <c r="BK87" s="15">
        <f t="shared" ca="1" si="1092"/>
        <v>31139.844451973124</v>
      </c>
      <c r="BL87" s="15">
        <f t="shared" ca="1" si="1092"/>
        <v>28915.569848260759</v>
      </c>
      <c r="BM87" s="15">
        <f t="shared" ca="1" si="1092"/>
        <v>26850.17200195642</v>
      </c>
      <c r="BN87" s="15">
        <f t="shared" ca="1" si="1092"/>
        <v>24932.302573245248</v>
      </c>
      <c r="BO87" s="15">
        <f t="shared" ca="1" si="1092"/>
        <v>23151.423818013445</v>
      </c>
      <c r="BP87" s="15">
        <f t="shared" ca="1" si="1092"/>
        <v>21497.750688155342</v>
      </c>
      <c r="BQ87" s="15">
        <f t="shared" ca="1" si="1092"/>
        <v>19962.197067572819</v>
      </c>
      <c r="BR87" s="15">
        <f t="shared" ca="1" si="1092"/>
        <v>18536.325848460474</v>
      </c>
      <c r="BS87" s="15">
        <f t="shared" ca="1" si="1092"/>
        <v>17212.30257357044</v>
      </c>
      <c r="BT87" s="15">
        <f t="shared" ca="1" si="1092"/>
        <v>15982.852389743979</v>
      </c>
      <c r="BU87" s="15">
        <f t="shared" ca="1" si="1092"/>
        <v>14841.220076190837</v>
      </c>
      <c r="BV87" s="15">
        <f t="shared" ca="1" si="1092"/>
        <v>13781.132927891491</v>
      </c>
      <c r="BW87" s="15">
        <f t="shared" ca="1" si="1092"/>
        <v>12796.766290184956</v>
      </c>
      <c r="BX87" s="15">
        <f t="shared" ca="1" si="1092"/>
        <v>11882.711555171745</v>
      </c>
      <c r="BY87" s="15">
        <f t="shared" ref="BY87:CN87" ca="1" si="1093">BX90</f>
        <v>11033.946444088049</v>
      </c>
      <c r="BZ87" s="15">
        <f t="shared" ca="1" si="1093"/>
        <v>10245.807412367474</v>
      </c>
      <c r="CA87" s="15">
        <f t="shared" ca="1" si="1093"/>
        <v>9513.9640257697974</v>
      </c>
      <c r="CB87" s="15">
        <f t="shared" ca="1" si="1093"/>
        <v>8834.3951667862402</v>
      </c>
      <c r="CC87" s="15">
        <f t="shared" ca="1" si="1093"/>
        <v>8203.3669405872224</v>
      </c>
      <c r="CD87" s="15">
        <f t="shared" ca="1" si="1093"/>
        <v>7617.4121591167068</v>
      </c>
      <c r="CE87" s="15">
        <f t="shared" ca="1" si="1093"/>
        <v>7073.3112906083707</v>
      </c>
      <c r="CF87" s="15">
        <f t="shared" ca="1" si="1093"/>
        <v>6568.0747698506302</v>
      </c>
      <c r="CG87" s="15">
        <f t="shared" ca="1" si="1093"/>
        <v>6098.9265720041567</v>
      </c>
      <c r="CH87" s="15">
        <f t="shared" ca="1" si="1093"/>
        <v>5663.2889597181456</v>
      </c>
      <c r="CI87" s="15">
        <f t="shared" ca="1" si="1093"/>
        <v>5258.7683197382785</v>
      </c>
      <c r="CJ87" s="15">
        <f t="shared" ca="1" si="1093"/>
        <v>4883.1420111855441</v>
      </c>
      <c r="CK87" s="15">
        <f t="shared" ca="1" si="1093"/>
        <v>4534.3461532437195</v>
      </c>
      <c r="CL87" s="15">
        <f t="shared" ca="1" si="1093"/>
        <v>4210.4642851548824</v>
      </c>
      <c r="CM87" s="15">
        <f t="shared" ca="1" si="1093"/>
        <v>3909.7168362152479</v>
      </c>
      <c r="CN87" s="15">
        <f t="shared" ca="1" si="1093"/>
        <v>3630.4513479141588</v>
      </c>
    </row>
    <row r="88" spans="3:92" ht="12.75" customHeight="1" x14ac:dyDescent="0.3">
      <c r="D88" s="15" t="s">
        <v>182</v>
      </c>
      <c r="H88" s="16" t="s">
        <v>1</v>
      </c>
      <c r="J88" s="58">
        <f>SUM(L88:CN88)</f>
        <v>1013903.3484509259</v>
      </c>
      <c r="L88" s="81">
        <v>0</v>
      </c>
      <c r="M88" s="78">
        <f t="shared" ref="M88:BX88" si="1094">INDEX(M$19:M$23,$C86)</f>
        <v>0</v>
      </c>
      <c r="N88" s="78">
        <f t="shared" si="1094"/>
        <v>0</v>
      </c>
      <c r="O88" s="78">
        <f t="shared" si="1094"/>
        <v>1013903.3484509259</v>
      </c>
      <c r="P88" s="78">
        <f t="shared" si="1094"/>
        <v>0</v>
      </c>
      <c r="Q88" s="78">
        <f t="shared" si="1094"/>
        <v>0</v>
      </c>
      <c r="R88" s="78">
        <f t="shared" si="1094"/>
        <v>0</v>
      </c>
      <c r="S88" s="78">
        <f t="shared" si="1094"/>
        <v>0</v>
      </c>
      <c r="T88" s="78">
        <f t="shared" si="1094"/>
        <v>0</v>
      </c>
      <c r="U88" s="78">
        <f t="shared" si="1094"/>
        <v>0</v>
      </c>
      <c r="V88" s="78">
        <f t="shared" si="1094"/>
        <v>0</v>
      </c>
      <c r="W88" s="78">
        <f t="shared" si="1094"/>
        <v>0</v>
      </c>
      <c r="X88" s="78">
        <f t="shared" si="1094"/>
        <v>0</v>
      </c>
      <c r="Y88" s="78">
        <f t="shared" si="1094"/>
        <v>0</v>
      </c>
      <c r="Z88" s="78">
        <f t="shared" si="1094"/>
        <v>0</v>
      </c>
      <c r="AA88" s="78">
        <f t="shared" si="1094"/>
        <v>0</v>
      </c>
      <c r="AB88" s="78">
        <f t="shared" si="1094"/>
        <v>0</v>
      </c>
      <c r="AC88" s="78">
        <f t="shared" si="1094"/>
        <v>0</v>
      </c>
      <c r="AD88" s="78">
        <f t="shared" si="1094"/>
        <v>0</v>
      </c>
      <c r="AE88" s="78">
        <f t="shared" si="1094"/>
        <v>0</v>
      </c>
      <c r="AF88" s="78">
        <f t="shared" si="1094"/>
        <v>0</v>
      </c>
      <c r="AG88" s="78">
        <f t="shared" si="1094"/>
        <v>0</v>
      </c>
      <c r="AH88" s="78">
        <f t="shared" si="1094"/>
        <v>0</v>
      </c>
      <c r="AI88" s="78">
        <f t="shared" si="1094"/>
        <v>0</v>
      </c>
      <c r="AJ88" s="78">
        <f t="shared" si="1094"/>
        <v>0</v>
      </c>
      <c r="AK88" s="78">
        <f t="shared" si="1094"/>
        <v>0</v>
      </c>
      <c r="AL88" s="78">
        <f t="shared" si="1094"/>
        <v>0</v>
      </c>
      <c r="AM88" s="78">
        <f t="shared" si="1094"/>
        <v>0</v>
      </c>
      <c r="AN88" s="78">
        <f t="shared" si="1094"/>
        <v>0</v>
      </c>
      <c r="AO88" s="78">
        <f t="shared" si="1094"/>
        <v>0</v>
      </c>
      <c r="AP88" s="78">
        <f t="shared" si="1094"/>
        <v>0</v>
      </c>
      <c r="AQ88" s="78">
        <f t="shared" si="1094"/>
        <v>0</v>
      </c>
      <c r="AR88" s="78">
        <f t="shared" si="1094"/>
        <v>0</v>
      </c>
      <c r="AS88" s="78">
        <f t="shared" si="1094"/>
        <v>0</v>
      </c>
      <c r="AT88" s="78">
        <f t="shared" si="1094"/>
        <v>0</v>
      </c>
      <c r="AU88" s="78">
        <f t="shared" si="1094"/>
        <v>0</v>
      </c>
      <c r="AV88" s="78">
        <f t="shared" si="1094"/>
        <v>0</v>
      </c>
      <c r="AW88" s="78">
        <f t="shared" si="1094"/>
        <v>0</v>
      </c>
      <c r="AX88" s="78">
        <f t="shared" si="1094"/>
        <v>0</v>
      </c>
      <c r="AY88" s="78">
        <f t="shared" si="1094"/>
        <v>0</v>
      </c>
      <c r="AZ88" s="78">
        <f t="shared" si="1094"/>
        <v>0</v>
      </c>
      <c r="BA88" s="78">
        <f t="shared" si="1094"/>
        <v>0</v>
      </c>
      <c r="BB88" s="78">
        <f t="shared" si="1094"/>
        <v>0</v>
      </c>
      <c r="BC88" s="78">
        <f t="shared" si="1094"/>
        <v>0</v>
      </c>
      <c r="BD88" s="78">
        <f t="shared" si="1094"/>
        <v>0</v>
      </c>
      <c r="BE88" s="78">
        <f t="shared" si="1094"/>
        <v>0</v>
      </c>
      <c r="BF88" s="78">
        <f t="shared" si="1094"/>
        <v>0</v>
      </c>
      <c r="BG88" s="78">
        <f t="shared" si="1094"/>
        <v>0</v>
      </c>
      <c r="BH88" s="78">
        <f t="shared" si="1094"/>
        <v>0</v>
      </c>
      <c r="BI88" s="78">
        <f t="shared" si="1094"/>
        <v>0</v>
      </c>
      <c r="BJ88" s="78">
        <f t="shared" si="1094"/>
        <v>0</v>
      </c>
      <c r="BK88" s="78">
        <f t="shared" si="1094"/>
        <v>0</v>
      </c>
      <c r="BL88" s="78">
        <f t="shared" si="1094"/>
        <v>0</v>
      </c>
      <c r="BM88" s="78">
        <f t="shared" si="1094"/>
        <v>0</v>
      </c>
      <c r="BN88" s="78">
        <f t="shared" si="1094"/>
        <v>0</v>
      </c>
      <c r="BO88" s="78">
        <f t="shared" si="1094"/>
        <v>0</v>
      </c>
      <c r="BP88" s="78">
        <f t="shared" si="1094"/>
        <v>0</v>
      </c>
      <c r="BQ88" s="78">
        <f t="shared" si="1094"/>
        <v>0</v>
      </c>
      <c r="BR88" s="78">
        <f t="shared" si="1094"/>
        <v>0</v>
      </c>
      <c r="BS88" s="78">
        <f t="shared" si="1094"/>
        <v>0</v>
      </c>
      <c r="BT88" s="78">
        <f t="shared" si="1094"/>
        <v>0</v>
      </c>
      <c r="BU88" s="78">
        <f t="shared" si="1094"/>
        <v>0</v>
      </c>
      <c r="BV88" s="78">
        <f t="shared" si="1094"/>
        <v>0</v>
      </c>
      <c r="BW88" s="78">
        <f t="shared" si="1094"/>
        <v>0</v>
      </c>
      <c r="BX88" s="78">
        <f t="shared" si="1094"/>
        <v>0</v>
      </c>
      <c r="BY88" s="78">
        <f t="shared" ref="BY88:CN88" si="1095">INDEX(BY$19:BY$23,$C86)</f>
        <v>0</v>
      </c>
      <c r="BZ88" s="78">
        <f t="shared" si="1095"/>
        <v>0</v>
      </c>
      <c r="CA88" s="78">
        <f t="shared" si="1095"/>
        <v>0</v>
      </c>
      <c r="CB88" s="78">
        <f t="shared" si="1095"/>
        <v>0</v>
      </c>
      <c r="CC88" s="78">
        <f t="shared" si="1095"/>
        <v>0</v>
      </c>
      <c r="CD88" s="78">
        <f t="shared" si="1095"/>
        <v>0</v>
      </c>
      <c r="CE88" s="78">
        <f t="shared" si="1095"/>
        <v>0</v>
      </c>
      <c r="CF88" s="78">
        <f t="shared" si="1095"/>
        <v>0</v>
      </c>
      <c r="CG88" s="78">
        <f t="shared" si="1095"/>
        <v>0</v>
      </c>
      <c r="CH88" s="78">
        <f t="shared" si="1095"/>
        <v>0</v>
      </c>
      <c r="CI88" s="78">
        <f t="shared" si="1095"/>
        <v>0</v>
      </c>
      <c r="CJ88" s="78">
        <f t="shared" si="1095"/>
        <v>0</v>
      </c>
      <c r="CK88" s="78">
        <f t="shared" si="1095"/>
        <v>0</v>
      </c>
      <c r="CL88" s="78">
        <f t="shared" si="1095"/>
        <v>0</v>
      </c>
      <c r="CM88" s="78">
        <f t="shared" si="1095"/>
        <v>0</v>
      </c>
      <c r="CN88" s="78">
        <f t="shared" si="1095"/>
        <v>0</v>
      </c>
    </row>
    <row r="89" spans="3:92" ht="12.75" customHeight="1" x14ac:dyDescent="0.3">
      <c r="D89" s="15" t="s">
        <v>183</v>
      </c>
      <c r="E89" s="1">
        <f>INDEX(Ass!I$107:I$111,$C86)</f>
        <v>7</v>
      </c>
      <c r="F89" s="1" t="str">
        <f>INDEX(Ass!J$107:J$111,$C86)</f>
        <v>DDB</v>
      </c>
      <c r="H89" s="16" t="s">
        <v>1</v>
      </c>
      <c r="J89" s="58">
        <f ca="1">SUM(L89:CN89)</f>
        <v>-1013903.3484509257</v>
      </c>
      <c r="L89" s="82">
        <v>0</v>
      </c>
      <c r="M89" s="15">
        <f t="shared" ref="M89" ca="1" si="1096">-IF(M$12=1,SUM(M87:M88),IF($F89="SL",SUM(OFFSET(L88,,,,-MIN(L$14,$E89*4)))*1/($E89*4),2*1/($E89*4)*M87))</f>
        <v>0</v>
      </c>
      <c r="N89" s="15">
        <f t="shared" ref="N89" ca="1" si="1097">-IF(N$12=1,SUM(N87:N88),IF($F89="SL",SUM(OFFSET(M88,,,,-MIN(M$14,$E89*4)))*1/($E89*4),2*1/($E89*4)*N87))</f>
        <v>0</v>
      </c>
      <c r="O89" s="15">
        <f t="shared" ref="O89" ca="1" si="1098">-IF(O$12=1,SUM(O87:O88),IF($F89="SL",SUM(OFFSET(N88,,,,-MIN(N$14,$E89*4)))*1/($E89*4),2*1/($E89*4)*O87))</f>
        <v>0</v>
      </c>
      <c r="P89" s="15">
        <f t="shared" ref="P89" ca="1" si="1099">-IF(P$12=1,SUM(P87:P88),IF($F89="SL",SUM(OFFSET(O88,,,,-MIN(O$14,$E89*4)))*1/($E89*4),2*1/($E89*4)*P87))</f>
        <v>-72421.667746494699</v>
      </c>
      <c r="Q89" s="15">
        <f t="shared" ref="Q89" ca="1" si="1100">-IF(Q$12=1,SUM(Q87:Q88),IF($F89="SL",SUM(OFFSET(P88,,,,-MIN(P$14,$E89*4)))*1/($E89*4),2*1/($E89*4)*Q87))</f>
        <v>-67248.691478887937</v>
      </c>
      <c r="R89" s="15">
        <f t="shared" ref="R89" ca="1" si="1101">-IF(R$12=1,SUM(R87:R88),IF($F89="SL",SUM(OFFSET(Q88,,,,-MIN(Q$14,$E89*4)))*1/($E89*4),2*1/($E89*4)*R87))</f>
        <v>-62445.213516110227</v>
      </c>
      <c r="S89" s="15">
        <f t="shared" ref="S89" ca="1" si="1102">-IF(S$12=1,SUM(S87:S88),IF($F89="SL",SUM(OFFSET(R88,,,,-MIN(R$14,$E89*4)))*1/($E89*4),2*1/($E89*4)*S87))</f>
        <v>-57984.841122102356</v>
      </c>
      <c r="T89" s="15">
        <f t="shared" ref="T89" ca="1" si="1103">-IF(T$12=1,SUM(T87:T88),IF($F89="SL",SUM(OFFSET(S88,,,,-MIN(S$14,$E89*4)))*1/($E89*4),2*1/($E89*4)*T87))</f>
        <v>-53843.066756237902</v>
      </c>
      <c r="U89" s="15">
        <f t="shared" ref="U89" ca="1" si="1104">-IF(U$12=1,SUM(U87:U88),IF($F89="SL",SUM(OFFSET(T88,,,,-MIN(T$14,$E89*4)))*1/($E89*4),2*1/($E89*4)*U87))</f>
        <v>-49997.133416506622</v>
      </c>
      <c r="V89" s="15">
        <f t="shared" ref="V89" ca="1" si="1105">-IF(V$12=1,SUM(V87:V88),IF($F89="SL",SUM(OFFSET(U88,,,,-MIN(U$14,$E89*4)))*1/($E89*4),2*1/($E89*4)*V87))</f>
        <v>-46425.909601041873</v>
      </c>
      <c r="W89" s="15">
        <f t="shared" ref="W89" ca="1" si="1106">-IF(W$12=1,SUM(W87:W88),IF($F89="SL",SUM(OFFSET(V88,,,,-MIN(V$14,$E89*4)))*1/($E89*4),2*1/($E89*4)*W87))</f>
        <v>-43109.773200967444</v>
      </c>
      <c r="X89" s="15">
        <f t="shared" ref="X89" ca="1" si="1107">-IF(X$12=1,SUM(X87:X88),IF($F89="SL",SUM(OFFSET(W88,,,,-MIN(W$14,$E89*4)))*1/($E89*4),2*1/($E89*4)*X87))</f>
        <v>-40030.503686612625</v>
      </c>
      <c r="Y89" s="15">
        <f t="shared" ref="Y89" ca="1" si="1108">-IF(Y$12=1,SUM(Y87:Y88),IF($F89="SL",SUM(OFFSET(X88,,,,-MIN(X$14,$E89*4)))*1/($E89*4),2*1/($E89*4)*Y87))</f>
        <v>-37171.181994711726</v>
      </c>
      <c r="Z89" s="15">
        <f t="shared" ref="Z89" ca="1" si="1109">-IF(Z$12=1,SUM(Z87:Z88),IF($F89="SL",SUM(OFFSET(Y88,,,,-MIN(Y$14,$E89*4)))*1/($E89*4),2*1/($E89*4)*Z87))</f>
        <v>-34516.09756651803</v>
      </c>
      <c r="AA89" s="15">
        <f t="shared" ref="AA89" ca="1" si="1110">-IF(AA$12=1,SUM(AA87:AA88),IF($F89="SL",SUM(OFFSET(Z88,,,,-MIN(Z$14,$E89*4)))*1/($E89*4),2*1/($E89*4)*AA87))</f>
        <v>-32050.662026052454</v>
      </c>
      <c r="AB89" s="15">
        <f t="shared" ref="AB89" ca="1" si="1111">-IF(AB$12=1,SUM(AB87:AB88),IF($F89="SL",SUM(OFFSET(AA88,,,,-MIN(AA$14,$E89*4)))*1/($E89*4),2*1/($E89*4)*AB87))</f>
        <v>-29761.32902419156</v>
      </c>
      <c r="AC89" s="15">
        <f t="shared" ref="AC89" ca="1" si="1112">-IF(AC$12=1,SUM(AC87:AC88),IF($F89="SL",SUM(OFFSET(AB88,,,,-MIN(AB$14,$E89*4)))*1/($E89*4),2*1/($E89*4)*AC87))</f>
        <v>-27635.51980817788</v>
      </c>
      <c r="AD89" s="15">
        <f t="shared" ref="AD89" ca="1" si="1113">-IF(AD$12=1,SUM(AD87:AD88),IF($F89="SL",SUM(OFFSET(AC88,,,,-MIN(AC$14,$E89*4)))*1/($E89*4),2*1/($E89*4)*AD87))</f>
        <v>-25661.554107593744</v>
      </c>
      <c r="AE89" s="15">
        <f t="shared" ref="AE89" ca="1" si="1114">-IF(AE$12=1,SUM(AE87:AE88),IF($F89="SL",SUM(OFFSET(AD88,,,,-MIN(AD$14,$E89*4)))*1/($E89*4),2*1/($E89*4)*AE87))</f>
        <v>-23828.585957051335</v>
      </c>
      <c r="AF89" s="15">
        <f t="shared" ref="AF89" ca="1" si="1115">-IF(AF$12=1,SUM(AF87:AF88),IF($F89="SL",SUM(OFFSET(AE88,,,,-MIN(AE$14,$E89*4)))*1/($E89*4),2*1/($E89*4)*AF87))</f>
        <v>-22126.544102976244</v>
      </c>
      <c r="AG89" s="15">
        <f t="shared" ref="AG89" ca="1" si="1116">-IF(AG$12=1,SUM(AG87:AG88),IF($F89="SL",SUM(OFFSET(AF88,,,,-MIN(AF$14,$E89*4)))*1/($E89*4),2*1/($E89*4)*AG87))</f>
        <v>-20546.076667049365</v>
      </c>
      <c r="AH89" s="15">
        <f t="shared" ref="AH89" ca="1" si="1117">-IF(AH$12=1,SUM(AH87:AH88),IF($F89="SL",SUM(OFFSET(AG88,,,,-MIN(AG$14,$E89*4)))*1/($E89*4),2*1/($E89*4)*AH87))</f>
        <v>-19078.499762260126</v>
      </c>
      <c r="AI89" s="15">
        <f t="shared" ref="AI89" ca="1" si="1118">-IF(AI$12=1,SUM(AI87:AI88),IF($F89="SL",SUM(OFFSET(AH88,,,,-MIN(AH$14,$E89*4)))*1/($E89*4),2*1/($E89*4)*AI87))</f>
        <v>-17715.749779241545</v>
      </c>
      <c r="AJ89" s="15">
        <f t="shared" ref="AJ89" ca="1" si="1119">-IF(AJ$12=1,SUM(AJ87:AJ88),IF($F89="SL",SUM(OFFSET(AI88,,,,-MIN(AI$14,$E89*4)))*1/($E89*4),2*1/($E89*4)*AJ87))</f>
        <v>-16450.339080724294</v>
      </c>
      <c r="AK89" s="15">
        <f t="shared" ref="AK89" ca="1" si="1120">-IF(AK$12=1,SUM(AK87:AK88),IF($F89="SL",SUM(OFFSET(AJ88,,,,-MIN(AJ$14,$E89*4)))*1/($E89*4),2*1/($E89*4)*AK87))</f>
        <v>-15275.314860672559</v>
      </c>
      <c r="AL89" s="15">
        <f t="shared" ref="AL89" ca="1" si="1121">-IF(AL$12=1,SUM(AL87:AL88),IF($F89="SL",SUM(OFFSET(AK88,,,,-MIN(AK$14,$E89*4)))*1/($E89*4),2*1/($E89*4)*AL87))</f>
        <v>-14184.220942053091</v>
      </c>
      <c r="AM89" s="15">
        <f t="shared" ref="AM89" ca="1" si="1122">-IF(AM$12=1,SUM(AM87:AM88),IF($F89="SL",SUM(OFFSET(AL88,,,,-MIN(AL$14,$E89*4)))*1/($E89*4),2*1/($E89*4)*AM87))</f>
        <v>-13171.062303335013</v>
      </c>
      <c r="AN89" s="15">
        <f t="shared" ref="AN89" ca="1" si="1123">-IF(AN$12=1,SUM(AN87:AN88),IF($F89="SL",SUM(OFFSET(AM88,,,,-MIN(AM$14,$E89*4)))*1/($E89*4),2*1/($E89*4)*AN87))</f>
        <v>-12230.272138811082</v>
      </c>
      <c r="AO89" s="15">
        <f t="shared" ref="AO89" ca="1" si="1124">-IF(AO$12=1,SUM(AO87:AO88),IF($F89="SL",SUM(OFFSET(AN88,,,,-MIN(AN$14,$E89*4)))*1/($E89*4),2*1/($E89*4)*AO87))</f>
        <v>-11356.681271753147</v>
      </c>
      <c r="AP89" s="15">
        <f t="shared" ref="AP89" ca="1" si="1125">-IF(AP$12=1,SUM(AP87:AP88),IF($F89="SL",SUM(OFFSET(AO88,,,,-MIN(AO$14,$E89*4)))*1/($E89*4),2*1/($E89*4)*AP87))</f>
        <v>-10545.489752342206</v>
      </c>
      <c r="AQ89" s="15">
        <f t="shared" ref="AQ89" ca="1" si="1126">-IF(AQ$12=1,SUM(AQ87:AQ88),IF($F89="SL",SUM(OFFSET(AP88,,,,-MIN(AP$14,$E89*4)))*1/($E89*4),2*1/($E89*4)*AQ87))</f>
        <v>-9792.2404843177646</v>
      </c>
      <c r="AR89" s="15">
        <f t="shared" ref="AR89" ca="1" si="1127">-IF(AR$12=1,SUM(AR87:AR88),IF($F89="SL",SUM(OFFSET(AQ88,,,,-MIN(AQ$14,$E89*4)))*1/($E89*4),2*1/($E89*4)*AR87))</f>
        <v>-9092.794735437923</v>
      </c>
      <c r="AS89" s="15">
        <f t="shared" ref="AS89" ca="1" si="1128">-IF(AS$12=1,SUM(AS87:AS88),IF($F89="SL",SUM(OFFSET(AR88,,,,-MIN(AR$14,$E89*4)))*1/($E89*4),2*1/($E89*4)*AS87))</f>
        <v>-8443.3093971923572</v>
      </c>
      <c r="AT89" s="15">
        <f t="shared" ref="AT89" ca="1" si="1129">-IF(AT$12=1,SUM(AT87:AT88),IF($F89="SL",SUM(OFFSET(AS88,,,,-MIN(AS$14,$E89*4)))*1/($E89*4),2*1/($E89*4)*AT87))</f>
        <v>-7840.2158688214749</v>
      </c>
      <c r="AU89" s="15">
        <f t="shared" ref="AU89" ca="1" si="1130">-IF(AU$12=1,SUM(AU87:AU88),IF($F89="SL",SUM(OFFSET(AT88,,,,-MIN(AT$14,$E89*4)))*1/($E89*4),2*1/($E89*4)*AU87))</f>
        <v>-7280.2004496199415</v>
      </c>
      <c r="AV89" s="15">
        <f t="shared" ref="AV89" ca="1" si="1131">-IF(AV$12=1,SUM(AV87:AV88),IF($F89="SL",SUM(OFFSET(AU88,,,,-MIN(AU$14,$E89*4)))*1/($E89*4),2*1/($E89*4)*AV87))</f>
        <v>-6760.1861317899466</v>
      </c>
      <c r="AW89" s="15">
        <f t="shared" ref="AW89" ca="1" si="1132">-IF(AW$12=1,SUM(AW87:AW88),IF($F89="SL",SUM(OFFSET(AV88,,,,-MIN(AV$14,$E89*4)))*1/($E89*4),2*1/($E89*4)*AW87))</f>
        <v>-6277.3156938049506</v>
      </c>
      <c r="AX89" s="15">
        <f t="shared" ref="AX89" ca="1" si="1133">-IF(AX$12=1,SUM(AX87:AX88),IF($F89="SL",SUM(OFFSET(AW88,,,,-MIN(AW$14,$E89*4)))*1/($E89*4),2*1/($E89*4)*AX87))</f>
        <v>-5828.9360013903106</v>
      </c>
      <c r="AY89" s="15">
        <f t="shared" ref="AY89" ca="1" si="1134">-IF(AY$12=1,SUM(AY87:AY88),IF($F89="SL",SUM(OFFSET(AX88,,,,-MIN(AX$14,$E89*4)))*1/($E89*4),2*1/($E89*4)*AY87))</f>
        <v>-5412.5834298624322</v>
      </c>
      <c r="AZ89" s="15">
        <f t="shared" ref="AZ89" ca="1" si="1135">-IF(AZ$12=1,SUM(AZ87:AZ88),IF($F89="SL",SUM(OFFSET(AY88,,,,-MIN(AY$14,$E89*4)))*1/($E89*4),2*1/($E89*4)*AZ87))</f>
        <v>-5025.9703277294002</v>
      </c>
      <c r="BA89" s="15">
        <f t="shared" ref="BA89" ca="1" si="1136">-IF(BA$12=1,SUM(BA87:BA88),IF($F89="SL",SUM(OFFSET(AZ88,,,,-MIN(AZ$14,$E89*4)))*1/($E89*4),2*1/($E89*4)*BA87))</f>
        <v>-4666.9724471773006</v>
      </c>
      <c r="BB89" s="15">
        <f t="shared" ref="BB89" ca="1" si="1137">-IF(BB$12=1,SUM(BB87:BB88),IF($F89="SL",SUM(OFFSET(BA88,,,,-MIN(BA$14,$E89*4)))*1/($E89*4),2*1/($E89*4)*BB87))</f>
        <v>-4333.6172723789214</v>
      </c>
      <c r="BC89" s="15">
        <f t="shared" ref="BC89" ca="1" si="1138">-IF(BC$12=1,SUM(BC87:BC88),IF($F89="SL",SUM(OFFSET(BB88,,,,-MIN(BB$14,$E89*4)))*1/($E89*4),2*1/($E89*4)*BC87))</f>
        <v>-4024.073181494713</v>
      </c>
      <c r="BD89" s="15">
        <f t="shared" ref="BD89" ca="1" si="1139">-IF(BD$12=1,SUM(BD87:BD88),IF($F89="SL",SUM(OFFSET(BC88,,,,-MIN(BC$14,$E89*4)))*1/($E89*4),2*1/($E89*4)*BD87))</f>
        <v>-3736.6393828165192</v>
      </c>
      <c r="BE89" s="15">
        <f t="shared" ref="BE89" ca="1" si="1140">-IF(BE$12=1,SUM(BE87:BE88),IF($F89="SL",SUM(OFFSET(BD88,,,,-MIN(BD$14,$E89*4)))*1/($E89*4),2*1/($E89*4)*BE87))</f>
        <v>-3469.7365697581968</v>
      </c>
      <c r="BF89" s="15">
        <f t="shared" ref="BF89" ca="1" si="1141">-IF(BF$12=1,SUM(BF87:BF88),IF($F89="SL",SUM(OFFSET(BE88,,,,-MIN(BE$14,$E89*4)))*1/($E89*4),2*1/($E89*4)*BF87))</f>
        <v>-3221.8982433468968</v>
      </c>
      <c r="BG89" s="15">
        <f t="shared" ref="BG89" ca="1" si="1142">-IF(BG$12=1,SUM(BG87:BG88),IF($F89="SL",SUM(OFFSET(BF88,,,,-MIN(BF$14,$E89*4)))*1/($E89*4),2*1/($E89*4)*BG87))</f>
        <v>-2991.7626545364042</v>
      </c>
      <c r="BH89" s="15">
        <f t="shared" ref="BH89" ca="1" si="1143">-IF(BH$12=1,SUM(BH87:BH88),IF($F89="SL",SUM(OFFSET(BG88,,,,-MIN(BG$14,$E89*4)))*1/($E89*4),2*1/($E89*4)*BH87))</f>
        <v>-2778.0653220695181</v>
      </c>
      <c r="BI89" s="15">
        <f t="shared" ref="BI89" ca="1" si="1144">-IF(BI$12=1,SUM(BI87:BI88),IF($F89="SL",SUM(OFFSET(BH88,,,,-MIN(BH$14,$E89*4)))*1/($E89*4),2*1/($E89*4)*BI87))</f>
        <v>-2579.6320847788384</v>
      </c>
      <c r="BJ89" s="15">
        <f t="shared" ref="BJ89" ca="1" si="1145">-IF(BJ$12=1,SUM(BJ87:BJ88),IF($F89="SL",SUM(OFFSET(BI88,,,,-MIN(BI$14,$E89*4)))*1/($E89*4),2*1/($E89*4)*BJ87))</f>
        <v>-2395.3726501517785</v>
      </c>
      <c r="BK89" s="15">
        <f t="shared" ref="BK89" ca="1" si="1146">-IF(BK$12=1,SUM(BK87:BK88),IF($F89="SL",SUM(OFFSET(BJ88,,,,-MIN(BJ$14,$E89*4)))*1/($E89*4),2*1/($E89*4)*BK87))</f>
        <v>-2224.2746037123657</v>
      </c>
      <c r="BL89" s="15">
        <f t="shared" ref="BL89" ca="1" si="1147">-IF(BL$12=1,SUM(BL87:BL88),IF($F89="SL",SUM(OFFSET(BK88,,,,-MIN(BK$14,$E89*4)))*1/($E89*4),2*1/($E89*4)*BL87))</f>
        <v>-2065.39784630434</v>
      </c>
      <c r="BM89" s="15">
        <f t="shared" ref="BM89" ca="1" si="1148">-IF(BM$12=1,SUM(BM87:BM88),IF($F89="SL",SUM(OFFSET(BL88,,,,-MIN(BL$14,$E89*4)))*1/($E89*4),2*1/($E89*4)*BM87))</f>
        <v>-1917.8694287111728</v>
      </c>
      <c r="BN89" s="15">
        <f t="shared" ref="BN89" ca="1" si="1149">-IF(BN$12=1,SUM(BN87:BN88),IF($F89="SL",SUM(OFFSET(BM88,,,,-MIN(BM$14,$E89*4)))*1/($E89*4),2*1/($E89*4)*BN87))</f>
        <v>-1780.8787552318033</v>
      </c>
      <c r="BO89" s="15">
        <f t="shared" ref="BO89" ca="1" si="1150">-IF(BO$12=1,SUM(BO87:BO88),IF($F89="SL",SUM(OFFSET(BN88,,,,-MIN(BN$14,$E89*4)))*1/($E89*4),2*1/($E89*4)*BO87))</f>
        <v>-1653.673129858103</v>
      </c>
      <c r="BP89" s="15">
        <f t="shared" ref="BP89" ca="1" si="1151">-IF(BP$12=1,SUM(BP87:BP88),IF($F89="SL",SUM(OFFSET(BO88,,,,-MIN(BO$14,$E89*4)))*1/($E89*4),2*1/($E89*4)*BP87))</f>
        <v>-1535.5536205825242</v>
      </c>
      <c r="BQ89" s="15">
        <f t="shared" ref="BQ89" ca="1" si="1152">-IF(BQ$12=1,SUM(BQ87:BQ88),IF($F89="SL",SUM(OFFSET(BP88,,,,-MIN(BP$14,$E89*4)))*1/($E89*4),2*1/($E89*4)*BQ87))</f>
        <v>-1425.8712191123441</v>
      </c>
      <c r="BR89" s="15">
        <f t="shared" ref="BR89" ca="1" si="1153">-IF(BR$12=1,SUM(BR87:BR88),IF($F89="SL",SUM(OFFSET(BQ88,,,,-MIN(BQ$14,$E89*4)))*1/($E89*4),2*1/($E89*4)*BR87))</f>
        <v>-1324.0232748900337</v>
      </c>
      <c r="BS89" s="15">
        <f t="shared" ref="BS89" ca="1" si="1154">-IF(BS$12=1,SUM(BS87:BS88),IF($F89="SL",SUM(OFFSET(BR88,,,,-MIN(BR$14,$E89*4)))*1/($E89*4),2*1/($E89*4)*BS87))</f>
        <v>-1229.4501838264598</v>
      </c>
      <c r="BT89" s="15">
        <f t="shared" ref="BT89" ca="1" si="1155">-IF(BT$12=1,SUM(BT87:BT88),IF($F89="SL",SUM(OFFSET(BS88,,,,-MIN(BS$14,$E89*4)))*1/($E89*4),2*1/($E89*4)*BT87))</f>
        <v>-1141.6323135531413</v>
      </c>
      <c r="BU89" s="15">
        <f t="shared" ref="BU89" ca="1" si="1156">-IF(BU$12=1,SUM(BU87:BU88),IF($F89="SL",SUM(OFFSET(BT88,,,,-MIN(BT$14,$E89*4)))*1/($E89*4),2*1/($E89*4)*BU87))</f>
        <v>-1060.0871482993455</v>
      </c>
      <c r="BV89" s="15">
        <f t="shared" ref="BV89" ca="1" si="1157">-IF(BV$12=1,SUM(BV87:BV88),IF($F89="SL",SUM(OFFSET(BU88,,,,-MIN(BU$14,$E89*4)))*1/($E89*4),2*1/($E89*4)*BV87))</f>
        <v>-984.36663770653502</v>
      </c>
      <c r="BW89" s="15">
        <f t="shared" ref="BW89" ca="1" si="1158">-IF(BW$12=1,SUM(BW87:BW88),IF($F89="SL",SUM(OFFSET(BV88,,,,-MIN(BV$14,$E89*4)))*1/($E89*4),2*1/($E89*4)*BW87))</f>
        <v>-914.05473501321114</v>
      </c>
      <c r="BX89" s="15">
        <f t="shared" ref="BX89" ca="1" si="1159">-IF(BX$12=1,SUM(BX87:BX88),IF($F89="SL",SUM(OFFSET(BW88,,,,-MIN(BW$14,$E89*4)))*1/($E89*4),2*1/($E89*4)*BX87))</f>
        <v>-848.76511108369607</v>
      </c>
      <c r="BY89" s="15">
        <f t="shared" ref="BY89" ca="1" si="1160">-IF(BY$12=1,SUM(BY87:BY88),IF($F89="SL",SUM(OFFSET(BX88,,,,-MIN(BX$14,$E89*4)))*1/($E89*4),2*1/($E89*4)*BY87))</f>
        <v>-788.13903172057485</v>
      </c>
      <c r="BZ89" s="15">
        <f t="shared" ref="BZ89" ca="1" si="1161">-IF(BZ$12=1,SUM(BZ87:BZ88),IF($F89="SL",SUM(OFFSET(BY88,,,,-MIN(BY$14,$E89*4)))*1/($E89*4),2*1/($E89*4)*BZ87))</f>
        <v>-731.84338659767673</v>
      </c>
      <c r="CA89" s="15">
        <f t="shared" ref="CA89" ca="1" si="1162">-IF(CA$12=1,SUM(CA87:CA88),IF($F89="SL",SUM(OFFSET(BZ88,,,,-MIN(BZ$14,$E89*4)))*1/($E89*4),2*1/($E89*4)*CA87))</f>
        <v>-679.56885898355688</v>
      </c>
      <c r="CB89" s="15">
        <f t="shared" ref="CB89" ca="1" si="1163">-IF(CB$12=1,SUM(CB87:CB88),IF($F89="SL",SUM(OFFSET(CA88,,,,-MIN(CA$14,$E89*4)))*1/($E89*4),2*1/($E89*4)*CB87))</f>
        <v>-631.02822619901713</v>
      </c>
      <c r="CC89" s="15">
        <f t="shared" ref="CC89" ca="1" si="1164">-IF(CC$12=1,SUM(CC87:CC88),IF($F89="SL",SUM(OFFSET(CB88,,,,-MIN(CB$14,$E89*4)))*1/($E89*4),2*1/($E89*4)*CC87))</f>
        <v>-585.95478147051585</v>
      </c>
      <c r="CD89" s="15">
        <f t="shared" ref="CD89" ca="1" si="1165">-IF(CD$12=1,SUM(CD87:CD88),IF($F89="SL",SUM(OFFSET(CC88,,,,-MIN(CC$14,$E89*4)))*1/($E89*4),2*1/($E89*4)*CD87))</f>
        <v>-544.10086850833613</v>
      </c>
      <c r="CE89" s="15">
        <f t="shared" ref="CE89" ca="1" si="1166">-IF(CE$12=1,SUM(CE87:CE88),IF($F89="SL",SUM(OFFSET(CD88,,,,-MIN(CD$14,$E89*4)))*1/($E89*4),2*1/($E89*4)*CE87))</f>
        <v>-505.23652075774072</v>
      </c>
      <c r="CF89" s="15">
        <f t="shared" ref="CF89" ca="1" si="1167">-IF(CF$12=1,SUM(CF87:CF88),IF($F89="SL",SUM(OFFSET(CE88,,,,-MIN(CE$14,$E89*4)))*1/($E89*4),2*1/($E89*4)*CF87))</f>
        <v>-469.14819784647358</v>
      </c>
      <c r="CG89" s="15">
        <f t="shared" ref="CG89" ca="1" si="1168">-IF(CG$12=1,SUM(CG87:CG88),IF($F89="SL",SUM(OFFSET(CF88,,,,-MIN(CF$14,$E89*4)))*1/($E89*4),2*1/($E89*4)*CG87))</f>
        <v>-435.63761228601118</v>
      </c>
      <c r="CH89" s="15">
        <f t="shared" ref="CH89" ca="1" si="1169">-IF(CH$12=1,SUM(CH87:CH88),IF($F89="SL",SUM(OFFSET(CG88,,,,-MIN(CG$14,$E89*4)))*1/($E89*4),2*1/($E89*4)*CH87))</f>
        <v>-404.5206399798675</v>
      </c>
      <c r="CI89" s="15">
        <f t="shared" ref="CI89" ca="1" si="1170">-IF(CI$12=1,SUM(CI87:CI88),IF($F89="SL",SUM(OFFSET(CH88,,,,-MIN(CH$14,$E89*4)))*1/($E89*4),2*1/($E89*4)*CI87))</f>
        <v>-375.62630855273414</v>
      </c>
      <c r="CJ89" s="15">
        <f t="shared" ref="CJ89" ca="1" si="1171">-IF(CJ$12=1,SUM(CJ87:CJ88),IF($F89="SL",SUM(OFFSET(CI88,,,,-MIN(CI$14,$E89*4)))*1/($E89*4),2*1/($E89*4)*CJ87))</f>
        <v>-348.79585794182458</v>
      </c>
      <c r="CK89" s="15">
        <f t="shared" ref="CK89" ca="1" si="1172">-IF(CK$12=1,SUM(CK87:CK88),IF($F89="SL",SUM(OFFSET(CJ88,,,,-MIN(CJ$14,$E89*4)))*1/($E89*4),2*1/($E89*4)*CK87))</f>
        <v>-323.88186808883711</v>
      </c>
      <c r="CL89" s="15">
        <f t="shared" ref="CL89" ca="1" si="1173">-IF(CL$12=1,SUM(CL87:CL88),IF($F89="SL",SUM(OFFSET(CK88,,,,-MIN(CK$14,$E89*4)))*1/($E89*4),2*1/($E89*4)*CL87))</f>
        <v>-300.74744893963447</v>
      </c>
      <c r="CM89" s="15">
        <f t="shared" ref="CM89" ca="1" si="1174">-IF(CM$12=1,SUM(CM87:CM88),IF($F89="SL",SUM(OFFSET(CL88,,,,-MIN(CL$14,$E89*4)))*1/($E89*4),2*1/($E89*4)*CM87))</f>
        <v>-279.26548830108914</v>
      </c>
      <c r="CN89" s="75">
        <f t="shared" ref="CN89" ca="1" si="1175">-IF(CN$12=1,SUM(CN87:CN88),IF($F89="SL",SUM(OFFSET(CM88,,,,-MIN(CM$14,$E89*4)))*1/($E89*4),2*1/($E89*4)*CN87))</f>
        <v>-3630.4513479141588</v>
      </c>
    </row>
    <row r="90" spans="3:92" ht="12.75" customHeight="1" x14ac:dyDescent="0.3">
      <c r="D90" s="50" t="s">
        <v>184</v>
      </c>
      <c r="H90" s="16" t="s">
        <v>1</v>
      </c>
      <c r="J90" s="50">
        <f t="shared" ref="J90" ca="1" si="1176">SUM(J87:J89)</f>
        <v>0</v>
      </c>
      <c r="L90" s="83">
        <v>0</v>
      </c>
      <c r="M90" s="50">
        <f t="shared" ref="M90" ca="1" si="1177">SUM(M87:M89)</f>
        <v>0</v>
      </c>
      <c r="N90" s="50">
        <f t="shared" ref="N90" ca="1" si="1178">SUM(N87:N89)</f>
        <v>0</v>
      </c>
      <c r="O90" s="50">
        <f t="shared" ref="O90" ca="1" si="1179">SUM(O87:O89)</f>
        <v>1013903.3484509259</v>
      </c>
      <c r="P90" s="50">
        <f t="shared" ref="P90" ca="1" si="1180">SUM(P87:P89)</f>
        <v>941481.68070443114</v>
      </c>
      <c r="Q90" s="50">
        <f t="shared" ref="Q90" ca="1" si="1181">SUM(Q87:Q89)</f>
        <v>874232.98922554322</v>
      </c>
      <c r="R90" s="50">
        <f t="shared" ref="R90" ca="1" si="1182">SUM(R87:R89)</f>
        <v>811787.77570943302</v>
      </c>
      <c r="S90" s="50">
        <f t="shared" ref="S90" ca="1" si="1183">SUM(S87:S89)</f>
        <v>753802.93458733067</v>
      </c>
      <c r="T90" s="50">
        <f t="shared" ref="T90" ca="1" si="1184">SUM(T87:T89)</f>
        <v>699959.86783109279</v>
      </c>
      <c r="U90" s="50">
        <f t="shared" ref="U90" ca="1" si="1185">SUM(U87:U89)</f>
        <v>649962.73441458622</v>
      </c>
      <c r="V90" s="50">
        <f t="shared" ref="V90" ca="1" si="1186">SUM(V87:V89)</f>
        <v>603536.82481354428</v>
      </c>
      <c r="W90" s="50">
        <f t="shared" ref="W90" ca="1" si="1187">SUM(W87:W89)</f>
        <v>560427.05161257682</v>
      </c>
      <c r="X90" s="50">
        <f t="shared" ref="X90" ca="1" si="1188">SUM(X87:X89)</f>
        <v>520396.54792596417</v>
      </c>
      <c r="Y90" s="50">
        <f t="shared" ref="Y90" ca="1" si="1189">SUM(Y87:Y89)</f>
        <v>483225.36593125243</v>
      </c>
      <c r="Z90" s="50">
        <f t="shared" ref="Z90" ca="1" si="1190">SUM(Z87:Z89)</f>
        <v>448709.26836473437</v>
      </c>
      <c r="AA90" s="50">
        <f t="shared" ref="AA90" ca="1" si="1191">SUM(AA87:AA89)</f>
        <v>416658.60633868189</v>
      </c>
      <c r="AB90" s="50">
        <f t="shared" ref="AB90" ca="1" si="1192">SUM(AB87:AB89)</f>
        <v>386897.27731449035</v>
      </c>
      <c r="AC90" s="50">
        <f t="shared" ref="AC90" ca="1" si="1193">SUM(AC87:AC89)</f>
        <v>359261.75750631245</v>
      </c>
      <c r="AD90" s="50">
        <f t="shared" ref="AD90" ca="1" si="1194">SUM(AD87:AD89)</f>
        <v>333600.20339871873</v>
      </c>
      <c r="AE90" s="50">
        <f t="shared" ref="AE90" ca="1" si="1195">SUM(AE87:AE89)</f>
        <v>309771.61744166742</v>
      </c>
      <c r="AF90" s="50">
        <f t="shared" ref="AF90" ca="1" si="1196">SUM(AF87:AF89)</f>
        <v>287645.07333869115</v>
      </c>
      <c r="AG90" s="50">
        <f t="shared" ref="AG90" ca="1" si="1197">SUM(AG87:AG89)</f>
        <v>267098.99667164177</v>
      </c>
      <c r="AH90" s="50">
        <f t="shared" ref="AH90" ca="1" si="1198">SUM(AH87:AH89)</f>
        <v>248020.49690938165</v>
      </c>
      <c r="AI90" s="50">
        <f t="shared" ref="AI90" ca="1" si="1199">SUM(AI87:AI89)</f>
        <v>230304.74713014011</v>
      </c>
      <c r="AJ90" s="50">
        <f t="shared" ref="AJ90" ca="1" si="1200">SUM(AJ87:AJ89)</f>
        <v>213854.40804941583</v>
      </c>
      <c r="AK90" s="50">
        <f t="shared" ref="AK90" ca="1" si="1201">SUM(AK87:AK89)</f>
        <v>198579.09318874328</v>
      </c>
      <c r="AL90" s="50">
        <f t="shared" ref="AL90" ca="1" si="1202">SUM(AL87:AL89)</f>
        <v>184394.87224669018</v>
      </c>
      <c r="AM90" s="50">
        <f t="shared" ref="AM90" ca="1" si="1203">SUM(AM87:AM89)</f>
        <v>171223.80994335515</v>
      </c>
      <c r="AN90" s="50">
        <f t="shared" ref="AN90" ca="1" si="1204">SUM(AN87:AN89)</f>
        <v>158993.53780454406</v>
      </c>
      <c r="AO90" s="50">
        <f t="shared" ref="AO90" ca="1" si="1205">SUM(AO87:AO89)</f>
        <v>147636.8565327909</v>
      </c>
      <c r="AP90" s="50">
        <f t="shared" ref="AP90" ca="1" si="1206">SUM(AP87:AP89)</f>
        <v>137091.3667804487</v>
      </c>
      <c r="AQ90" s="50">
        <f t="shared" ref="AQ90" ca="1" si="1207">SUM(AQ87:AQ89)</f>
        <v>127299.12629613094</v>
      </c>
      <c r="AR90" s="50">
        <f t="shared" ref="AR90" ca="1" si="1208">SUM(AR87:AR89)</f>
        <v>118206.33156069301</v>
      </c>
      <c r="AS90" s="50">
        <f t="shared" ref="AS90" ca="1" si="1209">SUM(AS87:AS89)</f>
        <v>109763.02216350066</v>
      </c>
      <c r="AT90" s="50">
        <f t="shared" ref="AT90" ca="1" si="1210">SUM(AT87:AT89)</f>
        <v>101922.80629467919</v>
      </c>
      <c r="AU90" s="50">
        <f t="shared" ref="AU90" ca="1" si="1211">SUM(AU87:AU89)</f>
        <v>94642.605845059254</v>
      </c>
      <c r="AV90" s="50">
        <f t="shared" ref="AV90" ca="1" si="1212">SUM(AV87:AV89)</f>
        <v>87882.419713269308</v>
      </c>
      <c r="AW90" s="50">
        <f t="shared" ref="AW90" ca="1" si="1213">SUM(AW87:AW89)</f>
        <v>81605.104019464357</v>
      </c>
      <c r="AX90" s="50">
        <f t="shared" ref="AX90" ca="1" si="1214">SUM(AX87:AX89)</f>
        <v>75776.168018074051</v>
      </c>
      <c r="AY90" s="50">
        <f t="shared" ref="AY90" ca="1" si="1215">SUM(AY87:AY89)</f>
        <v>70363.584588211612</v>
      </c>
      <c r="AZ90" s="50">
        <f t="shared" ref="AZ90" ca="1" si="1216">SUM(AZ87:AZ89)</f>
        <v>65337.614260482209</v>
      </c>
      <c r="BA90" s="50">
        <f t="shared" ref="BA90" ca="1" si="1217">SUM(BA87:BA89)</f>
        <v>60670.641813304908</v>
      </c>
      <c r="BB90" s="50">
        <f t="shared" ref="BB90" ca="1" si="1218">SUM(BB87:BB89)</f>
        <v>56337.024540925988</v>
      </c>
      <c r="BC90" s="50">
        <f t="shared" ref="BC90" ca="1" si="1219">SUM(BC87:BC89)</f>
        <v>52312.951359431274</v>
      </c>
      <c r="BD90" s="50">
        <f t="shared" ref="BD90" ca="1" si="1220">SUM(BD87:BD89)</f>
        <v>48576.311976614757</v>
      </c>
      <c r="BE90" s="50">
        <f t="shared" ref="BE90" ca="1" si="1221">SUM(BE87:BE89)</f>
        <v>45106.575406856558</v>
      </c>
      <c r="BF90" s="50">
        <f t="shared" ref="BF90" ca="1" si="1222">SUM(BF87:BF89)</f>
        <v>41884.677163509659</v>
      </c>
      <c r="BG90" s="50">
        <f t="shared" ref="BG90" ca="1" si="1223">SUM(BG87:BG89)</f>
        <v>38892.914508973256</v>
      </c>
      <c r="BH90" s="50">
        <f t="shared" ref="BH90" ca="1" si="1224">SUM(BH87:BH89)</f>
        <v>36114.849186903739</v>
      </c>
      <c r="BI90" s="50">
        <f t="shared" ref="BI90" ca="1" si="1225">SUM(BI87:BI89)</f>
        <v>33535.217102124901</v>
      </c>
      <c r="BJ90" s="50">
        <f t="shared" ref="BJ90" ca="1" si="1226">SUM(BJ87:BJ89)</f>
        <v>31139.844451973124</v>
      </c>
      <c r="BK90" s="50">
        <f t="shared" ref="BK90" ca="1" si="1227">SUM(BK87:BK89)</f>
        <v>28915.569848260759</v>
      </c>
      <c r="BL90" s="50">
        <f t="shared" ref="BL90" ca="1" si="1228">SUM(BL87:BL89)</f>
        <v>26850.17200195642</v>
      </c>
      <c r="BM90" s="50">
        <f t="shared" ref="BM90" ca="1" si="1229">SUM(BM87:BM89)</f>
        <v>24932.302573245248</v>
      </c>
      <c r="BN90" s="50">
        <f t="shared" ref="BN90" ca="1" si="1230">SUM(BN87:BN89)</f>
        <v>23151.423818013445</v>
      </c>
      <c r="BO90" s="50">
        <f t="shared" ref="BO90" ca="1" si="1231">SUM(BO87:BO89)</f>
        <v>21497.750688155342</v>
      </c>
      <c r="BP90" s="50">
        <f t="shared" ref="BP90" ca="1" si="1232">SUM(BP87:BP89)</f>
        <v>19962.197067572819</v>
      </c>
      <c r="BQ90" s="50">
        <f t="shared" ref="BQ90" ca="1" si="1233">SUM(BQ87:BQ89)</f>
        <v>18536.325848460474</v>
      </c>
      <c r="BR90" s="50">
        <f t="shared" ref="BR90" ca="1" si="1234">SUM(BR87:BR89)</f>
        <v>17212.30257357044</v>
      </c>
      <c r="BS90" s="50">
        <f t="shared" ref="BS90" ca="1" si="1235">SUM(BS87:BS89)</f>
        <v>15982.852389743979</v>
      </c>
      <c r="BT90" s="50">
        <f t="shared" ref="BT90" ca="1" si="1236">SUM(BT87:BT89)</f>
        <v>14841.220076190837</v>
      </c>
      <c r="BU90" s="50">
        <f t="shared" ref="BU90" ca="1" si="1237">SUM(BU87:BU89)</f>
        <v>13781.132927891491</v>
      </c>
      <c r="BV90" s="50">
        <f t="shared" ref="BV90" ca="1" si="1238">SUM(BV87:BV89)</f>
        <v>12796.766290184956</v>
      </c>
      <c r="BW90" s="50">
        <f t="shared" ref="BW90" ca="1" si="1239">SUM(BW87:BW89)</f>
        <v>11882.711555171745</v>
      </c>
      <c r="BX90" s="50">
        <f t="shared" ref="BX90" ca="1" si="1240">SUM(BX87:BX89)</f>
        <v>11033.946444088049</v>
      </c>
      <c r="BY90" s="50">
        <f t="shared" ref="BY90" ca="1" si="1241">SUM(BY87:BY89)</f>
        <v>10245.807412367474</v>
      </c>
      <c r="BZ90" s="50">
        <f t="shared" ref="BZ90" ca="1" si="1242">SUM(BZ87:BZ89)</f>
        <v>9513.9640257697974</v>
      </c>
      <c r="CA90" s="50">
        <f t="shared" ref="CA90" ca="1" si="1243">SUM(CA87:CA89)</f>
        <v>8834.3951667862402</v>
      </c>
      <c r="CB90" s="50">
        <f t="shared" ref="CB90" ca="1" si="1244">SUM(CB87:CB89)</f>
        <v>8203.3669405872224</v>
      </c>
      <c r="CC90" s="50">
        <f t="shared" ref="CC90" ca="1" si="1245">SUM(CC87:CC89)</f>
        <v>7617.4121591167068</v>
      </c>
      <c r="CD90" s="50">
        <f t="shared" ref="CD90" ca="1" si="1246">SUM(CD87:CD89)</f>
        <v>7073.3112906083707</v>
      </c>
      <c r="CE90" s="50">
        <f t="shared" ref="CE90" ca="1" si="1247">SUM(CE87:CE89)</f>
        <v>6568.0747698506302</v>
      </c>
      <c r="CF90" s="50">
        <f t="shared" ref="CF90" ca="1" si="1248">SUM(CF87:CF89)</f>
        <v>6098.9265720041567</v>
      </c>
      <c r="CG90" s="50">
        <f t="shared" ref="CG90" ca="1" si="1249">SUM(CG87:CG89)</f>
        <v>5663.2889597181456</v>
      </c>
      <c r="CH90" s="50">
        <f t="shared" ref="CH90" ca="1" si="1250">SUM(CH87:CH89)</f>
        <v>5258.7683197382785</v>
      </c>
      <c r="CI90" s="50">
        <f t="shared" ref="CI90" ca="1" si="1251">SUM(CI87:CI89)</f>
        <v>4883.1420111855441</v>
      </c>
      <c r="CJ90" s="50">
        <f t="shared" ref="CJ90" ca="1" si="1252">SUM(CJ87:CJ89)</f>
        <v>4534.3461532437195</v>
      </c>
      <c r="CK90" s="50">
        <f t="shared" ref="CK90" ca="1" si="1253">SUM(CK87:CK89)</f>
        <v>4210.4642851548824</v>
      </c>
      <c r="CL90" s="50">
        <f t="shared" ref="CL90" ca="1" si="1254">SUM(CL87:CL89)</f>
        <v>3909.7168362152479</v>
      </c>
      <c r="CM90" s="50">
        <f t="shared" ref="CM90" ca="1" si="1255">SUM(CM87:CM89)</f>
        <v>3630.4513479141588</v>
      </c>
      <c r="CN90" s="50">
        <f t="shared" ref="CN90" ca="1" si="1256">SUM(CN87:CN89)</f>
        <v>0</v>
      </c>
    </row>
    <row r="91" spans="3:92" ht="12.75" customHeight="1" x14ac:dyDescent="0.3">
      <c r="D91" s="84"/>
      <c r="E91" s="85"/>
      <c r="F91" s="85"/>
      <c r="G91" s="85"/>
      <c r="H91" s="86"/>
      <c r="I91" s="87"/>
      <c r="J91" s="84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</row>
    <row r="92" spans="3:92" ht="12.75" customHeight="1" x14ac:dyDescent="0.3">
      <c r="D92" s="15"/>
      <c r="H92" s="16"/>
      <c r="J92" s="15"/>
    </row>
    <row r="93" spans="3:92" ht="12.75" customHeight="1" x14ac:dyDescent="0.3">
      <c r="C93" s="24">
        <f>C86+1</f>
        <v>3</v>
      </c>
      <c r="D93" s="17" t="str">
        <f>INDEX(Ass!$D$107:$D$111,CapexDA!$C93)</f>
        <v>Asset Class 3</v>
      </c>
      <c r="H93" s="16"/>
      <c r="J93" s="15"/>
    </row>
    <row r="94" spans="3:92" ht="12.75" customHeight="1" x14ac:dyDescent="0.3">
      <c r="D94" s="15" t="s">
        <v>181</v>
      </c>
      <c r="H94" s="16" t="s">
        <v>1</v>
      </c>
      <c r="J94" s="15"/>
      <c r="L94" s="80">
        <v>0</v>
      </c>
      <c r="M94" s="15">
        <f t="shared" ref="M94:BX94" si="1257">L97</f>
        <v>0</v>
      </c>
      <c r="N94" s="15">
        <f t="shared" ca="1" si="1257"/>
        <v>0</v>
      </c>
      <c r="O94" s="15">
        <f t="shared" ca="1" si="1257"/>
        <v>503463.83893258061</v>
      </c>
      <c r="P94" s="15">
        <f t="shared" ca="1" si="1257"/>
        <v>440530.85906600801</v>
      </c>
      <c r="Q94" s="15">
        <f t="shared" ca="1" si="1257"/>
        <v>895928.1738004582</v>
      </c>
      <c r="R94" s="15">
        <f t="shared" ca="1" si="1257"/>
        <v>783937.15207540093</v>
      </c>
      <c r="S94" s="15">
        <f t="shared" ca="1" si="1257"/>
        <v>685945.00806597585</v>
      </c>
      <c r="T94" s="15">
        <f t="shared" ca="1" si="1257"/>
        <v>600201.88205772883</v>
      </c>
      <c r="U94" s="15">
        <f t="shared" ca="1" si="1257"/>
        <v>525176.64680051268</v>
      </c>
      <c r="V94" s="15">
        <f t="shared" ca="1" si="1257"/>
        <v>459529.56595044862</v>
      </c>
      <c r="W94" s="15">
        <f t="shared" ca="1" si="1257"/>
        <v>402088.37020664255</v>
      </c>
      <c r="X94" s="15">
        <f t="shared" ca="1" si="1257"/>
        <v>351827.32393081224</v>
      </c>
      <c r="Y94" s="15">
        <f t="shared" ca="1" si="1257"/>
        <v>307848.90843946073</v>
      </c>
      <c r="Z94" s="15">
        <f t="shared" ca="1" si="1257"/>
        <v>269367.79488452815</v>
      </c>
      <c r="AA94" s="15">
        <f t="shared" ca="1" si="1257"/>
        <v>235696.82052396215</v>
      </c>
      <c r="AB94" s="15">
        <f t="shared" ca="1" si="1257"/>
        <v>206234.71795846688</v>
      </c>
      <c r="AC94" s="15">
        <f t="shared" ca="1" si="1257"/>
        <v>180455.37821365852</v>
      </c>
      <c r="AD94" s="15">
        <f t="shared" ca="1" si="1257"/>
        <v>157898.45593695121</v>
      </c>
      <c r="AE94" s="15">
        <f t="shared" ca="1" si="1257"/>
        <v>138161.14894483233</v>
      </c>
      <c r="AF94" s="15">
        <f t="shared" ca="1" si="1257"/>
        <v>120891.00532672828</v>
      </c>
      <c r="AG94" s="15">
        <f t="shared" ca="1" si="1257"/>
        <v>105779.62966088724</v>
      </c>
      <c r="AH94" s="15">
        <f t="shared" ca="1" si="1257"/>
        <v>92557.175953276339</v>
      </c>
      <c r="AI94" s="15">
        <f t="shared" ca="1" si="1257"/>
        <v>80987.528959116797</v>
      </c>
      <c r="AJ94" s="15">
        <f t="shared" ca="1" si="1257"/>
        <v>70864.087839227199</v>
      </c>
      <c r="AK94" s="15">
        <f t="shared" ca="1" si="1257"/>
        <v>62006.076859323803</v>
      </c>
      <c r="AL94" s="15">
        <f t="shared" ca="1" si="1257"/>
        <v>54255.317251908331</v>
      </c>
      <c r="AM94" s="15">
        <f t="shared" ca="1" si="1257"/>
        <v>47473.402595419786</v>
      </c>
      <c r="AN94" s="15">
        <f t="shared" ca="1" si="1257"/>
        <v>41539.227270992313</v>
      </c>
      <c r="AO94" s="15">
        <f t="shared" ca="1" si="1257"/>
        <v>36346.823862118275</v>
      </c>
      <c r="AP94" s="15">
        <f t="shared" ca="1" si="1257"/>
        <v>31803.470879353492</v>
      </c>
      <c r="AQ94" s="15">
        <f t="shared" ca="1" si="1257"/>
        <v>27828.037019434305</v>
      </c>
      <c r="AR94" s="15">
        <f t="shared" ca="1" si="1257"/>
        <v>24349.532392005018</v>
      </c>
      <c r="AS94" s="15">
        <f t="shared" ca="1" si="1257"/>
        <v>21305.840843004389</v>
      </c>
      <c r="AT94" s="15">
        <f t="shared" ca="1" si="1257"/>
        <v>18642.610737628842</v>
      </c>
      <c r="AU94" s="15">
        <f t="shared" ca="1" si="1257"/>
        <v>16312.284395425237</v>
      </c>
      <c r="AV94" s="15">
        <f t="shared" ca="1" si="1257"/>
        <v>14273.248845997083</v>
      </c>
      <c r="AW94" s="15">
        <f t="shared" ca="1" si="1257"/>
        <v>12489.092740247448</v>
      </c>
      <c r="AX94" s="15">
        <f t="shared" ca="1" si="1257"/>
        <v>10927.956147716517</v>
      </c>
      <c r="AY94" s="15">
        <f t="shared" ca="1" si="1257"/>
        <v>9561.9616292519531</v>
      </c>
      <c r="AZ94" s="15">
        <f t="shared" ca="1" si="1257"/>
        <v>8366.7164255954594</v>
      </c>
      <c r="BA94" s="15">
        <f t="shared" ca="1" si="1257"/>
        <v>7320.8768723960275</v>
      </c>
      <c r="BB94" s="15">
        <f t="shared" ca="1" si="1257"/>
        <v>6405.7672633465245</v>
      </c>
      <c r="BC94" s="15">
        <f t="shared" ca="1" si="1257"/>
        <v>5605.0463554282087</v>
      </c>
      <c r="BD94" s="15">
        <f t="shared" ca="1" si="1257"/>
        <v>4904.4155609996824</v>
      </c>
      <c r="BE94" s="15">
        <f t="shared" ca="1" si="1257"/>
        <v>4291.3636158747222</v>
      </c>
      <c r="BF94" s="15">
        <f t="shared" ca="1" si="1257"/>
        <v>3754.943163890382</v>
      </c>
      <c r="BG94" s="15">
        <f t="shared" ca="1" si="1257"/>
        <v>3285.5752684040845</v>
      </c>
      <c r="BH94" s="15">
        <f t="shared" ca="1" si="1257"/>
        <v>2874.8783598535738</v>
      </c>
      <c r="BI94" s="15">
        <f t="shared" ca="1" si="1257"/>
        <v>2515.5185648718771</v>
      </c>
      <c r="BJ94" s="15">
        <f t="shared" ca="1" si="1257"/>
        <v>2201.0787442628925</v>
      </c>
      <c r="BK94" s="15">
        <f t="shared" ca="1" si="1257"/>
        <v>1925.9439012300309</v>
      </c>
      <c r="BL94" s="15">
        <f t="shared" ca="1" si="1257"/>
        <v>1685.2009135762769</v>
      </c>
      <c r="BM94" s="15">
        <f t="shared" ca="1" si="1257"/>
        <v>1474.5507993792423</v>
      </c>
      <c r="BN94" s="15">
        <f t="shared" ca="1" si="1257"/>
        <v>1290.2319494568371</v>
      </c>
      <c r="BO94" s="15">
        <f t="shared" ca="1" si="1257"/>
        <v>1128.9529557747326</v>
      </c>
      <c r="BP94" s="15">
        <f t="shared" ca="1" si="1257"/>
        <v>987.83383630289097</v>
      </c>
      <c r="BQ94" s="15">
        <f t="shared" ca="1" si="1257"/>
        <v>864.35460676502964</v>
      </c>
      <c r="BR94" s="15">
        <f t="shared" ca="1" si="1257"/>
        <v>756.31028091940095</v>
      </c>
      <c r="BS94" s="15">
        <f t="shared" ca="1" si="1257"/>
        <v>661.77149580447588</v>
      </c>
      <c r="BT94" s="15">
        <f t="shared" ca="1" si="1257"/>
        <v>579.05005882891635</v>
      </c>
      <c r="BU94" s="15">
        <f t="shared" ca="1" si="1257"/>
        <v>506.66880147530179</v>
      </c>
      <c r="BV94" s="15">
        <f t="shared" ca="1" si="1257"/>
        <v>443.33520129088907</v>
      </c>
      <c r="BW94" s="15">
        <f t="shared" ca="1" si="1257"/>
        <v>387.91830112952795</v>
      </c>
      <c r="BX94" s="15">
        <f t="shared" ca="1" si="1257"/>
        <v>339.42851348833693</v>
      </c>
      <c r="BY94" s="15">
        <f t="shared" ref="BY94:CN94" ca="1" si="1258">BX97</f>
        <v>296.99994930229479</v>
      </c>
      <c r="BZ94" s="15">
        <f t="shared" ca="1" si="1258"/>
        <v>259.87495563950796</v>
      </c>
      <c r="CA94" s="15">
        <f t="shared" ca="1" si="1258"/>
        <v>227.39058618456946</v>
      </c>
      <c r="CB94" s="15">
        <f t="shared" ca="1" si="1258"/>
        <v>198.96676291149828</v>
      </c>
      <c r="CC94" s="15">
        <f t="shared" ca="1" si="1258"/>
        <v>174.09591754756099</v>
      </c>
      <c r="CD94" s="15">
        <f t="shared" ca="1" si="1258"/>
        <v>152.33392785411587</v>
      </c>
      <c r="CE94" s="15">
        <f t="shared" ca="1" si="1258"/>
        <v>133.29218687235138</v>
      </c>
      <c r="CF94" s="15">
        <f t="shared" ca="1" si="1258"/>
        <v>116.63066351330745</v>
      </c>
      <c r="CG94" s="15">
        <f t="shared" ca="1" si="1258"/>
        <v>102.05183057414402</v>
      </c>
      <c r="CH94" s="15">
        <f t="shared" ca="1" si="1258"/>
        <v>89.295351752376021</v>
      </c>
      <c r="CI94" s="15">
        <f t="shared" ca="1" si="1258"/>
        <v>78.133432783329013</v>
      </c>
      <c r="CJ94" s="15">
        <f t="shared" ca="1" si="1258"/>
        <v>68.366753685412888</v>
      </c>
      <c r="CK94" s="15">
        <f t="shared" ca="1" si="1258"/>
        <v>59.820909474736276</v>
      </c>
      <c r="CL94" s="15">
        <f t="shared" ca="1" si="1258"/>
        <v>52.343295790394244</v>
      </c>
      <c r="CM94" s="15">
        <f t="shared" ca="1" si="1258"/>
        <v>45.800383816594966</v>
      </c>
      <c r="CN94" s="15">
        <f t="shared" ca="1" si="1258"/>
        <v>40.075335839520598</v>
      </c>
    </row>
    <row r="95" spans="3:92" ht="12.75" customHeight="1" x14ac:dyDescent="0.3">
      <c r="D95" s="15" t="s">
        <v>182</v>
      </c>
      <c r="H95" s="16" t="s">
        <v>1</v>
      </c>
      <c r="J95" s="58">
        <f>SUM(L95:CN95)</f>
        <v>1013927.5110502818</v>
      </c>
      <c r="L95" s="81">
        <v>0</v>
      </c>
      <c r="M95" s="78">
        <f t="shared" ref="M95:BX95" si="1259">INDEX(M$19:M$23,$C93)</f>
        <v>0</v>
      </c>
      <c r="N95" s="78">
        <f t="shared" si="1259"/>
        <v>503463.83893258061</v>
      </c>
      <c r="O95" s="78">
        <f t="shared" si="1259"/>
        <v>0</v>
      </c>
      <c r="P95" s="78">
        <f t="shared" si="1259"/>
        <v>510463.67211770115</v>
      </c>
      <c r="Q95" s="78">
        <f t="shared" si="1259"/>
        <v>0</v>
      </c>
      <c r="R95" s="78">
        <f t="shared" si="1259"/>
        <v>0</v>
      </c>
      <c r="S95" s="78">
        <f t="shared" si="1259"/>
        <v>0</v>
      </c>
      <c r="T95" s="78">
        <f t="shared" si="1259"/>
        <v>0</v>
      </c>
      <c r="U95" s="78">
        <f t="shared" si="1259"/>
        <v>0</v>
      </c>
      <c r="V95" s="78">
        <f t="shared" si="1259"/>
        <v>0</v>
      </c>
      <c r="W95" s="78">
        <f t="shared" si="1259"/>
        <v>0</v>
      </c>
      <c r="X95" s="78">
        <f t="shared" si="1259"/>
        <v>0</v>
      </c>
      <c r="Y95" s="78">
        <f t="shared" si="1259"/>
        <v>0</v>
      </c>
      <c r="Z95" s="78">
        <f t="shared" si="1259"/>
        <v>0</v>
      </c>
      <c r="AA95" s="78">
        <f t="shared" si="1259"/>
        <v>0</v>
      </c>
      <c r="AB95" s="78">
        <f t="shared" si="1259"/>
        <v>0</v>
      </c>
      <c r="AC95" s="78">
        <f t="shared" si="1259"/>
        <v>0</v>
      </c>
      <c r="AD95" s="78">
        <f t="shared" si="1259"/>
        <v>0</v>
      </c>
      <c r="AE95" s="78">
        <f t="shared" si="1259"/>
        <v>0</v>
      </c>
      <c r="AF95" s="78">
        <f t="shared" si="1259"/>
        <v>0</v>
      </c>
      <c r="AG95" s="78">
        <f t="shared" si="1259"/>
        <v>0</v>
      </c>
      <c r="AH95" s="78">
        <f t="shared" si="1259"/>
        <v>0</v>
      </c>
      <c r="AI95" s="78">
        <f t="shared" si="1259"/>
        <v>0</v>
      </c>
      <c r="AJ95" s="78">
        <f t="shared" si="1259"/>
        <v>0</v>
      </c>
      <c r="AK95" s="78">
        <f t="shared" si="1259"/>
        <v>0</v>
      </c>
      <c r="AL95" s="78">
        <f t="shared" si="1259"/>
        <v>0</v>
      </c>
      <c r="AM95" s="78">
        <f t="shared" si="1259"/>
        <v>0</v>
      </c>
      <c r="AN95" s="78">
        <f t="shared" si="1259"/>
        <v>0</v>
      </c>
      <c r="AO95" s="78">
        <f t="shared" si="1259"/>
        <v>0</v>
      </c>
      <c r="AP95" s="78">
        <f t="shared" si="1259"/>
        <v>0</v>
      </c>
      <c r="AQ95" s="78">
        <f t="shared" si="1259"/>
        <v>0</v>
      </c>
      <c r="AR95" s="78">
        <f t="shared" si="1259"/>
        <v>0</v>
      </c>
      <c r="AS95" s="78">
        <f t="shared" si="1259"/>
        <v>0</v>
      </c>
      <c r="AT95" s="78">
        <f t="shared" si="1259"/>
        <v>0</v>
      </c>
      <c r="AU95" s="78">
        <f t="shared" si="1259"/>
        <v>0</v>
      </c>
      <c r="AV95" s="78">
        <f t="shared" si="1259"/>
        <v>0</v>
      </c>
      <c r="AW95" s="78">
        <f t="shared" si="1259"/>
        <v>0</v>
      </c>
      <c r="AX95" s="78">
        <f t="shared" si="1259"/>
        <v>0</v>
      </c>
      <c r="AY95" s="78">
        <f t="shared" si="1259"/>
        <v>0</v>
      </c>
      <c r="AZ95" s="78">
        <f t="shared" si="1259"/>
        <v>0</v>
      </c>
      <c r="BA95" s="78">
        <f t="shared" si="1259"/>
        <v>0</v>
      </c>
      <c r="BB95" s="78">
        <f t="shared" si="1259"/>
        <v>0</v>
      </c>
      <c r="BC95" s="78">
        <f t="shared" si="1259"/>
        <v>0</v>
      </c>
      <c r="BD95" s="78">
        <f t="shared" si="1259"/>
        <v>0</v>
      </c>
      <c r="BE95" s="78">
        <f t="shared" si="1259"/>
        <v>0</v>
      </c>
      <c r="BF95" s="78">
        <f t="shared" si="1259"/>
        <v>0</v>
      </c>
      <c r="BG95" s="78">
        <f t="shared" si="1259"/>
        <v>0</v>
      </c>
      <c r="BH95" s="78">
        <f t="shared" si="1259"/>
        <v>0</v>
      </c>
      <c r="BI95" s="78">
        <f t="shared" si="1259"/>
        <v>0</v>
      </c>
      <c r="BJ95" s="78">
        <f t="shared" si="1259"/>
        <v>0</v>
      </c>
      <c r="BK95" s="78">
        <f t="shared" si="1259"/>
        <v>0</v>
      </c>
      <c r="BL95" s="78">
        <f t="shared" si="1259"/>
        <v>0</v>
      </c>
      <c r="BM95" s="78">
        <f t="shared" si="1259"/>
        <v>0</v>
      </c>
      <c r="BN95" s="78">
        <f t="shared" si="1259"/>
        <v>0</v>
      </c>
      <c r="BO95" s="78">
        <f t="shared" si="1259"/>
        <v>0</v>
      </c>
      <c r="BP95" s="78">
        <f t="shared" si="1259"/>
        <v>0</v>
      </c>
      <c r="BQ95" s="78">
        <f t="shared" si="1259"/>
        <v>0</v>
      </c>
      <c r="BR95" s="78">
        <f t="shared" si="1259"/>
        <v>0</v>
      </c>
      <c r="BS95" s="78">
        <f t="shared" si="1259"/>
        <v>0</v>
      </c>
      <c r="BT95" s="78">
        <f t="shared" si="1259"/>
        <v>0</v>
      </c>
      <c r="BU95" s="78">
        <f t="shared" si="1259"/>
        <v>0</v>
      </c>
      <c r="BV95" s="78">
        <f t="shared" si="1259"/>
        <v>0</v>
      </c>
      <c r="BW95" s="78">
        <f t="shared" si="1259"/>
        <v>0</v>
      </c>
      <c r="BX95" s="78">
        <f t="shared" si="1259"/>
        <v>0</v>
      </c>
      <c r="BY95" s="78">
        <f t="shared" ref="BY95:CN95" si="1260">INDEX(BY$19:BY$23,$C93)</f>
        <v>0</v>
      </c>
      <c r="BZ95" s="78">
        <f t="shared" si="1260"/>
        <v>0</v>
      </c>
      <c r="CA95" s="78">
        <f t="shared" si="1260"/>
        <v>0</v>
      </c>
      <c r="CB95" s="78">
        <f t="shared" si="1260"/>
        <v>0</v>
      </c>
      <c r="CC95" s="78">
        <f t="shared" si="1260"/>
        <v>0</v>
      </c>
      <c r="CD95" s="78">
        <f t="shared" si="1260"/>
        <v>0</v>
      </c>
      <c r="CE95" s="78">
        <f t="shared" si="1260"/>
        <v>0</v>
      </c>
      <c r="CF95" s="78">
        <f t="shared" si="1260"/>
        <v>0</v>
      </c>
      <c r="CG95" s="78">
        <f t="shared" si="1260"/>
        <v>0</v>
      </c>
      <c r="CH95" s="78">
        <f t="shared" si="1260"/>
        <v>0</v>
      </c>
      <c r="CI95" s="78">
        <f t="shared" si="1260"/>
        <v>0</v>
      </c>
      <c r="CJ95" s="78">
        <f t="shared" si="1260"/>
        <v>0</v>
      </c>
      <c r="CK95" s="78">
        <f t="shared" si="1260"/>
        <v>0</v>
      </c>
      <c r="CL95" s="78">
        <f t="shared" si="1260"/>
        <v>0</v>
      </c>
      <c r="CM95" s="78">
        <f t="shared" si="1260"/>
        <v>0</v>
      </c>
      <c r="CN95" s="78">
        <f t="shared" si="1260"/>
        <v>0</v>
      </c>
    </row>
    <row r="96" spans="3:92" ht="12.75" customHeight="1" x14ac:dyDescent="0.3">
      <c r="D96" s="15" t="s">
        <v>183</v>
      </c>
      <c r="E96" s="1">
        <f>INDEX(Ass!I$107:I$111,$C93)</f>
        <v>4</v>
      </c>
      <c r="F96" s="1" t="str">
        <f>INDEX(Ass!J$107:J$111,$C93)</f>
        <v>DDB</v>
      </c>
      <c r="H96" s="16" t="s">
        <v>1</v>
      </c>
      <c r="J96" s="58">
        <f ca="1">SUM(L96:CN96)</f>
        <v>-1013927.5110502819</v>
      </c>
      <c r="L96" s="82">
        <v>0</v>
      </c>
      <c r="M96" s="15">
        <f t="shared" ref="M96" ca="1" si="1261">-IF(M$12=1,SUM(M94:M95),IF($F96="SL",SUM(OFFSET(L95,,,,-MIN(L$14,$E96*4)))*1/($E96*4),2*1/($E96*4)*M94))</f>
        <v>0</v>
      </c>
      <c r="N96" s="15">
        <f t="shared" ref="N96" ca="1" si="1262">-IF(N$12=1,SUM(N94:N95),IF($F96="SL",SUM(OFFSET(M95,,,,-MIN(M$14,$E96*4)))*1/($E96*4),2*1/($E96*4)*N94))</f>
        <v>0</v>
      </c>
      <c r="O96" s="15">
        <f t="shared" ref="O96" ca="1" si="1263">-IF(O$12=1,SUM(O94:O95),IF($F96="SL",SUM(OFFSET(N95,,,,-MIN(N$14,$E96*4)))*1/($E96*4),2*1/($E96*4)*O94))</f>
        <v>-62932.979866572576</v>
      </c>
      <c r="P96" s="15">
        <f t="shared" ref="P96" ca="1" si="1264">-IF(P$12=1,SUM(P94:P95),IF($F96="SL",SUM(OFFSET(O95,,,,-MIN(O$14,$E96*4)))*1/($E96*4),2*1/($E96*4)*P94))</f>
        <v>-55066.357383251001</v>
      </c>
      <c r="Q96" s="15">
        <f t="shared" ref="Q96" ca="1" si="1265">-IF(Q$12=1,SUM(Q94:Q95),IF($F96="SL",SUM(OFFSET(P95,,,,-MIN(P$14,$E96*4)))*1/($E96*4),2*1/($E96*4)*Q94))</f>
        <v>-111991.02172505728</v>
      </c>
      <c r="R96" s="15">
        <f t="shared" ref="R96" ca="1" si="1266">-IF(R$12=1,SUM(R94:R95),IF($F96="SL",SUM(OFFSET(Q95,,,,-MIN(Q$14,$E96*4)))*1/($E96*4),2*1/($E96*4)*R94))</f>
        <v>-97992.144009425116</v>
      </c>
      <c r="S96" s="15">
        <f t="shared" ref="S96" ca="1" si="1267">-IF(S$12=1,SUM(S94:S95),IF($F96="SL",SUM(OFFSET(R95,,,,-MIN(R$14,$E96*4)))*1/($E96*4),2*1/($E96*4)*S94))</f>
        <v>-85743.126008246982</v>
      </c>
      <c r="T96" s="15">
        <f t="shared" ref="T96" ca="1" si="1268">-IF(T$12=1,SUM(T94:T95),IF($F96="SL",SUM(OFFSET(S95,,,,-MIN(S$14,$E96*4)))*1/($E96*4),2*1/($E96*4)*T94))</f>
        <v>-75025.235257216103</v>
      </c>
      <c r="U96" s="15">
        <f t="shared" ref="U96" ca="1" si="1269">-IF(U$12=1,SUM(U94:U95),IF($F96="SL",SUM(OFFSET(T95,,,,-MIN(T$14,$E96*4)))*1/($E96*4),2*1/($E96*4)*U94))</f>
        <v>-65647.080850064085</v>
      </c>
      <c r="V96" s="15">
        <f t="shared" ref="V96" ca="1" si="1270">-IF(V$12=1,SUM(V94:V95),IF($F96="SL",SUM(OFFSET(U95,,,,-MIN(U$14,$E96*4)))*1/($E96*4),2*1/($E96*4)*V94))</f>
        <v>-57441.195743806078</v>
      </c>
      <c r="W96" s="15">
        <f t="shared" ref="W96" ca="1" si="1271">-IF(W$12=1,SUM(W94:W95),IF($F96="SL",SUM(OFFSET(V95,,,,-MIN(V$14,$E96*4)))*1/($E96*4),2*1/($E96*4)*W94))</f>
        <v>-50261.046275830318</v>
      </c>
      <c r="X96" s="15">
        <f t="shared" ref="X96" ca="1" si="1272">-IF(X$12=1,SUM(X94:X95),IF($F96="SL",SUM(OFFSET(W95,,,,-MIN(W$14,$E96*4)))*1/($E96*4),2*1/($E96*4)*X94))</f>
        <v>-43978.41549135153</v>
      </c>
      <c r="Y96" s="15">
        <f t="shared" ref="Y96" ca="1" si="1273">-IF(Y$12=1,SUM(Y94:Y95),IF($F96="SL",SUM(OFFSET(X95,,,,-MIN(X$14,$E96*4)))*1/($E96*4),2*1/($E96*4)*Y94))</f>
        <v>-38481.113554932592</v>
      </c>
      <c r="Z96" s="15">
        <f t="shared" ref="Z96" ca="1" si="1274">-IF(Z$12=1,SUM(Z94:Z95),IF($F96="SL",SUM(OFFSET(Y95,,,,-MIN(Y$14,$E96*4)))*1/($E96*4),2*1/($E96*4)*Z94))</f>
        <v>-33670.974360566019</v>
      </c>
      <c r="AA96" s="15">
        <f t="shared" ref="AA96" ca="1" si="1275">-IF(AA$12=1,SUM(AA94:AA95),IF($F96="SL",SUM(OFFSET(Z95,,,,-MIN(Z$14,$E96*4)))*1/($E96*4),2*1/($E96*4)*AA94))</f>
        <v>-29462.102565495268</v>
      </c>
      <c r="AB96" s="15">
        <f t="shared" ref="AB96" ca="1" si="1276">-IF(AB$12=1,SUM(AB94:AB95),IF($F96="SL",SUM(OFFSET(AA95,,,,-MIN(AA$14,$E96*4)))*1/($E96*4),2*1/($E96*4)*AB94))</f>
        <v>-25779.33974480836</v>
      </c>
      <c r="AC96" s="15">
        <f t="shared" ref="AC96" ca="1" si="1277">-IF(AC$12=1,SUM(AC94:AC95),IF($F96="SL",SUM(OFFSET(AB95,,,,-MIN(AB$14,$E96*4)))*1/($E96*4),2*1/($E96*4)*AC94))</f>
        <v>-22556.922276707315</v>
      </c>
      <c r="AD96" s="15">
        <f t="shared" ref="AD96" ca="1" si="1278">-IF(AD$12=1,SUM(AD94:AD95),IF($F96="SL",SUM(OFFSET(AC95,,,,-MIN(AC$14,$E96*4)))*1/($E96*4),2*1/($E96*4)*AD94))</f>
        <v>-19737.306992118902</v>
      </c>
      <c r="AE96" s="15">
        <f t="shared" ref="AE96" ca="1" si="1279">-IF(AE$12=1,SUM(AE94:AE95),IF($F96="SL",SUM(OFFSET(AD95,,,,-MIN(AD$14,$E96*4)))*1/($E96*4),2*1/($E96*4)*AE94))</f>
        <v>-17270.143618104041</v>
      </c>
      <c r="AF96" s="15">
        <f t="shared" ref="AF96" ca="1" si="1280">-IF(AF$12=1,SUM(AF94:AF95),IF($F96="SL",SUM(OFFSET(AE95,,,,-MIN(AE$14,$E96*4)))*1/($E96*4),2*1/($E96*4)*AF94))</f>
        <v>-15111.375665841035</v>
      </c>
      <c r="AG96" s="15">
        <f t="shared" ref="AG96" ca="1" si="1281">-IF(AG$12=1,SUM(AG94:AG95),IF($F96="SL",SUM(OFFSET(AF95,,,,-MIN(AF$14,$E96*4)))*1/($E96*4),2*1/($E96*4)*AG94))</f>
        <v>-13222.453707610905</v>
      </c>
      <c r="AH96" s="15">
        <f t="shared" ref="AH96" ca="1" si="1282">-IF(AH$12=1,SUM(AH94:AH95),IF($F96="SL",SUM(OFFSET(AG95,,,,-MIN(AG$14,$E96*4)))*1/($E96*4),2*1/($E96*4)*AH94))</f>
        <v>-11569.646994159542</v>
      </c>
      <c r="AI96" s="15">
        <f t="shared" ref="AI96" ca="1" si="1283">-IF(AI$12=1,SUM(AI94:AI95),IF($F96="SL",SUM(OFFSET(AH95,,,,-MIN(AH$14,$E96*4)))*1/($E96*4),2*1/($E96*4)*AI94))</f>
        <v>-10123.4411198896</v>
      </c>
      <c r="AJ96" s="15">
        <f t="shared" ref="AJ96" ca="1" si="1284">-IF(AJ$12=1,SUM(AJ94:AJ95),IF($F96="SL",SUM(OFFSET(AI95,,,,-MIN(AI$14,$E96*4)))*1/($E96*4),2*1/($E96*4)*AJ94))</f>
        <v>-8858.0109799033999</v>
      </c>
      <c r="AK96" s="15">
        <f t="shared" ref="AK96" ca="1" si="1285">-IF(AK$12=1,SUM(AK94:AK95),IF($F96="SL",SUM(OFFSET(AJ95,,,,-MIN(AJ$14,$E96*4)))*1/($E96*4),2*1/($E96*4)*AK94))</f>
        <v>-7750.7596074154753</v>
      </c>
      <c r="AL96" s="15">
        <f t="shared" ref="AL96" ca="1" si="1286">-IF(AL$12=1,SUM(AL94:AL95),IF($F96="SL",SUM(OFFSET(AK95,,,,-MIN(AK$14,$E96*4)))*1/($E96*4),2*1/($E96*4)*AL94))</f>
        <v>-6781.9146564885414</v>
      </c>
      <c r="AM96" s="15">
        <f t="shared" ref="AM96" ca="1" si="1287">-IF(AM$12=1,SUM(AM94:AM95),IF($F96="SL",SUM(OFFSET(AL95,,,,-MIN(AL$14,$E96*4)))*1/($E96*4),2*1/($E96*4)*AM94))</f>
        <v>-5934.1753244274732</v>
      </c>
      <c r="AN96" s="15">
        <f t="shared" ref="AN96" ca="1" si="1288">-IF(AN$12=1,SUM(AN94:AN95),IF($F96="SL",SUM(OFFSET(AM95,,,,-MIN(AM$14,$E96*4)))*1/($E96*4),2*1/($E96*4)*AN94))</f>
        <v>-5192.4034088740391</v>
      </c>
      <c r="AO96" s="15">
        <f t="shared" ref="AO96" ca="1" si="1289">-IF(AO$12=1,SUM(AO94:AO95),IF($F96="SL",SUM(OFFSET(AN95,,,,-MIN(AN$14,$E96*4)))*1/($E96*4),2*1/($E96*4)*AO94))</f>
        <v>-4543.3529827647844</v>
      </c>
      <c r="AP96" s="15">
        <f t="shared" ref="AP96" ca="1" si="1290">-IF(AP$12=1,SUM(AP94:AP95),IF($F96="SL",SUM(OFFSET(AO95,,,,-MIN(AO$14,$E96*4)))*1/($E96*4),2*1/($E96*4)*AP94))</f>
        <v>-3975.4338599191865</v>
      </c>
      <c r="AQ96" s="15">
        <f t="shared" ref="AQ96" ca="1" si="1291">-IF(AQ$12=1,SUM(AQ94:AQ95),IF($F96="SL",SUM(OFFSET(AP95,,,,-MIN(AP$14,$E96*4)))*1/($E96*4),2*1/($E96*4)*AQ94))</f>
        <v>-3478.5046274292881</v>
      </c>
      <c r="AR96" s="15">
        <f t="shared" ref="AR96" ca="1" si="1292">-IF(AR$12=1,SUM(AR94:AR95),IF($F96="SL",SUM(OFFSET(AQ95,,,,-MIN(AQ$14,$E96*4)))*1/($E96*4),2*1/($E96*4)*AR94))</f>
        <v>-3043.6915490006272</v>
      </c>
      <c r="AS96" s="15">
        <f t="shared" ref="AS96" ca="1" si="1293">-IF(AS$12=1,SUM(AS94:AS95),IF($F96="SL",SUM(OFFSET(AR95,,,,-MIN(AR$14,$E96*4)))*1/($E96*4),2*1/($E96*4)*AS94))</f>
        <v>-2663.2301053755486</v>
      </c>
      <c r="AT96" s="15">
        <f t="shared" ref="AT96" ca="1" si="1294">-IF(AT$12=1,SUM(AT94:AT95),IF($F96="SL",SUM(OFFSET(AS95,,,,-MIN(AS$14,$E96*4)))*1/($E96*4),2*1/($E96*4)*AT94))</f>
        <v>-2330.3263422036052</v>
      </c>
      <c r="AU96" s="15">
        <f t="shared" ref="AU96" ca="1" si="1295">-IF(AU$12=1,SUM(AU94:AU95),IF($F96="SL",SUM(OFFSET(AT95,,,,-MIN(AT$14,$E96*4)))*1/($E96*4),2*1/($E96*4)*AU94))</f>
        <v>-2039.0355494281546</v>
      </c>
      <c r="AV96" s="15">
        <f t="shared" ref="AV96" ca="1" si="1296">-IF(AV$12=1,SUM(AV94:AV95),IF($F96="SL",SUM(OFFSET(AU95,,,,-MIN(AU$14,$E96*4)))*1/($E96*4),2*1/($E96*4)*AV94))</f>
        <v>-1784.1561057496353</v>
      </c>
      <c r="AW96" s="15">
        <f t="shared" ref="AW96" ca="1" si="1297">-IF(AW$12=1,SUM(AW94:AW95),IF($F96="SL",SUM(OFFSET(AV95,,,,-MIN(AV$14,$E96*4)))*1/($E96*4),2*1/($E96*4)*AW94))</f>
        <v>-1561.136592530931</v>
      </c>
      <c r="AX96" s="15">
        <f t="shared" ref="AX96" ca="1" si="1298">-IF(AX$12=1,SUM(AX94:AX95),IF($F96="SL",SUM(OFFSET(AW95,,,,-MIN(AW$14,$E96*4)))*1/($E96*4),2*1/($E96*4)*AX94))</f>
        <v>-1365.9945184645646</v>
      </c>
      <c r="AY96" s="15">
        <f t="shared" ref="AY96" ca="1" si="1299">-IF(AY$12=1,SUM(AY94:AY95),IF($F96="SL",SUM(OFFSET(AX95,,,,-MIN(AX$14,$E96*4)))*1/($E96*4),2*1/($E96*4)*AY94))</f>
        <v>-1195.2452036564941</v>
      </c>
      <c r="AZ96" s="15">
        <f t="shared" ref="AZ96" ca="1" si="1300">-IF(AZ$12=1,SUM(AZ94:AZ95),IF($F96="SL",SUM(OFFSET(AY95,,,,-MIN(AY$14,$E96*4)))*1/($E96*4),2*1/($E96*4)*AZ94))</f>
        <v>-1045.8395531994324</v>
      </c>
      <c r="BA96" s="15">
        <f t="shared" ref="BA96" ca="1" si="1301">-IF(BA$12=1,SUM(BA94:BA95),IF($F96="SL",SUM(OFFSET(AZ95,,,,-MIN(AZ$14,$E96*4)))*1/($E96*4),2*1/($E96*4)*BA94))</f>
        <v>-915.10960904950343</v>
      </c>
      <c r="BB96" s="15">
        <f t="shared" ref="BB96" ca="1" si="1302">-IF(BB$12=1,SUM(BB94:BB95),IF($F96="SL",SUM(OFFSET(BA95,,,,-MIN(BA$14,$E96*4)))*1/($E96*4),2*1/($E96*4)*BB94))</f>
        <v>-800.72090791831556</v>
      </c>
      <c r="BC96" s="15">
        <f t="shared" ref="BC96" ca="1" si="1303">-IF(BC$12=1,SUM(BC94:BC95),IF($F96="SL",SUM(OFFSET(BB95,,,,-MIN(BB$14,$E96*4)))*1/($E96*4),2*1/($E96*4)*BC94))</f>
        <v>-700.63079442852609</v>
      </c>
      <c r="BD96" s="15">
        <f t="shared" ref="BD96" ca="1" si="1304">-IF(BD$12=1,SUM(BD94:BD95),IF($F96="SL",SUM(OFFSET(BC95,,,,-MIN(BC$14,$E96*4)))*1/($E96*4),2*1/($E96*4)*BD94))</f>
        <v>-613.0519451249603</v>
      </c>
      <c r="BE96" s="15">
        <f t="shared" ref="BE96" ca="1" si="1305">-IF(BE$12=1,SUM(BE94:BE95),IF($F96="SL",SUM(OFFSET(BD95,,,,-MIN(BD$14,$E96*4)))*1/($E96*4),2*1/($E96*4)*BE94))</f>
        <v>-536.42045198434027</v>
      </c>
      <c r="BF96" s="15">
        <f t="shared" ref="BF96" ca="1" si="1306">-IF(BF$12=1,SUM(BF94:BF95),IF($F96="SL",SUM(OFFSET(BE95,,,,-MIN(BE$14,$E96*4)))*1/($E96*4),2*1/($E96*4)*BF94))</f>
        <v>-469.36789548629775</v>
      </c>
      <c r="BG96" s="15">
        <f t="shared" ref="BG96" ca="1" si="1307">-IF(BG$12=1,SUM(BG94:BG95),IF($F96="SL",SUM(OFFSET(BF95,,,,-MIN(BF$14,$E96*4)))*1/($E96*4),2*1/($E96*4)*BG94))</f>
        <v>-410.69690855051056</v>
      </c>
      <c r="BH96" s="15">
        <f t="shared" ref="BH96" ca="1" si="1308">-IF(BH$12=1,SUM(BH94:BH95),IF($F96="SL",SUM(OFFSET(BG95,,,,-MIN(BG$14,$E96*4)))*1/($E96*4),2*1/($E96*4)*BH94))</f>
        <v>-359.35979498169672</v>
      </c>
      <c r="BI96" s="15">
        <f t="shared" ref="BI96" ca="1" si="1309">-IF(BI$12=1,SUM(BI94:BI95),IF($F96="SL",SUM(OFFSET(BH95,,,,-MIN(BH$14,$E96*4)))*1/($E96*4),2*1/($E96*4)*BI94))</f>
        <v>-314.43982060898463</v>
      </c>
      <c r="BJ96" s="15">
        <f t="shared" ref="BJ96" ca="1" si="1310">-IF(BJ$12=1,SUM(BJ94:BJ95),IF($F96="SL",SUM(OFFSET(BI95,,,,-MIN(BI$14,$E96*4)))*1/($E96*4),2*1/($E96*4)*BJ94))</f>
        <v>-275.13484303286157</v>
      </c>
      <c r="BK96" s="15">
        <f t="shared" ref="BK96" ca="1" si="1311">-IF(BK$12=1,SUM(BK94:BK95),IF($F96="SL",SUM(OFFSET(BJ95,,,,-MIN(BJ$14,$E96*4)))*1/($E96*4),2*1/($E96*4)*BK94))</f>
        <v>-240.74298765375386</v>
      </c>
      <c r="BL96" s="15">
        <f t="shared" ref="BL96" ca="1" si="1312">-IF(BL$12=1,SUM(BL94:BL95),IF($F96="SL",SUM(OFFSET(BK95,,,,-MIN(BK$14,$E96*4)))*1/($E96*4),2*1/($E96*4)*BL94))</f>
        <v>-210.65011419703461</v>
      </c>
      <c r="BM96" s="15">
        <f t="shared" ref="BM96" ca="1" si="1313">-IF(BM$12=1,SUM(BM94:BM95),IF($F96="SL",SUM(OFFSET(BL95,,,,-MIN(BL$14,$E96*4)))*1/($E96*4),2*1/($E96*4)*BM94))</f>
        <v>-184.31884992240529</v>
      </c>
      <c r="BN96" s="15">
        <f t="shared" ref="BN96" ca="1" si="1314">-IF(BN$12=1,SUM(BN94:BN95),IF($F96="SL",SUM(OFFSET(BM95,,,,-MIN(BM$14,$E96*4)))*1/($E96*4),2*1/($E96*4)*BN94))</f>
        <v>-161.27899368210464</v>
      </c>
      <c r="BO96" s="15">
        <f t="shared" ref="BO96" ca="1" si="1315">-IF(BO$12=1,SUM(BO94:BO95),IF($F96="SL",SUM(OFFSET(BN95,,,,-MIN(BN$14,$E96*4)))*1/($E96*4),2*1/($E96*4)*BO94))</f>
        <v>-141.11911947184157</v>
      </c>
      <c r="BP96" s="15">
        <f t="shared" ref="BP96" ca="1" si="1316">-IF(BP$12=1,SUM(BP94:BP95),IF($F96="SL",SUM(OFFSET(BO95,,,,-MIN(BO$14,$E96*4)))*1/($E96*4),2*1/($E96*4)*BP94))</f>
        <v>-123.47922953786137</v>
      </c>
      <c r="BQ96" s="15">
        <f t="shared" ref="BQ96" ca="1" si="1317">-IF(BQ$12=1,SUM(BQ94:BQ95),IF($F96="SL",SUM(OFFSET(BP95,,,,-MIN(BP$14,$E96*4)))*1/($E96*4),2*1/($E96*4)*BQ94))</f>
        <v>-108.04432584562871</v>
      </c>
      <c r="BR96" s="15">
        <f t="shared" ref="BR96" ca="1" si="1318">-IF(BR$12=1,SUM(BR94:BR95),IF($F96="SL",SUM(OFFSET(BQ95,,,,-MIN(BQ$14,$E96*4)))*1/($E96*4),2*1/($E96*4)*BR94))</f>
        <v>-94.538785114925119</v>
      </c>
      <c r="BS96" s="15">
        <f t="shared" ref="BS96" ca="1" si="1319">-IF(BS$12=1,SUM(BS94:BS95),IF($F96="SL",SUM(OFFSET(BR95,,,,-MIN(BR$14,$E96*4)))*1/($E96*4),2*1/($E96*4)*BS94))</f>
        <v>-82.721436975559484</v>
      </c>
      <c r="BT96" s="15">
        <f t="shared" ref="BT96" ca="1" si="1320">-IF(BT$12=1,SUM(BT94:BT95),IF($F96="SL",SUM(OFFSET(BS95,,,,-MIN(BS$14,$E96*4)))*1/($E96*4),2*1/($E96*4)*BT94))</f>
        <v>-72.381257353614544</v>
      </c>
      <c r="BU96" s="15">
        <f t="shared" ref="BU96" ca="1" si="1321">-IF(BU$12=1,SUM(BU94:BU95),IF($F96="SL",SUM(OFFSET(BT95,,,,-MIN(BT$14,$E96*4)))*1/($E96*4),2*1/($E96*4)*BU94))</f>
        <v>-63.333600184412724</v>
      </c>
      <c r="BV96" s="15">
        <f t="shared" ref="BV96" ca="1" si="1322">-IF(BV$12=1,SUM(BV94:BV95),IF($F96="SL",SUM(OFFSET(BU95,,,,-MIN(BU$14,$E96*4)))*1/($E96*4),2*1/($E96*4)*BV94))</f>
        <v>-55.416900161361134</v>
      </c>
      <c r="BW96" s="15">
        <f t="shared" ref="BW96" ca="1" si="1323">-IF(BW$12=1,SUM(BW94:BW95),IF($F96="SL",SUM(OFFSET(BV95,,,,-MIN(BV$14,$E96*4)))*1/($E96*4),2*1/($E96*4)*BW94))</f>
        <v>-48.489787641190993</v>
      </c>
      <c r="BX96" s="15">
        <f t="shared" ref="BX96" ca="1" si="1324">-IF(BX$12=1,SUM(BX94:BX95),IF($F96="SL",SUM(OFFSET(BW95,,,,-MIN(BW$14,$E96*4)))*1/($E96*4),2*1/($E96*4)*BX94))</f>
        <v>-42.428564186042117</v>
      </c>
      <c r="BY96" s="15">
        <f t="shared" ref="BY96" ca="1" si="1325">-IF(BY$12=1,SUM(BY94:BY95),IF($F96="SL",SUM(OFFSET(BX95,,,,-MIN(BX$14,$E96*4)))*1/($E96*4),2*1/($E96*4)*BY94))</f>
        <v>-37.124993662786849</v>
      </c>
      <c r="BZ96" s="15">
        <f t="shared" ref="BZ96" ca="1" si="1326">-IF(BZ$12=1,SUM(BZ94:BZ95),IF($F96="SL",SUM(OFFSET(BY95,,,,-MIN(BY$14,$E96*4)))*1/($E96*4),2*1/($E96*4)*BZ94))</f>
        <v>-32.484369454938495</v>
      </c>
      <c r="CA96" s="15">
        <f t="shared" ref="CA96" ca="1" si="1327">-IF(CA$12=1,SUM(CA94:CA95),IF($F96="SL",SUM(OFFSET(BZ95,,,,-MIN(BZ$14,$E96*4)))*1/($E96*4),2*1/($E96*4)*CA94))</f>
        <v>-28.423823273071182</v>
      </c>
      <c r="CB96" s="15">
        <f t="shared" ref="CB96" ca="1" si="1328">-IF(CB$12=1,SUM(CB94:CB95),IF($F96="SL",SUM(OFFSET(CA95,,,,-MIN(CA$14,$E96*4)))*1/($E96*4),2*1/($E96*4)*CB94))</f>
        <v>-24.870845363937285</v>
      </c>
      <c r="CC96" s="15">
        <f t="shared" ref="CC96" ca="1" si="1329">-IF(CC$12=1,SUM(CC94:CC95),IF($F96="SL",SUM(OFFSET(CB95,,,,-MIN(CB$14,$E96*4)))*1/($E96*4),2*1/($E96*4)*CC94))</f>
        <v>-21.761989693445123</v>
      </c>
      <c r="CD96" s="15">
        <f t="shared" ref="CD96" ca="1" si="1330">-IF(CD$12=1,SUM(CD94:CD95),IF($F96="SL",SUM(OFFSET(CC95,,,,-MIN(CC$14,$E96*4)))*1/($E96*4),2*1/($E96*4)*CD94))</f>
        <v>-19.041740981764484</v>
      </c>
      <c r="CE96" s="15">
        <f t="shared" ref="CE96" ca="1" si="1331">-IF(CE$12=1,SUM(CE94:CE95),IF($F96="SL",SUM(OFFSET(CD95,,,,-MIN(CD$14,$E96*4)))*1/($E96*4),2*1/($E96*4)*CE94))</f>
        <v>-16.661523359043922</v>
      </c>
      <c r="CF96" s="15">
        <f t="shared" ref="CF96" ca="1" si="1332">-IF(CF$12=1,SUM(CF94:CF95),IF($F96="SL",SUM(OFFSET(CE95,,,,-MIN(CE$14,$E96*4)))*1/($E96*4),2*1/($E96*4)*CF94))</f>
        <v>-14.578832939163432</v>
      </c>
      <c r="CG96" s="15">
        <f t="shared" ref="CG96" ca="1" si="1333">-IF(CG$12=1,SUM(CG94:CG95),IF($F96="SL",SUM(OFFSET(CF95,,,,-MIN(CF$14,$E96*4)))*1/($E96*4),2*1/($E96*4)*CG94))</f>
        <v>-12.756478821768003</v>
      </c>
      <c r="CH96" s="15">
        <f t="shared" ref="CH96" ca="1" si="1334">-IF(CH$12=1,SUM(CH94:CH95),IF($F96="SL",SUM(OFFSET(CG95,,,,-MIN(CG$14,$E96*4)))*1/($E96*4),2*1/($E96*4)*CH94))</f>
        <v>-11.161918969047003</v>
      </c>
      <c r="CI96" s="15">
        <f t="shared" ref="CI96" ca="1" si="1335">-IF(CI$12=1,SUM(CI94:CI95),IF($F96="SL",SUM(OFFSET(CH95,,,,-MIN(CH$14,$E96*4)))*1/($E96*4),2*1/($E96*4)*CI94))</f>
        <v>-9.7666790979161267</v>
      </c>
      <c r="CJ96" s="15">
        <f t="shared" ref="CJ96" ca="1" si="1336">-IF(CJ$12=1,SUM(CJ94:CJ95),IF($F96="SL",SUM(OFFSET(CI95,,,,-MIN(CI$14,$E96*4)))*1/($E96*4),2*1/($E96*4)*CJ94))</f>
        <v>-8.545844210676611</v>
      </c>
      <c r="CK96" s="15">
        <f t="shared" ref="CK96" ca="1" si="1337">-IF(CK$12=1,SUM(CK94:CK95),IF($F96="SL",SUM(OFFSET(CJ95,,,,-MIN(CJ$14,$E96*4)))*1/($E96*4),2*1/($E96*4)*CK94))</f>
        <v>-7.4776136843420344</v>
      </c>
      <c r="CL96" s="15">
        <f t="shared" ref="CL96" ca="1" si="1338">-IF(CL$12=1,SUM(CL94:CL95),IF($F96="SL",SUM(OFFSET(CK95,,,,-MIN(CK$14,$E96*4)))*1/($E96*4),2*1/($E96*4)*CL94))</f>
        <v>-6.5429119737992805</v>
      </c>
      <c r="CM96" s="15">
        <f t="shared" ref="CM96" ca="1" si="1339">-IF(CM$12=1,SUM(CM94:CM95),IF($F96="SL",SUM(OFFSET(CL95,,,,-MIN(CL$14,$E96*4)))*1/($E96*4),2*1/($E96*4)*CM94))</f>
        <v>-5.7250479770743707</v>
      </c>
      <c r="CN96" s="75">
        <f t="shared" ref="CN96" ca="1" si="1340">-IF(CN$12=1,SUM(CN94:CN95),IF($F96="SL",SUM(OFFSET(CM95,,,,-MIN(CM$14,$E96*4)))*1/($E96*4),2*1/($E96*4)*CN94))</f>
        <v>-40.075335839520598</v>
      </c>
    </row>
    <row r="97" spans="3:92" ht="12.75" customHeight="1" x14ac:dyDescent="0.3">
      <c r="D97" s="50" t="s">
        <v>184</v>
      </c>
      <c r="H97" s="16" t="s">
        <v>1</v>
      </c>
      <c r="J97" s="50">
        <f t="shared" ref="J97" ca="1" si="1341">SUM(J94:J96)</f>
        <v>0</v>
      </c>
      <c r="L97" s="83">
        <v>0</v>
      </c>
      <c r="M97" s="50">
        <f t="shared" ref="M97" ca="1" si="1342">SUM(M94:M96)</f>
        <v>0</v>
      </c>
      <c r="N97" s="50">
        <f t="shared" ref="N97" ca="1" si="1343">SUM(N94:N96)</f>
        <v>503463.83893258061</v>
      </c>
      <c r="O97" s="50">
        <f t="shared" ref="O97" ca="1" si="1344">SUM(O94:O96)</f>
        <v>440530.85906600801</v>
      </c>
      <c r="P97" s="50">
        <f t="shared" ref="P97" ca="1" si="1345">SUM(P94:P96)</f>
        <v>895928.1738004582</v>
      </c>
      <c r="Q97" s="50">
        <f t="shared" ref="Q97" ca="1" si="1346">SUM(Q94:Q96)</f>
        <v>783937.15207540093</v>
      </c>
      <c r="R97" s="50">
        <f t="shared" ref="R97" ca="1" si="1347">SUM(R94:R96)</f>
        <v>685945.00806597585</v>
      </c>
      <c r="S97" s="50">
        <f t="shared" ref="S97" ca="1" si="1348">SUM(S94:S96)</f>
        <v>600201.88205772883</v>
      </c>
      <c r="T97" s="50">
        <f t="shared" ref="T97" ca="1" si="1349">SUM(T94:T96)</f>
        <v>525176.64680051268</v>
      </c>
      <c r="U97" s="50">
        <f t="shared" ref="U97" ca="1" si="1350">SUM(U94:U96)</f>
        <v>459529.56595044862</v>
      </c>
      <c r="V97" s="50">
        <f t="shared" ref="V97" ca="1" si="1351">SUM(V94:V96)</f>
        <v>402088.37020664255</v>
      </c>
      <c r="W97" s="50">
        <f t="shared" ref="W97" ca="1" si="1352">SUM(W94:W96)</f>
        <v>351827.32393081224</v>
      </c>
      <c r="X97" s="50">
        <f t="shared" ref="X97" ca="1" si="1353">SUM(X94:X96)</f>
        <v>307848.90843946073</v>
      </c>
      <c r="Y97" s="50">
        <f t="shared" ref="Y97" ca="1" si="1354">SUM(Y94:Y96)</f>
        <v>269367.79488452815</v>
      </c>
      <c r="Z97" s="50">
        <f t="shared" ref="Z97" ca="1" si="1355">SUM(Z94:Z96)</f>
        <v>235696.82052396215</v>
      </c>
      <c r="AA97" s="50">
        <f t="shared" ref="AA97" ca="1" si="1356">SUM(AA94:AA96)</f>
        <v>206234.71795846688</v>
      </c>
      <c r="AB97" s="50">
        <f t="shared" ref="AB97" ca="1" si="1357">SUM(AB94:AB96)</f>
        <v>180455.37821365852</v>
      </c>
      <c r="AC97" s="50">
        <f t="shared" ref="AC97" ca="1" si="1358">SUM(AC94:AC96)</f>
        <v>157898.45593695121</v>
      </c>
      <c r="AD97" s="50">
        <f t="shared" ref="AD97" ca="1" si="1359">SUM(AD94:AD96)</f>
        <v>138161.14894483233</v>
      </c>
      <c r="AE97" s="50">
        <f t="shared" ref="AE97" ca="1" si="1360">SUM(AE94:AE96)</f>
        <v>120891.00532672828</v>
      </c>
      <c r="AF97" s="50">
        <f t="shared" ref="AF97" ca="1" si="1361">SUM(AF94:AF96)</f>
        <v>105779.62966088724</v>
      </c>
      <c r="AG97" s="50">
        <f t="shared" ref="AG97" ca="1" si="1362">SUM(AG94:AG96)</f>
        <v>92557.175953276339</v>
      </c>
      <c r="AH97" s="50">
        <f t="shared" ref="AH97" ca="1" si="1363">SUM(AH94:AH96)</f>
        <v>80987.528959116797</v>
      </c>
      <c r="AI97" s="50">
        <f t="shared" ref="AI97" ca="1" si="1364">SUM(AI94:AI96)</f>
        <v>70864.087839227199</v>
      </c>
      <c r="AJ97" s="50">
        <f t="shared" ref="AJ97" ca="1" si="1365">SUM(AJ94:AJ96)</f>
        <v>62006.076859323803</v>
      </c>
      <c r="AK97" s="50">
        <f t="shared" ref="AK97" ca="1" si="1366">SUM(AK94:AK96)</f>
        <v>54255.317251908331</v>
      </c>
      <c r="AL97" s="50">
        <f t="shared" ref="AL97" ca="1" si="1367">SUM(AL94:AL96)</f>
        <v>47473.402595419786</v>
      </c>
      <c r="AM97" s="50">
        <f t="shared" ref="AM97" ca="1" si="1368">SUM(AM94:AM96)</f>
        <v>41539.227270992313</v>
      </c>
      <c r="AN97" s="50">
        <f t="shared" ref="AN97" ca="1" si="1369">SUM(AN94:AN96)</f>
        <v>36346.823862118275</v>
      </c>
      <c r="AO97" s="50">
        <f t="shared" ref="AO97" ca="1" si="1370">SUM(AO94:AO96)</f>
        <v>31803.470879353492</v>
      </c>
      <c r="AP97" s="50">
        <f t="shared" ref="AP97" ca="1" si="1371">SUM(AP94:AP96)</f>
        <v>27828.037019434305</v>
      </c>
      <c r="AQ97" s="50">
        <f t="shared" ref="AQ97" ca="1" si="1372">SUM(AQ94:AQ96)</f>
        <v>24349.532392005018</v>
      </c>
      <c r="AR97" s="50">
        <f t="shared" ref="AR97" ca="1" si="1373">SUM(AR94:AR96)</f>
        <v>21305.840843004389</v>
      </c>
      <c r="AS97" s="50">
        <f t="shared" ref="AS97" ca="1" si="1374">SUM(AS94:AS96)</f>
        <v>18642.610737628842</v>
      </c>
      <c r="AT97" s="50">
        <f t="shared" ref="AT97" ca="1" si="1375">SUM(AT94:AT96)</f>
        <v>16312.284395425237</v>
      </c>
      <c r="AU97" s="50">
        <f t="shared" ref="AU97" ca="1" si="1376">SUM(AU94:AU96)</f>
        <v>14273.248845997083</v>
      </c>
      <c r="AV97" s="50">
        <f t="shared" ref="AV97" ca="1" si="1377">SUM(AV94:AV96)</f>
        <v>12489.092740247448</v>
      </c>
      <c r="AW97" s="50">
        <f t="shared" ref="AW97" ca="1" si="1378">SUM(AW94:AW96)</f>
        <v>10927.956147716517</v>
      </c>
      <c r="AX97" s="50">
        <f t="shared" ref="AX97" ca="1" si="1379">SUM(AX94:AX96)</f>
        <v>9561.9616292519531</v>
      </c>
      <c r="AY97" s="50">
        <f t="shared" ref="AY97" ca="1" si="1380">SUM(AY94:AY96)</f>
        <v>8366.7164255954594</v>
      </c>
      <c r="AZ97" s="50">
        <f t="shared" ref="AZ97" ca="1" si="1381">SUM(AZ94:AZ96)</f>
        <v>7320.8768723960275</v>
      </c>
      <c r="BA97" s="50">
        <f t="shared" ref="BA97" ca="1" si="1382">SUM(BA94:BA96)</f>
        <v>6405.7672633465245</v>
      </c>
      <c r="BB97" s="50">
        <f t="shared" ref="BB97" ca="1" si="1383">SUM(BB94:BB96)</f>
        <v>5605.0463554282087</v>
      </c>
      <c r="BC97" s="50">
        <f t="shared" ref="BC97" ca="1" si="1384">SUM(BC94:BC96)</f>
        <v>4904.4155609996824</v>
      </c>
      <c r="BD97" s="50">
        <f t="shared" ref="BD97" ca="1" si="1385">SUM(BD94:BD96)</f>
        <v>4291.3636158747222</v>
      </c>
      <c r="BE97" s="50">
        <f t="shared" ref="BE97" ca="1" si="1386">SUM(BE94:BE96)</f>
        <v>3754.943163890382</v>
      </c>
      <c r="BF97" s="50">
        <f t="shared" ref="BF97" ca="1" si="1387">SUM(BF94:BF96)</f>
        <v>3285.5752684040845</v>
      </c>
      <c r="BG97" s="50">
        <f t="shared" ref="BG97" ca="1" si="1388">SUM(BG94:BG96)</f>
        <v>2874.8783598535738</v>
      </c>
      <c r="BH97" s="50">
        <f t="shared" ref="BH97" ca="1" si="1389">SUM(BH94:BH96)</f>
        <v>2515.5185648718771</v>
      </c>
      <c r="BI97" s="50">
        <f t="shared" ref="BI97" ca="1" si="1390">SUM(BI94:BI96)</f>
        <v>2201.0787442628925</v>
      </c>
      <c r="BJ97" s="50">
        <f t="shared" ref="BJ97" ca="1" si="1391">SUM(BJ94:BJ96)</f>
        <v>1925.9439012300309</v>
      </c>
      <c r="BK97" s="50">
        <f t="shared" ref="BK97" ca="1" si="1392">SUM(BK94:BK96)</f>
        <v>1685.2009135762769</v>
      </c>
      <c r="BL97" s="50">
        <f t="shared" ref="BL97" ca="1" si="1393">SUM(BL94:BL96)</f>
        <v>1474.5507993792423</v>
      </c>
      <c r="BM97" s="50">
        <f t="shared" ref="BM97" ca="1" si="1394">SUM(BM94:BM96)</f>
        <v>1290.2319494568371</v>
      </c>
      <c r="BN97" s="50">
        <f t="shared" ref="BN97" ca="1" si="1395">SUM(BN94:BN96)</f>
        <v>1128.9529557747326</v>
      </c>
      <c r="BO97" s="50">
        <f t="shared" ref="BO97" ca="1" si="1396">SUM(BO94:BO96)</f>
        <v>987.83383630289097</v>
      </c>
      <c r="BP97" s="50">
        <f t="shared" ref="BP97" ca="1" si="1397">SUM(BP94:BP96)</f>
        <v>864.35460676502964</v>
      </c>
      <c r="BQ97" s="50">
        <f t="shared" ref="BQ97" ca="1" si="1398">SUM(BQ94:BQ96)</f>
        <v>756.31028091940095</v>
      </c>
      <c r="BR97" s="50">
        <f t="shared" ref="BR97" ca="1" si="1399">SUM(BR94:BR96)</f>
        <v>661.77149580447588</v>
      </c>
      <c r="BS97" s="50">
        <f t="shared" ref="BS97" ca="1" si="1400">SUM(BS94:BS96)</f>
        <v>579.05005882891635</v>
      </c>
      <c r="BT97" s="50">
        <f t="shared" ref="BT97" ca="1" si="1401">SUM(BT94:BT96)</f>
        <v>506.66880147530179</v>
      </c>
      <c r="BU97" s="50">
        <f t="shared" ref="BU97" ca="1" si="1402">SUM(BU94:BU96)</f>
        <v>443.33520129088907</v>
      </c>
      <c r="BV97" s="50">
        <f t="shared" ref="BV97" ca="1" si="1403">SUM(BV94:BV96)</f>
        <v>387.91830112952795</v>
      </c>
      <c r="BW97" s="50">
        <f t="shared" ref="BW97" ca="1" si="1404">SUM(BW94:BW96)</f>
        <v>339.42851348833693</v>
      </c>
      <c r="BX97" s="50">
        <f t="shared" ref="BX97" ca="1" si="1405">SUM(BX94:BX96)</f>
        <v>296.99994930229479</v>
      </c>
      <c r="BY97" s="50">
        <f t="shared" ref="BY97" ca="1" si="1406">SUM(BY94:BY96)</f>
        <v>259.87495563950796</v>
      </c>
      <c r="BZ97" s="50">
        <f t="shared" ref="BZ97" ca="1" si="1407">SUM(BZ94:BZ96)</f>
        <v>227.39058618456946</v>
      </c>
      <c r="CA97" s="50">
        <f t="shared" ref="CA97" ca="1" si="1408">SUM(CA94:CA96)</f>
        <v>198.96676291149828</v>
      </c>
      <c r="CB97" s="50">
        <f t="shared" ref="CB97" ca="1" si="1409">SUM(CB94:CB96)</f>
        <v>174.09591754756099</v>
      </c>
      <c r="CC97" s="50">
        <f t="shared" ref="CC97" ca="1" si="1410">SUM(CC94:CC96)</f>
        <v>152.33392785411587</v>
      </c>
      <c r="CD97" s="50">
        <f t="shared" ref="CD97" ca="1" si="1411">SUM(CD94:CD96)</f>
        <v>133.29218687235138</v>
      </c>
      <c r="CE97" s="50">
        <f t="shared" ref="CE97" ca="1" si="1412">SUM(CE94:CE96)</f>
        <v>116.63066351330745</v>
      </c>
      <c r="CF97" s="50">
        <f t="shared" ref="CF97" ca="1" si="1413">SUM(CF94:CF96)</f>
        <v>102.05183057414402</v>
      </c>
      <c r="CG97" s="50">
        <f t="shared" ref="CG97" ca="1" si="1414">SUM(CG94:CG96)</f>
        <v>89.295351752376021</v>
      </c>
      <c r="CH97" s="50">
        <f t="shared" ref="CH97" ca="1" si="1415">SUM(CH94:CH96)</f>
        <v>78.133432783329013</v>
      </c>
      <c r="CI97" s="50">
        <f t="shared" ref="CI97" ca="1" si="1416">SUM(CI94:CI96)</f>
        <v>68.366753685412888</v>
      </c>
      <c r="CJ97" s="50">
        <f t="shared" ref="CJ97" ca="1" si="1417">SUM(CJ94:CJ96)</f>
        <v>59.820909474736276</v>
      </c>
      <c r="CK97" s="50">
        <f t="shared" ref="CK97" ca="1" si="1418">SUM(CK94:CK96)</f>
        <v>52.343295790394244</v>
      </c>
      <c r="CL97" s="50">
        <f t="shared" ref="CL97" ca="1" si="1419">SUM(CL94:CL96)</f>
        <v>45.800383816594966</v>
      </c>
      <c r="CM97" s="50">
        <f t="shared" ref="CM97" ca="1" si="1420">SUM(CM94:CM96)</f>
        <v>40.075335839520598</v>
      </c>
      <c r="CN97" s="50">
        <f t="shared" ref="CN97" ca="1" si="1421">SUM(CN94:CN96)</f>
        <v>0</v>
      </c>
    </row>
    <row r="98" spans="3:92" ht="12.75" customHeight="1" x14ac:dyDescent="0.3">
      <c r="D98" s="84"/>
      <c r="E98" s="85"/>
      <c r="F98" s="85"/>
      <c r="G98" s="85"/>
      <c r="H98" s="86"/>
      <c r="I98" s="87"/>
      <c r="J98" s="84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</row>
    <row r="99" spans="3:92" ht="12.75" customHeight="1" x14ac:dyDescent="0.3">
      <c r="D99" s="15"/>
      <c r="H99" s="16"/>
      <c r="J99" s="15"/>
    </row>
    <row r="100" spans="3:92" ht="12.75" customHeight="1" x14ac:dyDescent="0.3">
      <c r="C100" s="24">
        <f>C93+1</f>
        <v>4</v>
      </c>
      <c r="D100" s="17" t="str">
        <f>INDEX(Ass!$D$107:$D$111,CapexDA!$C100)</f>
        <v>Asset Class 4</v>
      </c>
      <c r="H100" s="16"/>
      <c r="J100" s="15"/>
    </row>
    <row r="101" spans="3:92" ht="12.75" customHeight="1" x14ac:dyDescent="0.3">
      <c r="D101" s="15" t="s">
        <v>181</v>
      </c>
      <c r="H101" s="16" t="s">
        <v>1</v>
      </c>
      <c r="J101" s="15"/>
      <c r="L101" s="80">
        <v>0</v>
      </c>
      <c r="M101" s="15">
        <f t="shared" ref="M101:BX101" si="1422">L104</f>
        <v>0</v>
      </c>
      <c r="N101" s="15">
        <f t="shared" ca="1" si="1422"/>
        <v>1000000</v>
      </c>
      <c r="O101" s="15">
        <f t="shared" ca="1" si="1422"/>
        <v>2410391.5167977419</v>
      </c>
      <c r="P101" s="15">
        <f t="shared" ca="1" si="1422"/>
        <v>3183255.7135688937</v>
      </c>
      <c r="Q101" s="15">
        <f t="shared" ca="1" si="1422"/>
        <v>4396321.1585651077</v>
      </c>
      <c r="R101" s="15">
        <f t="shared" ca="1" si="1422"/>
        <v>4984689.0427085971</v>
      </c>
      <c r="S101" s="15">
        <f t="shared" ca="1" si="1422"/>
        <v>5521341.7912831232</v>
      </c>
      <c r="T101" s="15">
        <f t="shared" ca="1" si="1422"/>
        <v>6011500.2543623624</v>
      </c>
      <c r="U101" s="15">
        <f t="shared" ca="1" si="1422"/>
        <v>6459863.5388001194</v>
      </c>
      <c r="V101" s="15">
        <f t="shared" ca="1" si="1422"/>
        <v>5813877.1849201079</v>
      </c>
      <c r="W101" s="15">
        <f t="shared" ca="1" si="1422"/>
        <v>5232489.4664280973</v>
      </c>
      <c r="X101" s="15">
        <f t="shared" ca="1" si="1422"/>
        <v>4709240.5197852878</v>
      </c>
      <c r="Y101" s="15">
        <f t="shared" ca="1" si="1422"/>
        <v>4238316.4678067593</v>
      </c>
      <c r="Z101" s="15">
        <f t="shared" ca="1" si="1422"/>
        <v>3814484.8210260831</v>
      </c>
      <c r="AA101" s="15">
        <f t="shared" ca="1" si="1422"/>
        <v>3433036.3389234748</v>
      </c>
      <c r="AB101" s="15">
        <f t="shared" ca="1" si="1422"/>
        <v>3089732.7050311272</v>
      </c>
      <c r="AC101" s="15">
        <f t="shared" ca="1" si="1422"/>
        <v>2780759.4345280146</v>
      </c>
      <c r="AD101" s="15">
        <f t="shared" ca="1" si="1422"/>
        <v>2502683.4910752131</v>
      </c>
      <c r="AE101" s="15">
        <f t="shared" ca="1" si="1422"/>
        <v>2252415.1419676919</v>
      </c>
      <c r="AF101" s="15">
        <f t="shared" ca="1" si="1422"/>
        <v>2027173.6277709226</v>
      </c>
      <c r="AG101" s="15">
        <f t="shared" ca="1" si="1422"/>
        <v>1824456.2649938304</v>
      </c>
      <c r="AH101" s="15">
        <f t="shared" ca="1" si="1422"/>
        <v>1642010.6384944473</v>
      </c>
      <c r="AI101" s="15">
        <f t="shared" ca="1" si="1422"/>
        <v>1477809.5746450026</v>
      </c>
      <c r="AJ101" s="15">
        <f t="shared" ca="1" si="1422"/>
        <v>1330028.6171805023</v>
      </c>
      <c r="AK101" s="15">
        <f t="shared" ca="1" si="1422"/>
        <v>1197025.7554624521</v>
      </c>
      <c r="AL101" s="15">
        <f t="shared" ca="1" si="1422"/>
        <v>1077323.1799162067</v>
      </c>
      <c r="AM101" s="15">
        <f t="shared" ca="1" si="1422"/>
        <v>969590.86192458612</v>
      </c>
      <c r="AN101" s="15">
        <f t="shared" ca="1" si="1422"/>
        <v>872631.77573212748</v>
      </c>
      <c r="AO101" s="15">
        <f t="shared" ca="1" si="1422"/>
        <v>785368.59815891471</v>
      </c>
      <c r="AP101" s="15">
        <f t="shared" ca="1" si="1422"/>
        <v>706831.73834302323</v>
      </c>
      <c r="AQ101" s="15">
        <f t="shared" ca="1" si="1422"/>
        <v>636148.56450872088</v>
      </c>
      <c r="AR101" s="15">
        <f t="shared" ca="1" si="1422"/>
        <v>572533.70805784874</v>
      </c>
      <c r="AS101" s="15">
        <f t="shared" ca="1" si="1422"/>
        <v>515280.33725206385</v>
      </c>
      <c r="AT101" s="15">
        <f t="shared" ca="1" si="1422"/>
        <v>463752.30352685746</v>
      </c>
      <c r="AU101" s="15">
        <f t="shared" ca="1" si="1422"/>
        <v>417377.07317417173</v>
      </c>
      <c r="AV101" s="15">
        <f t="shared" ca="1" si="1422"/>
        <v>375639.36585675454</v>
      </c>
      <c r="AW101" s="15">
        <f t="shared" ca="1" si="1422"/>
        <v>338075.42927107908</v>
      </c>
      <c r="AX101" s="15">
        <f t="shared" ca="1" si="1422"/>
        <v>304267.88634397119</v>
      </c>
      <c r="AY101" s="15">
        <f t="shared" ca="1" si="1422"/>
        <v>273841.09770957404</v>
      </c>
      <c r="AZ101" s="15">
        <f t="shared" ca="1" si="1422"/>
        <v>246456.98793861663</v>
      </c>
      <c r="BA101" s="15">
        <f t="shared" ca="1" si="1422"/>
        <v>221811.28914475496</v>
      </c>
      <c r="BB101" s="15">
        <f t="shared" ca="1" si="1422"/>
        <v>199630.16023027946</v>
      </c>
      <c r="BC101" s="15">
        <f t="shared" ca="1" si="1422"/>
        <v>179667.14420725152</v>
      </c>
      <c r="BD101" s="15">
        <f t="shared" ca="1" si="1422"/>
        <v>161700.42978652637</v>
      </c>
      <c r="BE101" s="15">
        <f t="shared" ca="1" si="1422"/>
        <v>145530.38680787373</v>
      </c>
      <c r="BF101" s="15">
        <f t="shared" ca="1" si="1422"/>
        <v>130977.34812708636</v>
      </c>
      <c r="BG101" s="15">
        <f t="shared" ca="1" si="1422"/>
        <v>117879.61331437773</v>
      </c>
      <c r="BH101" s="15">
        <f t="shared" ca="1" si="1422"/>
        <v>106091.65198293995</v>
      </c>
      <c r="BI101" s="15">
        <f t="shared" ca="1" si="1422"/>
        <v>95482.486784645953</v>
      </c>
      <c r="BJ101" s="15">
        <f t="shared" ca="1" si="1422"/>
        <v>85934.23810618135</v>
      </c>
      <c r="BK101" s="15">
        <f t="shared" ca="1" si="1422"/>
        <v>77340.814295563221</v>
      </c>
      <c r="BL101" s="15">
        <f t="shared" ca="1" si="1422"/>
        <v>69606.732866006903</v>
      </c>
      <c r="BM101" s="15">
        <f t="shared" ca="1" si="1422"/>
        <v>62646.05957940621</v>
      </c>
      <c r="BN101" s="15">
        <f t="shared" ca="1" si="1422"/>
        <v>56381.453621465589</v>
      </c>
      <c r="BO101" s="15">
        <f t="shared" ca="1" si="1422"/>
        <v>50743.308259319034</v>
      </c>
      <c r="BP101" s="15">
        <f t="shared" ca="1" si="1422"/>
        <v>45668.977433387132</v>
      </c>
      <c r="BQ101" s="15">
        <f t="shared" ca="1" si="1422"/>
        <v>41102.07969004842</v>
      </c>
      <c r="BR101" s="15">
        <f t="shared" ca="1" si="1422"/>
        <v>36991.871721043579</v>
      </c>
      <c r="BS101" s="15">
        <f t="shared" ca="1" si="1422"/>
        <v>33292.684548939222</v>
      </c>
      <c r="BT101" s="15">
        <f t="shared" ca="1" si="1422"/>
        <v>29963.4160940453</v>
      </c>
      <c r="BU101" s="15">
        <f t="shared" ca="1" si="1422"/>
        <v>26967.074484640769</v>
      </c>
      <c r="BV101" s="15">
        <f t="shared" ca="1" si="1422"/>
        <v>24270.367036176693</v>
      </c>
      <c r="BW101" s="15">
        <f t="shared" ca="1" si="1422"/>
        <v>21843.330332559024</v>
      </c>
      <c r="BX101" s="15">
        <f t="shared" ca="1" si="1422"/>
        <v>19658.997299303122</v>
      </c>
      <c r="BY101" s="15">
        <f t="shared" ref="BY101:CN101" ca="1" si="1423">BX104</f>
        <v>17693.097569372811</v>
      </c>
      <c r="BZ101" s="15">
        <f t="shared" ca="1" si="1423"/>
        <v>15923.78781243553</v>
      </c>
      <c r="CA101" s="15">
        <f t="shared" ca="1" si="1423"/>
        <v>14331.409031191977</v>
      </c>
      <c r="CB101" s="15">
        <f t="shared" ca="1" si="1423"/>
        <v>12898.268128072779</v>
      </c>
      <c r="CC101" s="15">
        <f t="shared" ca="1" si="1423"/>
        <v>11608.441315265502</v>
      </c>
      <c r="CD101" s="15">
        <f t="shared" ca="1" si="1423"/>
        <v>10447.597183738952</v>
      </c>
      <c r="CE101" s="15">
        <f t="shared" ca="1" si="1423"/>
        <v>9402.8374653650571</v>
      </c>
      <c r="CF101" s="15">
        <f t="shared" ca="1" si="1423"/>
        <v>8462.5537188285507</v>
      </c>
      <c r="CG101" s="15">
        <f t="shared" ca="1" si="1423"/>
        <v>7616.2983469456958</v>
      </c>
      <c r="CH101" s="15">
        <f t="shared" ca="1" si="1423"/>
        <v>6854.6685122511262</v>
      </c>
      <c r="CI101" s="15">
        <f t="shared" ca="1" si="1423"/>
        <v>6169.2016610260134</v>
      </c>
      <c r="CJ101" s="15">
        <f t="shared" ca="1" si="1423"/>
        <v>5552.2814949234125</v>
      </c>
      <c r="CK101" s="15">
        <f t="shared" ca="1" si="1423"/>
        <v>4997.0533454310716</v>
      </c>
      <c r="CL101" s="15">
        <f t="shared" ca="1" si="1423"/>
        <v>4497.3480108879648</v>
      </c>
      <c r="CM101" s="15">
        <f t="shared" ca="1" si="1423"/>
        <v>4047.6132097991685</v>
      </c>
      <c r="CN101" s="15">
        <f t="shared" ca="1" si="1423"/>
        <v>3642.8518888192516</v>
      </c>
    </row>
    <row r="102" spans="3:92" ht="12.75" customHeight="1" x14ac:dyDescent="0.3">
      <c r="D102" s="15" t="s">
        <v>182</v>
      </c>
      <c r="H102" s="16" t="s">
        <v>1</v>
      </c>
      <c r="J102" s="58">
        <f>SUM(L102:CN102)</f>
        <v>9210613.4865287021</v>
      </c>
      <c r="L102" s="81">
        <v>0</v>
      </c>
      <c r="M102" s="78">
        <f t="shared" ref="M102:BX102" si="1424">INDEX(M$19:M$23,$C100)</f>
        <v>1000000</v>
      </c>
      <c r="N102" s="78">
        <f t="shared" si="1424"/>
        <v>1510391.5167977419</v>
      </c>
      <c r="O102" s="78">
        <f t="shared" si="1424"/>
        <v>1013903.3484509259</v>
      </c>
      <c r="P102" s="78">
        <f t="shared" si="1424"/>
        <v>1531391.0163531036</v>
      </c>
      <c r="Q102" s="78">
        <f t="shared" si="1424"/>
        <v>1027999.9999999998</v>
      </c>
      <c r="R102" s="78">
        <f t="shared" si="1424"/>
        <v>1035121.6528453855</v>
      </c>
      <c r="S102" s="78">
        <f t="shared" si="1424"/>
        <v>1042292.6422075516</v>
      </c>
      <c r="T102" s="78">
        <f t="shared" si="1424"/>
        <v>1049513.3098739933</v>
      </c>
      <c r="U102" s="78">
        <f t="shared" si="1424"/>
        <v>0</v>
      </c>
      <c r="V102" s="78">
        <f t="shared" si="1424"/>
        <v>0</v>
      </c>
      <c r="W102" s="78">
        <f t="shared" si="1424"/>
        <v>0</v>
      </c>
      <c r="X102" s="78">
        <f t="shared" si="1424"/>
        <v>0</v>
      </c>
      <c r="Y102" s="78">
        <f t="shared" si="1424"/>
        <v>0</v>
      </c>
      <c r="Z102" s="78">
        <f t="shared" si="1424"/>
        <v>0</v>
      </c>
      <c r="AA102" s="78">
        <f t="shared" si="1424"/>
        <v>0</v>
      </c>
      <c r="AB102" s="78">
        <f t="shared" si="1424"/>
        <v>0</v>
      </c>
      <c r="AC102" s="78">
        <f t="shared" si="1424"/>
        <v>0</v>
      </c>
      <c r="AD102" s="78">
        <f t="shared" si="1424"/>
        <v>0</v>
      </c>
      <c r="AE102" s="78">
        <f t="shared" si="1424"/>
        <v>0</v>
      </c>
      <c r="AF102" s="78">
        <f t="shared" si="1424"/>
        <v>0</v>
      </c>
      <c r="AG102" s="78">
        <f t="shared" si="1424"/>
        <v>0</v>
      </c>
      <c r="AH102" s="78">
        <f t="shared" si="1424"/>
        <v>0</v>
      </c>
      <c r="AI102" s="78">
        <f t="shared" si="1424"/>
        <v>0</v>
      </c>
      <c r="AJ102" s="78">
        <f t="shared" si="1424"/>
        <v>0</v>
      </c>
      <c r="AK102" s="78">
        <f t="shared" si="1424"/>
        <v>0</v>
      </c>
      <c r="AL102" s="78">
        <f t="shared" si="1424"/>
        <v>0</v>
      </c>
      <c r="AM102" s="78">
        <f t="shared" si="1424"/>
        <v>0</v>
      </c>
      <c r="AN102" s="78">
        <f t="shared" si="1424"/>
        <v>0</v>
      </c>
      <c r="AO102" s="78">
        <f t="shared" si="1424"/>
        <v>0</v>
      </c>
      <c r="AP102" s="78">
        <f t="shared" si="1424"/>
        <v>0</v>
      </c>
      <c r="AQ102" s="78">
        <f t="shared" si="1424"/>
        <v>0</v>
      </c>
      <c r="AR102" s="78">
        <f t="shared" si="1424"/>
        <v>0</v>
      </c>
      <c r="AS102" s="78">
        <f t="shared" si="1424"/>
        <v>0</v>
      </c>
      <c r="AT102" s="78">
        <f t="shared" si="1424"/>
        <v>0</v>
      </c>
      <c r="AU102" s="78">
        <f t="shared" si="1424"/>
        <v>0</v>
      </c>
      <c r="AV102" s="78">
        <f t="shared" si="1424"/>
        <v>0</v>
      </c>
      <c r="AW102" s="78">
        <f t="shared" si="1424"/>
        <v>0</v>
      </c>
      <c r="AX102" s="78">
        <f t="shared" si="1424"/>
        <v>0</v>
      </c>
      <c r="AY102" s="78">
        <f t="shared" si="1424"/>
        <v>0</v>
      </c>
      <c r="AZ102" s="78">
        <f t="shared" si="1424"/>
        <v>0</v>
      </c>
      <c r="BA102" s="78">
        <f t="shared" si="1424"/>
        <v>0</v>
      </c>
      <c r="BB102" s="78">
        <f t="shared" si="1424"/>
        <v>0</v>
      </c>
      <c r="BC102" s="78">
        <f t="shared" si="1424"/>
        <v>0</v>
      </c>
      <c r="BD102" s="78">
        <f t="shared" si="1424"/>
        <v>0</v>
      </c>
      <c r="BE102" s="78">
        <f t="shared" si="1424"/>
        <v>0</v>
      </c>
      <c r="BF102" s="78">
        <f t="shared" si="1424"/>
        <v>0</v>
      </c>
      <c r="BG102" s="78">
        <f t="shared" si="1424"/>
        <v>0</v>
      </c>
      <c r="BH102" s="78">
        <f t="shared" si="1424"/>
        <v>0</v>
      </c>
      <c r="BI102" s="78">
        <f t="shared" si="1424"/>
        <v>0</v>
      </c>
      <c r="BJ102" s="78">
        <f t="shared" si="1424"/>
        <v>0</v>
      </c>
      <c r="BK102" s="78">
        <f t="shared" si="1424"/>
        <v>0</v>
      </c>
      <c r="BL102" s="78">
        <f t="shared" si="1424"/>
        <v>0</v>
      </c>
      <c r="BM102" s="78">
        <f t="shared" si="1424"/>
        <v>0</v>
      </c>
      <c r="BN102" s="78">
        <f t="shared" si="1424"/>
        <v>0</v>
      </c>
      <c r="BO102" s="78">
        <f t="shared" si="1424"/>
        <v>0</v>
      </c>
      <c r="BP102" s="78">
        <f t="shared" si="1424"/>
        <v>0</v>
      </c>
      <c r="BQ102" s="78">
        <f t="shared" si="1424"/>
        <v>0</v>
      </c>
      <c r="BR102" s="78">
        <f t="shared" si="1424"/>
        <v>0</v>
      </c>
      <c r="BS102" s="78">
        <f t="shared" si="1424"/>
        <v>0</v>
      </c>
      <c r="BT102" s="78">
        <f t="shared" si="1424"/>
        <v>0</v>
      </c>
      <c r="BU102" s="78">
        <f t="shared" si="1424"/>
        <v>0</v>
      </c>
      <c r="BV102" s="78">
        <f t="shared" si="1424"/>
        <v>0</v>
      </c>
      <c r="BW102" s="78">
        <f t="shared" si="1424"/>
        <v>0</v>
      </c>
      <c r="BX102" s="78">
        <f t="shared" si="1424"/>
        <v>0</v>
      </c>
      <c r="BY102" s="78">
        <f t="shared" ref="BY102:CN102" si="1425">INDEX(BY$19:BY$23,$C100)</f>
        <v>0</v>
      </c>
      <c r="BZ102" s="78">
        <f t="shared" si="1425"/>
        <v>0</v>
      </c>
      <c r="CA102" s="78">
        <f t="shared" si="1425"/>
        <v>0</v>
      </c>
      <c r="CB102" s="78">
        <f t="shared" si="1425"/>
        <v>0</v>
      </c>
      <c r="CC102" s="78">
        <f t="shared" si="1425"/>
        <v>0</v>
      </c>
      <c r="CD102" s="78">
        <f t="shared" si="1425"/>
        <v>0</v>
      </c>
      <c r="CE102" s="78">
        <f t="shared" si="1425"/>
        <v>0</v>
      </c>
      <c r="CF102" s="78">
        <f t="shared" si="1425"/>
        <v>0</v>
      </c>
      <c r="CG102" s="78">
        <f t="shared" si="1425"/>
        <v>0</v>
      </c>
      <c r="CH102" s="78">
        <f t="shared" si="1425"/>
        <v>0</v>
      </c>
      <c r="CI102" s="78">
        <f t="shared" si="1425"/>
        <v>0</v>
      </c>
      <c r="CJ102" s="78">
        <f t="shared" si="1425"/>
        <v>0</v>
      </c>
      <c r="CK102" s="78">
        <f t="shared" si="1425"/>
        <v>0</v>
      </c>
      <c r="CL102" s="78">
        <f t="shared" si="1425"/>
        <v>0</v>
      </c>
      <c r="CM102" s="78">
        <f t="shared" si="1425"/>
        <v>0</v>
      </c>
      <c r="CN102" s="78">
        <f t="shared" si="1425"/>
        <v>0</v>
      </c>
    </row>
    <row r="103" spans="3:92" ht="12.75" customHeight="1" x14ac:dyDescent="0.3">
      <c r="D103" s="15" t="s">
        <v>183</v>
      </c>
      <c r="E103" s="1">
        <f>INDEX(Ass!I$107:I$111,$C100)</f>
        <v>5</v>
      </c>
      <c r="F103" s="1" t="str">
        <f>INDEX(Ass!J$107:J$111,$C100)</f>
        <v>DDB</v>
      </c>
      <c r="H103" s="16" t="s">
        <v>1</v>
      </c>
      <c r="J103" s="58">
        <f ca="1">SUM(L103:CN103)</f>
        <v>-9210613.4865287058</v>
      </c>
      <c r="L103" s="82">
        <v>0</v>
      </c>
      <c r="M103" s="15">
        <f t="shared" ref="M103" ca="1" si="1426">-IF(M$12=1,SUM(M101:M102),IF($F103="SL",SUM(OFFSET(L102,,,,-MIN(L$14,$E103*4)))*1/($E103*4),2*1/($E103*4)*M101))</f>
        <v>0</v>
      </c>
      <c r="N103" s="15">
        <f t="shared" ref="N103" ca="1" si="1427">-IF(N$12=1,SUM(N101:N102),IF($F103="SL",SUM(OFFSET(M102,,,,-MIN(M$14,$E103*4)))*1/($E103*4),2*1/($E103*4)*N101))</f>
        <v>-100000</v>
      </c>
      <c r="O103" s="15">
        <f t="shared" ref="O103" ca="1" si="1428">-IF(O$12=1,SUM(O101:O102),IF($F103="SL",SUM(OFFSET(N102,,,,-MIN(N$14,$E103*4)))*1/($E103*4),2*1/($E103*4)*O101))</f>
        <v>-241039.15167977419</v>
      </c>
      <c r="P103" s="15">
        <f t="shared" ref="P103" ca="1" si="1429">-IF(P$12=1,SUM(P101:P102),IF($F103="SL",SUM(OFFSET(O102,,,,-MIN(O$14,$E103*4)))*1/($E103*4),2*1/($E103*4)*P101))</f>
        <v>-318325.57135688938</v>
      </c>
      <c r="Q103" s="15">
        <f t="shared" ref="Q103" ca="1" si="1430">-IF(Q$12=1,SUM(Q101:Q102),IF($F103="SL",SUM(OFFSET(P102,,,,-MIN(P$14,$E103*4)))*1/($E103*4),2*1/($E103*4)*Q101))</f>
        <v>-439632.11585651082</v>
      </c>
      <c r="R103" s="15">
        <f t="shared" ref="R103" ca="1" si="1431">-IF(R$12=1,SUM(R101:R102),IF($F103="SL",SUM(OFFSET(Q102,,,,-MIN(Q$14,$E103*4)))*1/($E103*4),2*1/($E103*4)*R101))</f>
        <v>-498468.90427085973</v>
      </c>
      <c r="S103" s="15">
        <f t="shared" ref="S103" ca="1" si="1432">-IF(S$12=1,SUM(S101:S102),IF($F103="SL",SUM(OFFSET(R102,,,,-MIN(R$14,$E103*4)))*1/($E103*4),2*1/($E103*4)*S101))</f>
        <v>-552134.17912831239</v>
      </c>
      <c r="T103" s="15">
        <f t="shared" ref="T103" ca="1" si="1433">-IF(T$12=1,SUM(T101:T102),IF($F103="SL",SUM(OFFSET(S102,,,,-MIN(S$14,$E103*4)))*1/($E103*4),2*1/($E103*4)*T101))</f>
        <v>-601150.02543623629</v>
      </c>
      <c r="U103" s="15">
        <f t="shared" ref="U103" ca="1" si="1434">-IF(U$12=1,SUM(U101:U102),IF($F103="SL",SUM(OFFSET(T102,,,,-MIN(T$14,$E103*4)))*1/($E103*4),2*1/($E103*4)*U101))</f>
        <v>-645986.35388001194</v>
      </c>
      <c r="V103" s="15">
        <f t="shared" ref="V103" ca="1" si="1435">-IF(V$12=1,SUM(V101:V102),IF($F103="SL",SUM(OFFSET(U102,,,,-MIN(U$14,$E103*4)))*1/($E103*4),2*1/($E103*4)*V101))</f>
        <v>-581387.71849201084</v>
      </c>
      <c r="W103" s="15">
        <f t="shared" ref="W103" ca="1" si="1436">-IF(W$12=1,SUM(W101:W102),IF($F103="SL",SUM(OFFSET(V102,,,,-MIN(V$14,$E103*4)))*1/($E103*4),2*1/($E103*4)*W101))</f>
        <v>-523248.94664280978</v>
      </c>
      <c r="X103" s="15">
        <f t="shared" ref="X103" ca="1" si="1437">-IF(X$12=1,SUM(X101:X102),IF($F103="SL",SUM(OFFSET(W102,,,,-MIN(W$14,$E103*4)))*1/($E103*4),2*1/($E103*4)*X101))</f>
        <v>-470924.05197852879</v>
      </c>
      <c r="Y103" s="15">
        <f t="shared" ref="Y103" ca="1" si="1438">-IF(Y$12=1,SUM(Y101:Y102),IF($F103="SL",SUM(OFFSET(X102,,,,-MIN(X$14,$E103*4)))*1/($E103*4),2*1/($E103*4)*Y101))</f>
        <v>-423831.64678067598</v>
      </c>
      <c r="Z103" s="15">
        <f t="shared" ref="Z103" ca="1" si="1439">-IF(Z$12=1,SUM(Z101:Z102),IF($F103="SL",SUM(OFFSET(Y102,,,,-MIN(Y$14,$E103*4)))*1/($E103*4),2*1/($E103*4)*Z101))</f>
        <v>-381448.48210260831</v>
      </c>
      <c r="AA103" s="15">
        <f t="shared" ref="AA103" ca="1" si="1440">-IF(AA$12=1,SUM(AA101:AA102),IF($F103="SL",SUM(OFFSET(Z102,,,,-MIN(Z$14,$E103*4)))*1/($E103*4),2*1/($E103*4)*AA101))</f>
        <v>-343303.63389234751</v>
      </c>
      <c r="AB103" s="15">
        <f t="shared" ref="AB103" ca="1" si="1441">-IF(AB$12=1,SUM(AB101:AB102),IF($F103="SL",SUM(OFFSET(AA102,,,,-MIN(AA$14,$E103*4)))*1/($E103*4),2*1/($E103*4)*AB101))</f>
        <v>-308973.27050311276</v>
      </c>
      <c r="AC103" s="15">
        <f t="shared" ref="AC103" ca="1" si="1442">-IF(AC$12=1,SUM(AC101:AC102),IF($F103="SL",SUM(OFFSET(AB102,,,,-MIN(AB$14,$E103*4)))*1/($E103*4),2*1/($E103*4)*AC101))</f>
        <v>-278075.9434528015</v>
      </c>
      <c r="AD103" s="15">
        <f t="shared" ref="AD103" ca="1" si="1443">-IF(AD$12=1,SUM(AD101:AD102),IF($F103="SL",SUM(OFFSET(AC102,,,,-MIN(AC$14,$E103*4)))*1/($E103*4),2*1/($E103*4)*AD101))</f>
        <v>-250268.34910752132</v>
      </c>
      <c r="AE103" s="15">
        <f t="shared" ref="AE103" ca="1" si="1444">-IF(AE$12=1,SUM(AE101:AE102),IF($F103="SL",SUM(OFFSET(AD102,,,,-MIN(AD$14,$E103*4)))*1/($E103*4),2*1/($E103*4)*AE101))</f>
        <v>-225241.51419676922</v>
      </c>
      <c r="AF103" s="15">
        <f t="shared" ref="AF103" ca="1" si="1445">-IF(AF$12=1,SUM(AF101:AF102),IF($F103="SL",SUM(OFFSET(AE102,,,,-MIN(AE$14,$E103*4)))*1/($E103*4),2*1/($E103*4)*AF101))</f>
        <v>-202717.36277709226</v>
      </c>
      <c r="AG103" s="15">
        <f t="shared" ref="AG103" ca="1" si="1446">-IF(AG$12=1,SUM(AG101:AG102),IF($F103="SL",SUM(OFFSET(AF102,,,,-MIN(AF$14,$E103*4)))*1/($E103*4),2*1/($E103*4)*AG101))</f>
        <v>-182445.62649938304</v>
      </c>
      <c r="AH103" s="15">
        <f t="shared" ref="AH103" ca="1" si="1447">-IF(AH$12=1,SUM(AH101:AH102),IF($F103="SL",SUM(OFFSET(AG102,,,,-MIN(AG$14,$E103*4)))*1/($E103*4),2*1/($E103*4)*AH101))</f>
        <v>-164201.06384944473</v>
      </c>
      <c r="AI103" s="15">
        <f t="shared" ref="AI103" ca="1" si="1448">-IF(AI$12=1,SUM(AI101:AI102),IF($F103="SL",SUM(OFFSET(AH102,,,,-MIN(AH$14,$E103*4)))*1/($E103*4),2*1/($E103*4)*AI101))</f>
        <v>-147780.95746450027</v>
      </c>
      <c r="AJ103" s="15">
        <f t="shared" ref="AJ103" ca="1" si="1449">-IF(AJ$12=1,SUM(AJ101:AJ102),IF($F103="SL",SUM(OFFSET(AI102,,,,-MIN(AI$14,$E103*4)))*1/($E103*4),2*1/($E103*4)*AJ101))</f>
        <v>-133002.86171805023</v>
      </c>
      <c r="AK103" s="15">
        <f t="shared" ref="AK103" ca="1" si="1450">-IF(AK$12=1,SUM(AK101:AK102),IF($F103="SL",SUM(OFFSET(AJ102,,,,-MIN(AJ$14,$E103*4)))*1/($E103*4),2*1/($E103*4)*AK101))</f>
        <v>-119702.57554624521</v>
      </c>
      <c r="AL103" s="15">
        <f t="shared" ref="AL103" ca="1" si="1451">-IF(AL$12=1,SUM(AL101:AL102),IF($F103="SL",SUM(OFFSET(AK102,,,,-MIN(AK$14,$E103*4)))*1/($E103*4),2*1/($E103*4)*AL101))</f>
        <v>-107732.31799162069</v>
      </c>
      <c r="AM103" s="15">
        <f t="shared" ref="AM103" ca="1" si="1452">-IF(AM$12=1,SUM(AM101:AM102),IF($F103="SL",SUM(OFFSET(AL102,,,,-MIN(AL$14,$E103*4)))*1/($E103*4),2*1/($E103*4)*AM101))</f>
        <v>-96959.086192458621</v>
      </c>
      <c r="AN103" s="15">
        <f t="shared" ref="AN103" ca="1" si="1453">-IF(AN$12=1,SUM(AN101:AN102),IF($F103="SL",SUM(OFFSET(AM102,,,,-MIN(AM$14,$E103*4)))*1/($E103*4),2*1/($E103*4)*AN101))</f>
        <v>-87263.177573212757</v>
      </c>
      <c r="AO103" s="15">
        <f t="shared" ref="AO103" ca="1" si="1454">-IF(AO$12=1,SUM(AO101:AO102),IF($F103="SL",SUM(OFFSET(AN102,,,,-MIN(AN$14,$E103*4)))*1/($E103*4),2*1/($E103*4)*AO101))</f>
        <v>-78536.859815891468</v>
      </c>
      <c r="AP103" s="15">
        <f t="shared" ref="AP103" ca="1" si="1455">-IF(AP$12=1,SUM(AP101:AP102),IF($F103="SL",SUM(OFFSET(AO102,,,,-MIN(AO$14,$E103*4)))*1/($E103*4),2*1/($E103*4)*AP101))</f>
        <v>-70683.173834302332</v>
      </c>
      <c r="AQ103" s="15">
        <f t="shared" ref="AQ103" ca="1" si="1456">-IF(AQ$12=1,SUM(AQ101:AQ102),IF($F103="SL",SUM(OFFSET(AP102,,,,-MIN(AP$14,$E103*4)))*1/($E103*4),2*1/($E103*4)*AQ101))</f>
        <v>-63614.856450872088</v>
      </c>
      <c r="AR103" s="15">
        <f t="shared" ref="AR103" ca="1" si="1457">-IF(AR$12=1,SUM(AR101:AR102),IF($F103="SL",SUM(OFFSET(AQ102,,,,-MIN(AQ$14,$E103*4)))*1/($E103*4),2*1/($E103*4)*AR101))</f>
        <v>-57253.370805784878</v>
      </c>
      <c r="AS103" s="15">
        <f t="shared" ref="AS103" ca="1" si="1458">-IF(AS$12=1,SUM(AS101:AS102),IF($F103="SL",SUM(OFFSET(AR102,,,,-MIN(AR$14,$E103*4)))*1/($E103*4),2*1/($E103*4)*AS101))</f>
        <v>-51528.033725206391</v>
      </c>
      <c r="AT103" s="15">
        <f t="shared" ref="AT103" ca="1" si="1459">-IF(AT$12=1,SUM(AT101:AT102),IF($F103="SL",SUM(OFFSET(AS102,,,,-MIN(AS$14,$E103*4)))*1/($E103*4),2*1/($E103*4)*AT101))</f>
        <v>-46375.23035268575</v>
      </c>
      <c r="AU103" s="15">
        <f t="shared" ref="AU103" ca="1" si="1460">-IF(AU$12=1,SUM(AU101:AU102),IF($F103="SL",SUM(OFFSET(AT102,,,,-MIN(AT$14,$E103*4)))*1/($E103*4),2*1/($E103*4)*AU101))</f>
        <v>-41737.707317417175</v>
      </c>
      <c r="AV103" s="15">
        <f t="shared" ref="AV103" ca="1" si="1461">-IF(AV$12=1,SUM(AV101:AV102),IF($F103="SL",SUM(OFFSET(AU102,,,,-MIN(AU$14,$E103*4)))*1/($E103*4),2*1/($E103*4)*AV101))</f>
        <v>-37563.936585675452</v>
      </c>
      <c r="AW103" s="15">
        <f t="shared" ref="AW103" ca="1" si="1462">-IF(AW$12=1,SUM(AW101:AW102),IF($F103="SL",SUM(OFFSET(AV102,,,,-MIN(AV$14,$E103*4)))*1/($E103*4),2*1/($E103*4)*AW101))</f>
        <v>-33807.542927107912</v>
      </c>
      <c r="AX103" s="15">
        <f t="shared" ref="AX103" ca="1" si="1463">-IF(AX$12=1,SUM(AX101:AX102),IF($F103="SL",SUM(OFFSET(AW102,,,,-MIN(AW$14,$E103*4)))*1/($E103*4),2*1/($E103*4)*AX101))</f>
        <v>-30426.788634397119</v>
      </c>
      <c r="AY103" s="15">
        <f t="shared" ref="AY103" ca="1" si="1464">-IF(AY$12=1,SUM(AY101:AY102),IF($F103="SL",SUM(OFFSET(AX102,,,,-MIN(AX$14,$E103*4)))*1/($E103*4),2*1/($E103*4)*AY101))</f>
        <v>-27384.109770957406</v>
      </c>
      <c r="AZ103" s="15">
        <f t="shared" ref="AZ103" ca="1" si="1465">-IF(AZ$12=1,SUM(AZ101:AZ102),IF($F103="SL",SUM(OFFSET(AY102,,,,-MIN(AY$14,$E103*4)))*1/($E103*4),2*1/($E103*4)*AZ101))</f>
        <v>-24645.698793861666</v>
      </c>
      <c r="BA103" s="15">
        <f t="shared" ref="BA103" ca="1" si="1466">-IF(BA$12=1,SUM(BA101:BA102),IF($F103="SL",SUM(OFFSET(AZ102,,,,-MIN(AZ$14,$E103*4)))*1/($E103*4),2*1/($E103*4)*BA101))</f>
        <v>-22181.128914475499</v>
      </c>
      <c r="BB103" s="15">
        <f t="shared" ref="BB103" ca="1" si="1467">-IF(BB$12=1,SUM(BB101:BB102),IF($F103="SL",SUM(OFFSET(BA102,,,,-MIN(BA$14,$E103*4)))*1/($E103*4),2*1/($E103*4)*BB101))</f>
        <v>-19963.016023027947</v>
      </c>
      <c r="BC103" s="15">
        <f t="shared" ref="BC103" ca="1" si="1468">-IF(BC$12=1,SUM(BC101:BC102),IF($F103="SL",SUM(OFFSET(BB102,,,,-MIN(BB$14,$E103*4)))*1/($E103*4),2*1/($E103*4)*BC101))</f>
        <v>-17966.714420725151</v>
      </c>
      <c r="BD103" s="15">
        <f t="shared" ref="BD103" ca="1" si="1469">-IF(BD$12=1,SUM(BD101:BD102),IF($F103="SL",SUM(OFFSET(BC102,,,,-MIN(BC$14,$E103*4)))*1/($E103*4),2*1/($E103*4)*BD101))</f>
        <v>-16170.042978652637</v>
      </c>
      <c r="BE103" s="15">
        <f t="shared" ref="BE103" ca="1" si="1470">-IF(BE$12=1,SUM(BE101:BE102),IF($F103="SL",SUM(OFFSET(BD102,,,,-MIN(BD$14,$E103*4)))*1/($E103*4),2*1/($E103*4)*BE101))</f>
        <v>-14553.038680787373</v>
      </c>
      <c r="BF103" s="15">
        <f t="shared" ref="BF103" ca="1" si="1471">-IF(BF$12=1,SUM(BF101:BF102),IF($F103="SL",SUM(OFFSET(BE102,,,,-MIN(BE$14,$E103*4)))*1/($E103*4),2*1/($E103*4)*BF101))</f>
        <v>-13097.734812708637</v>
      </c>
      <c r="BG103" s="15">
        <f t="shared" ref="BG103" ca="1" si="1472">-IF(BG$12=1,SUM(BG101:BG102),IF($F103="SL",SUM(OFFSET(BF102,,,,-MIN(BF$14,$E103*4)))*1/($E103*4),2*1/($E103*4)*BG101))</f>
        <v>-11787.961331437773</v>
      </c>
      <c r="BH103" s="15">
        <f t="shared" ref="BH103" ca="1" si="1473">-IF(BH$12=1,SUM(BH101:BH102),IF($F103="SL",SUM(OFFSET(BG102,,,,-MIN(BG$14,$E103*4)))*1/($E103*4),2*1/($E103*4)*BH101))</f>
        <v>-10609.165198293995</v>
      </c>
      <c r="BI103" s="15">
        <f t="shared" ref="BI103" ca="1" si="1474">-IF(BI$12=1,SUM(BI101:BI102),IF($F103="SL",SUM(OFFSET(BH102,,,,-MIN(BH$14,$E103*4)))*1/($E103*4),2*1/($E103*4)*BI101))</f>
        <v>-9548.2486784645953</v>
      </c>
      <c r="BJ103" s="15">
        <f t="shared" ref="BJ103" ca="1" si="1475">-IF(BJ$12=1,SUM(BJ101:BJ102),IF($F103="SL",SUM(OFFSET(BI102,,,,-MIN(BI$14,$E103*4)))*1/($E103*4),2*1/($E103*4)*BJ101))</f>
        <v>-8593.4238106181347</v>
      </c>
      <c r="BK103" s="15">
        <f t="shared" ref="BK103" ca="1" si="1476">-IF(BK$12=1,SUM(BK101:BK102),IF($F103="SL",SUM(OFFSET(BJ102,,,,-MIN(BJ$14,$E103*4)))*1/($E103*4),2*1/($E103*4)*BK101))</f>
        <v>-7734.0814295563223</v>
      </c>
      <c r="BL103" s="15">
        <f t="shared" ref="BL103" ca="1" si="1477">-IF(BL$12=1,SUM(BL101:BL102),IF($F103="SL",SUM(OFFSET(BK102,,,,-MIN(BK$14,$E103*4)))*1/($E103*4),2*1/($E103*4)*BL101))</f>
        <v>-6960.6732866006905</v>
      </c>
      <c r="BM103" s="15">
        <f t="shared" ref="BM103" ca="1" si="1478">-IF(BM$12=1,SUM(BM101:BM102),IF($F103="SL",SUM(OFFSET(BL102,,,,-MIN(BL$14,$E103*4)))*1/($E103*4),2*1/($E103*4)*BM101))</f>
        <v>-6264.605957940621</v>
      </c>
      <c r="BN103" s="15">
        <f t="shared" ref="BN103" ca="1" si="1479">-IF(BN$12=1,SUM(BN101:BN102),IF($F103="SL",SUM(OFFSET(BM102,,,,-MIN(BM$14,$E103*4)))*1/($E103*4),2*1/($E103*4)*BN101))</f>
        <v>-5638.1453621465589</v>
      </c>
      <c r="BO103" s="15">
        <f t="shared" ref="BO103" ca="1" si="1480">-IF(BO$12=1,SUM(BO101:BO102),IF($F103="SL",SUM(OFFSET(BN102,,,,-MIN(BN$14,$E103*4)))*1/($E103*4),2*1/($E103*4)*BO101))</f>
        <v>-5074.3308259319037</v>
      </c>
      <c r="BP103" s="15">
        <f t="shared" ref="BP103" ca="1" si="1481">-IF(BP$12=1,SUM(BP101:BP102),IF($F103="SL",SUM(OFFSET(BO102,,,,-MIN(BO$14,$E103*4)))*1/($E103*4),2*1/($E103*4)*BP101))</f>
        <v>-4566.8977433387136</v>
      </c>
      <c r="BQ103" s="15">
        <f t="shared" ref="BQ103" ca="1" si="1482">-IF(BQ$12=1,SUM(BQ101:BQ102),IF($F103="SL",SUM(OFFSET(BP102,,,,-MIN(BP$14,$E103*4)))*1/($E103*4),2*1/($E103*4)*BQ101))</f>
        <v>-4110.2079690048422</v>
      </c>
      <c r="BR103" s="15">
        <f t="shared" ref="BR103" ca="1" si="1483">-IF(BR$12=1,SUM(BR101:BR102),IF($F103="SL",SUM(OFFSET(BQ102,,,,-MIN(BQ$14,$E103*4)))*1/($E103*4),2*1/($E103*4)*BR101))</f>
        <v>-3699.1871721043581</v>
      </c>
      <c r="BS103" s="15">
        <f t="shared" ref="BS103" ca="1" si="1484">-IF(BS$12=1,SUM(BS101:BS102),IF($F103="SL",SUM(OFFSET(BR102,,,,-MIN(BR$14,$E103*4)))*1/($E103*4),2*1/($E103*4)*BS101))</f>
        <v>-3329.2684548939224</v>
      </c>
      <c r="BT103" s="15">
        <f t="shared" ref="BT103" ca="1" si="1485">-IF(BT$12=1,SUM(BT101:BT102),IF($F103="SL",SUM(OFFSET(BS102,,,,-MIN(BS$14,$E103*4)))*1/($E103*4),2*1/($E103*4)*BT101))</f>
        <v>-2996.3416094045301</v>
      </c>
      <c r="BU103" s="15">
        <f t="shared" ref="BU103" ca="1" si="1486">-IF(BU$12=1,SUM(BU101:BU102),IF($F103="SL",SUM(OFFSET(BT102,,,,-MIN(BT$14,$E103*4)))*1/($E103*4),2*1/($E103*4)*BU101))</f>
        <v>-2696.7074484640771</v>
      </c>
      <c r="BV103" s="15">
        <f t="shared" ref="BV103" ca="1" si="1487">-IF(BV$12=1,SUM(BV101:BV102),IF($F103="SL",SUM(OFFSET(BU102,,,,-MIN(BU$14,$E103*4)))*1/($E103*4),2*1/($E103*4)*BV101))</f>
        <v>-2427.0367036176694</v>
      </c>
      <c r="BW103" s="15">
        <f t="shared" ref="BW103" ca="1" si="1488">-IF(BW$12=1,SUM(BW101:BW102),IF($F103="SL",SUM(OFFSET(BV102,,,,-MIN(BV$14,$E103*4)))*1/($E103*4),2*1/($E103*4)*BW101))</f>
        <v>-2184.3330332559026</v>
      </c>
      <c r="BX103" s="15">
        <f t="shared" ref="BX103" ca="1" si="1489">-IF(BX$12=1,SUM(BX101:BX102),IF($F103="SL",SUM(OFFSET(BW102,,,,-MIN(BW$14,$E103*4)))*1/($E103*4),2*1/($E103*4)*BX101))</f>
        <v>-1965.8997299303123</v>
      </c>
      <c r="BY103" s="15">
        <f t="shared" ref="BY103" ca="1" si="1490">-IF(BY$12=1,SUM(BY101:BY102),IF($F103="SL",SUM(OFFSET(BX102,,,,-MIN(BX$14,$E103*4)))*1/($E103*4),2*1/($E103*4)*BY101))</f>
        <v>-1769.3097569372812</v>
      </c>
      <c r="BZ103" s="15">
        <f t="shared" ref="BZ103" ca="1" si="1491">-IF(BZ$12=1,SUM(BZ101:BZ102),IF($F103="SL",SUM(OFFSET(BY102,,,,-MIN(BY$14,$E103*4)))*1/($E103*4),2*1/($E103*4)*BZ101))</f>
        <v>-1592.378781243553</v>
      </c>
      <c r="CA103" s="15">
        <f t="shared" ref="CA103" ca="1" si="1492">-IF(CA$12=1,SUM(CA101:CA102),IF($F103="SL",SUM(OFFSET(BZ102,,,,-MIN(BZ$14,$E103*4)))*1/($E103*4),2*1/($E103*4)*CA101))</f>
        <v>-1433.1409031191979</v>
      </c>
      <c r="CB103" s="15">
        <f t="shared" ref="CB103" ca="1" si="1493">-IF(CB$12=1,SUM(CB101:CB102),IF($F103="SL",SUM(OFFSET(CA102,,,,-MIN(CA$14,$E103*4)))*1/($E103*4),2*1/($E103*4)*CB101))</f>
        <v>-1289.826812807278</v>
      </c>
      <c r="CC103" s="15">
        <f t="shared" ref="CC103" ca="1" si="1494">-IF(CC$12=1,SUM(CC101:CC102),IF($F103="SL",SUM(OFFSET(CB102,,,,-MIN(CB$14,$E103*4)))*1/($E103*4),2*1/($E103*4)*CC101))</f>
        <v>-1160.8441315265502</v>
      </c>
      <c r="CD103" s="15">
        <f t="shared" ref="CD103" ca="1" si="1495">-IF(CD$12=1,SUM(CD101:CD102),IF($F103="SL",SUM(OFFSET(CC102,,,,-MIN(CC$14,$E103*4)))*1/($E103*4),2*1/($E103*4)*CD101))</f>
        <v>-1044.7597183738951</v>
      </c>
      <c r="CE103" s="15">
        <f t="shared" ref="CE103" ca="1" si="1496">-IF(CE$12=1,SUM(CE101:CE102),IF($F103="SL",SUM(OFFSET(CD102,,,,-MIN(CD$14,$E103*4)))*1/($E103*4),2*1/($E103*4)*CE101))</f>
        <v>-940.28374653650576</v>
      </c>
      <c r="CF103" s="15">
        <f t="shared" ref="CF103" ca="1" si="1497">-IF(CF$12=1,SUM(CF101:CF102),IF($F103="SL",SUM(OFFSET(CE102,,,,-MIN(CE$14,$E103*4)))*1/($E103*4),2*1/($E103*4)*CF101))</f>
        <v>-846.25537188285512</v>
      </c>
      <c r="CG103" s="15">
        <f t="shared" ref="CG103" ca="1" si="1498">-IF(CG$12=1,SUM(CG101:CG102),IF($F103="SL",SUM(OFFSET(CF102,,,,-MIN(CF$14,$E103*4)))*1/($E103*4),2*1/($E103*4)*CG101))</f>
        <v>-761.62983469456958</v>
      </c>
      <c r="CH103" s="15">
        <f t="shared" ref="CH103" ca="1" si="1499">-IF(CH$12=1,SUM(CH101:CH102),IF($F103="SL",SUM(OFFSET(CG102,,,,-MIN(CG$14,$E103*4)))*1/($E103*4),2*1/($E103*4)*CH101))</f>
        <v>-685.46685122511269</v>
      </c>
      <c r="CI103" s="15">
        <f t="shared" ref="CI103" ca="1" si="1500">-IF(CI$12=1,SUM(CI101:CI102),IF($F103="SL",SUM(OFFSET(CH102,,,,-MIN(CH$14,$E103*4)))*1/($E103*4),2*1/($E103*4)*CI101))</f>
        <v>-616.92016610260134</v>
      </c>
      <c r="CJ103" s="15">
        <f t="shared" ref="CJ103" ca="1" si="1501">-IF(CJ$12=1,SUM(CJ101:CJ102),IF($F103="SL",SUM(OFFSET(CI102,,,,-MIN(CI$14,$E103*4)))*1/($E103*4),2*1/($E103*4)*CJ101))</f>
        <v>-555.22814949234123</v>
      </c>
      <c r="CK103" s="15">
        <f t="shared" ref="CK103" ca="1" si="1502">-IF(CK$12=1,SUM(CK101:CK102),IF($F103="SL",SUM(OFFSET(CJ102,,,,-MIN(CJ$14,$E103*4)))*1/($E103*4),2*1/($E103*4)*CK101))</f>
        <v>-499.7053345431072</v>
      </c>
      <c r="CL103" s="15">
        <f t="shared" ref="CL103" ca="1" si="1503">-IF(CL$12=1,SUM(CL101:CL102),IF($F103="SL",SUM(OFFSET(CK102,,,,-MIN(CK$14,$E103*4)))*1/($E103*4),2*1/($E103*4)*CL101))</f>
        <v>-449.73480108879653</v>
      </c>
      <c r="CM103" s="15">
        <f t="shared" ref="CM103" ca="1" si="1504">-IF(CM$12=1,SUM(CM101:CM102),IF($F103="SL",SUM(OFFSET(CL102,,,,-MIN(CL$14,$E103*4)))*1/($E103*4),2*1/($E103*4)*CM101))</f>
        <v>-404.76132097991689</v>
      </c>
      <c r="CN103" s="75">
        <f t="shared" ref="CN103" ca="1" si="1505">-IF(CN$12=1,SUM(CN101:CN102),IF($F103="SL",SUM(OFFSET(CM102,,,,-MIN(CM$14,$E103*4)))*1/($E103*4),2*1/($E103*4)*CN101))</f>
        <v>-3642.8518888192516</v>
      </c>
    </row>
    <row r="104" spans="3:92" ht="12.75" customHeight="1" x14ac:dyDescent="0.3">
      <c r="D104" s="50" t="s">
        <v>184</v>
      </c>
      <c r="H104" s="16" t="s">
        <v>1</v>
      </c>
      <c r="J104" s="50">
        <f t="shared" ref="J104" ca="1" si="1506">SUM(J101:J103)</f>
        <v>0</v>
      </c>
      <c r="L104" s="83">
        <v>0</v>
      </c>
      <c r="M104" s="50">
        <f t="shared" ref="M104" ca="1" si="1507">SUM(M101:M103)</f>
        <v>1000000</v>
      </c>
      <c r="N104" s="50">
        <f t="shared" ref="N104" ca="1" si="1508">SUM(N101:N103)</f>
        <v>2410391.5167977419</v>
      </c>
      <c r="O104" s="50">
        <f t="shared" ref="O104" ca="1" si="1509">SUM(O101:O103)</f>
        <v>3183255.7135688937</v>
      </c>
      <c r="P104" s="50">
        <f t="shared" ref="P104" ca="1" si="1510">SUM(P101:P103)</f>
        <v>4396321.1585651077</v>
      </c>
      <c r="Q104" s="50">
        <f t="shared" ref="Q104" ca="1" si="1511">SUM(Q101:Q103)</f>
        <v>4984689.0427085971</v>
      </c>
      <c r="R104" s="50">
        <f t="shared" ref="R104" ca="1" si="1512">SUM(R101:R103)</f>
        <v>5521341.7912831232</v>
      </c>
      <c r="S104" s="50">
        <f t="shared" ref="S104" ca="1" si="1513">SUM(S101:S103)</f>
        <v>6011500.2543623624</v>
      </c>
      <c r="T104" s="50">
        <f t="shared" ref="T104" ca="1" si="1514">SUM(T101:T103)</f>
        <v>6459863.5388001194</v>
      </c>
      <c r="U104" s="50">
        <f t="shared" ref="U104" ca="1" si="1515">SUM(U101:U103)</f>
        <v>5813877.1849201079</v>
      </c>
      <c r="V104" s="50">
        <f t="shared" ref="V104" ca="1" si="1516">SUM(V101:V103)</f>
        <v>5232489.4664280973</v>
      </c>
      <c r="W104" s="50">
        <f t="shared" ref="W104" ca="1" si="1517">SUM(W101:W103)</f>
        <v>4709240.5197852878</v>
      </c>
      <c r="X104" s="50">
        <f t="shared" ref="X104" ca="1" si="1518">SUM(X101:X103)</f>
        <v>4238316.4678067593</v>
      </c>
      <c r="Y104" s="50">
        <f t="shared" ref="Y104" ca="1" si="1519">SUM(Y101:Y103)</f>
        <v>3814484.8210260831</v>
      </c>
      <c r="Z104" s="50">
        <f t="shared" ref="Z104" ca="1" si="1520">SUM(Z101:Z103)</f>
        <v>3433036.3389234748</v>
      </c>
      <c r="AA104" s="50">
        <f t="shared" ref="AA104" ca="1" si="1521">SUM(AA101:AA103)</f>
        <v>3089732.7050311272</v>
      </c>
      <c r="AB104" s="50">
        <f t="shared" ref="AB104" ca="1" si="1522">SUM(AB101:AB103)</f>
        <v>2780759.4345280146</v>
      </c>
      <c r="AC104" s="50">
        <f t="shared" ref="AC104" ca="1" si="1523">SUM(AC101:AC103)</f>
        <v>2502683.4910752131</v>
      </c>
      <c r="AD104" s="50">
        <f t="shared" ref="AD104" ca="1" si="1524">SUM(AD101:AD103)</f>
        <v>2252415.1419676919</v>
      </c>
      <c r="AE104" s="50">
        <f t="shared" ref="AE104" ca="1" si="1525">SUM(AE101:AE103)</f>
        <v>2027173.6277709226</v>
      </c>
      <c r="AF104" s="50">
        <f t="shared" ref="AF104" ca="1" si="1526">SUM(AF101:AF103)</f>
        <v>1824456.2649938304</v>
      </c>
      <c r="AG104" s="50">
        <f t="shared" ref="AG104" ca="1" si="1527">SUM(AG101:AG103)</f>
        <v>1642010.6384944473</v>
      </c>
      <c r="AH104" s="50">
        <f t="shared" ref="AH104" ca="1" si="1528">SUM(AH101:AH103)</f>
        <v>1477809.5746450026</v>
      </c>
      <c r="AI104" s="50">
        <f t="shared" ref="AI104" ca="1" si="1529">SUM(AI101:AI103)</f>
        <v>1330028.6171805023</v>
      </c>
      <c r="AJ104" s="50">
        <f t="shared" ref="AJ104" ca="1" si="1530">SUM(AJ101:AJ103)</f>
        <v>1197025.7554624521</v>
      </c>
      <c r="AK104" s="50">
        <f t="shared" ref="AK104" ca="1" si="1531">SUM(AK101:AK103)</f>
        <v>1077323.1799162067</v>
      </c>
      <c r="AL104" s="50">
        <f t="shared" ref="AL104" ca="1" si="1532">SUM(AL101:AL103)</f>
        <v>969590.86192458612</v>
      </c>
      <c r="AM104" s="50">
        <f t="shared" ref="AM104" ca="1" si="1533">SUM(AM101:AM103)</f>
        <v>872631.77573212748</v>
      </c>
      <c r="AN104" s="50">
        <f t="shared" ref="AN104" ca="1" si="1534">SUM(AN101:AN103)</f>
        <v>785368.59815891471</v>
      </c>
      <c r="AO104" s="50">
        <f t="shared" ref="AO104" ca="1" si="1535">SUM(AO101:AO103)</f>
        <v>706831.73834302323</v>
      </c>
      <c r="AP104" s="50">
        <f t="shared" ref="AP104" ca="1" si="1536">SUM(AP101:AP103)</f>
        <v>636148.56450872088</v>
      </c>
      <c r="AQ104" s="50">
        <f t="shared" ref="AQ104" ca="1" si="1537">SUM(AQ101:AQ103)</f>
        <v>572533.70805784874</v>
      </c>
      <c r="AR104" s="50">
        <f t="shared" ref="AR104" ca="1" si="1538">SUM(AR101:AR103)</f>
        <v>515280.33725206385</v>
      </c>
      <c r="AS104" s="50">
        <f t="shared" ref="AS104" ca="1" si="1539">SUM(AS101:AS103)</f>
        <v>463752.30352685746</v>
      </c>
      <c r="AT104" s="50">
        <f t="shared" ref="AT104" ca="1" si="1540">SUM(AT101:AT103)</f>
        <v>417377.07317417173</v>
      </c>
      <c r="AU104" s="50">
        <f t="shared" ref="AU104" ca="1" si="1541">SUM(AU101:AU103)</f>
        <v>375639.36585675454</v>
      </c>
      <c r="AV104" s="50">
        <f t="shared" ref="AV104" ca="1" si="1542">SUM(AV101:AV103)</f>
        <v>338075.42927107908</v>
      </c>
      <c r="AW104" s="50">
        <f t="shared" ref="AW104" ca="1" si="1543">SUM(AW101:AW103)</f>
        <v>304267.88634397119</v>
      </c>
      <c r="AX104" s="50">
        <f t="shared" ref="AX104" ca="1" si="1544">SUM(AX101:AX103)</f>
        <v>273841.09770957404</v>
      </c>
      <c r="AY104" s="50">
        <f t="shared" ref="AY104" ca="1" si="1545">SUM(AY101:AY103)</f>
        <v>246456.98793861663</v>
      </c>
      <c r="AZ104" s="50">
        <f t="shared" ref="AZ104" ca="1" si="1546">SUM(AZ101:AZ103)</f>
        <v>221811.28914475496</v>
      </c>
      <c r="BA104" s="50">
        <f t="shared" ref="BA104" ca="1" si="1547">SUM(BA101:BA103)</f>
        <v>199630.16023027946</v>
      </c>
      <c r="BB104" s="50">
        <f t="shared" ref="BB104" ca="1" si="1548">SUM(BB101:BB103)</f>
        <v>179667.14420725152</v>
      </c>
      <c r="BC104" s="50">
        <f t="shared" ref="BC104" ca="1" si="1549">SUM(BC101:BC103)</f>
        <v>161700.42978652637</v>
      </c>
      <c r="BD104" s="50">
        <f t="shared" ref="BD104" ca="1" si="1550">SUM(BD101:BD103)</f>
        <v>145530.38680787373</v>
      </c>
      <c r="BE104" s="50">
        <f t="shared" ref="BE104" ca="1" si="1551">SUM(BE101:BE103)</f>
        <v>130977.34812708636</v>
      </c>
      <c r="BF104" s="50">
        <f t="shared" ref="BF104" ca="1" si="1552">SUM(BF101:BF103)</f>
        <v>117879.61331437773</v>
      </c>
      <c r="BG104" s="50">
        <f t="shared" ref="BG104" ca="1" si="1553">SUM(BG101:BG103)</f>
        <v>106091.65198293995</v>
      </c>
      <c r="BH104" s="50">
        <f t="shared" ref="BH104" ca="1" si="1554">SUM(BH101:BH103)</f>
        <v>95482.486784645953</v>
      </c>
      <c r="BI104" s="50">
        <f t="shared" ref="BI104" ca="1" si="1555">SUM(BI101:BI103)</f>
        <v>85934.23810618135</v>
      </c>
      <c r="BJ104" s="50">
        <f t="shared" ref="BJ104" ca="1" si="1556">SUM(BJ101:BJ103)</f>
        <v>77340.814295563221</v>
      </c>
      <c r="BK104" s="50">
        <f t="shared" ref="BK104" ca="1" si="1557">SUM(BK101:BK103)</f>
        <v>69606.732866006903</v>
      </c>
      <c r="BL104" s="50">
        <f t="shared" ref="BL104" ca="1" si="1558">SUM(BL101:BL103)</f>
        <v>62646.05957940621</v>
      </c>
      <c r="BM104" s="50">
        <f t="shared" ref="BM104" ca="1" si="1559">SUM(BM101:BM103)</f>
        <v>56381.453621465589</v>
      </c>
      <c r="BN104" s="50">
        <f t="shared" ref="BN104" ca="1" si="1560">SUM(BN101:BN103)</f>
        <v>50743.308259319034</v>
      </c>
      <c r="BO104" s="50">
        <f t="shared" ref="BO104" ca="1" si="1561">SUM(BO101:BO103)</f>
        <v>45668.977433387132</v>
      </c>
      <c r="BP104" s="50">
        <f t="shared" ref="BP104" ca="1" si="1562">SUM(BP101:BP103)</f>
        <v>41102.07969004842</v>
      </c>
      <c r="BQ104" s="50">
        <f t="shared" ref="BQ104" ca="1" si="1563">SUM(BQ101:BQ103)</f>
        <v>36991.871721043579</v>
      </c>
      <c r="BR104" s="50">
        <f t="shared" ref="BR104" ca="1" si="1564">SUM(BR101:BR103)</f>
        <v>33292.684548939222</v>
      </c>
      <c r="BS104" s="50">
        <f t="shared" ref="BS104" ca="1" si="1565">SUM(BS101:BS103)</f>
        <v>29963.4160940453</v>
      </c>
      <c r="BT104" s="50">
        <f t="shared" ref="BT104" ca="1" si="1566">SUM(BT101:BT103)</f>
        <v>26967.074484640769</v>
      </c>
      <c r="BU104" s="50">
        <f t="shared" ref="BU104" ca="1" si="1567">SUM(BU101:BU103)</f>
        <v>24270.367036176693</v>
      </c>
      <c r="BV104" s="50">
        <f t="shared" ref="BV104" ca="1" si="1568">SUM(BV101:BV103)</f>
        <v>21843.330332559024</v>
      </c>
      <c r="BW104" s="50">
        <f t="shared" ref="BW104" ca="1" si="1569">SUM(BW101:BW103)</f>
        <v>19658.997299303122</v>
      </c>
      <c r="BX104" s="50">
        <f t="shared" ref="BX104" ca="1" si="1570">SUM(BX101:BX103)</f>
        <v>17693.097569372811</v>
      </c>
      <c r="BY104" s="50">
        <f t="shared" ref="BY104" ca="1" si="1571">SUM(BY101:BY103)</f>
        <v>15923.78781243553</v>
      </c>
      <c r="BZ104" s="50">
        <f t="shared" ref="BZ104" ca="1" si="1572">SUM(BZ101:BZ103)</f>
        <v>14331.409031191977</v>
      </c>
      <c r="CA104" s="50">
        <f t="shared" ref="CA104" ca="1" si="1573">SUM(CA101:CA103)</f>
        <v>12898.268128072779</v>
      </c>
      <c r="CB104" s="50">
        <f t="shared" ref="CB104" ca="1" si="1574">SUM(CB101:CB103)</f>
        <v>11608.441315265502</v>
      </c>
      <c r="CC104" s="50">
        <f t="shared" ref="CC104" ca="1" si="1575">SUM(CC101:CC103)</f>
        <v>10447.597183738952</v>
      </c>
      <c r="CD104" s="50">
        <f t="shared" ref="CD104" ca="1" si="1576">SUM(CD101:CD103)</f>
        <v>9402.8374653650571</v>
      </c>
      <c r="CE104" s="50">
        <f t="shared" ref="CE104" ca="1" si="1577">SUM(CE101:CE103)</f>
        <v>8462.5537188285507</v>
      </c>
      <c r="CF104" s="50">
        <f t="shared" ref="CF104" ca="1" si="1578">SUM(CF101:CF103)</f>
        <v>7616.2983469456958</v>
      </c>
      <c r="CG104" s="50">
        <f t="shared" ref="CG104" ca="1" si="1579">SUM(CG101:CG103)</f>
        <v>6854.6685122511262</v>
      </c>
      <c r="CH104" s="50">
        <f t="shared" ref="CH104" ca="1" si="1580">SUM(CH101:CH103)</f>
        <v>6169.2016610260134</v>
      </c>
      <c r="CI104" s="50">
        <f t="shared" ref="CI104" ca="1" si="1581">SUM(CI101:CI103)</f>
        <v>5552.2814949234125</v>
      </c>
      <c r="CJ104" s="50">
        <f t="shared" ref="CJ104" ca="1" si="1582">SUM(CJ101:CJ103)</f>
        <v>4997.0533454310716</v>
      </c>
      <c r="CK104" s="50">
        <f t="shared" ref="CK104" ca="1" si="1583">SUM(CK101:CK103)</f>
        <v>4497.3480108879648</v>
      </c>
      <c r="CL104" s="50">
        <f t="shared" ref="CL104" ca="1" si="1584">SUM(CL101:CL103)</f>
        <v>4047.6132097991685</v>
      </c>
      <c r="CM104" s="50">
        <f t="shared" ref="CM104" ca="1" si="1585">SUM(CM101:CM103)</f>
        <v>3642.8518888192516</v>
      </c>
      <c r="CN104" s="50">
        <f t="shared" ref="CN104" ca="1" si="1586">SUM(CN101:CN103)</f>
        <v>0</v>
      </c>
    </row>
    <row r="105" spans="3:92" ht="12.75" customHeight="1" x14ac:dyDescent="0.3">
      <c r="D105" s="84"/>
      <c r="E105" s="85"/>
      <c r="F105" s="85"/>
      <c r="G105" s="85"/>
      <c r="H105" s="86"/>
      <c r="I105" s="87"/>
      <c r="J105" s="84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</row>
    <row r="106" spans="3:92" ht="12.75" customHeight="1" x14ac:dyDescent="0.3">
      <c r="D106" s="15"/>
      <c r="H106" s="16"/>
      <c r="J106" s="15"/>
    </row>
    <row r="107" spans="3:92" ht="12.75" customHeight="1" x14ac:dyDescent="0.3">
      <c r="C107" s="24">
        <f>C100+1</f>
        <v>5</v>
      </c>
      <c r="D107" s="17" t="str">
        <f>INDEX(Ass!$D$107:$D$111,CapexDA!$C107)</f>
        <v>Longterm Capex</v>
      </c>
      <c r="H107" s="16"/>
      <c r="J107" s="15"/>
    </row>
    <row r="108" spans="3:92" ht="12.75" customHeight="1" x14ac:dyDescent="0.3">
      <c r="D108" s="15" t="s">
        <v>181</v>
      </c>
      <c r="H108" s="16" t="s">
        <v>1</v>
      </c>
      <c r="J108" s="15"/>
      <c r="L108" s="80">
        <v>0</v>
      </c>
      <c r="M108" s="15">
        <f t="shared" ref="M108:BX108" si="1587">L111</f>
        <v>0</v>
      </c>
      <c r="N108" s="15">
        <f t="shared" ca="1" si="1587"/>
        <v>0</v>
      </c>
      <c r="O108" s="15">
        <f t="shared" ca="1" si="1587"/>
        <v>0</v>
      </c>
      <c r="P108" s="15">
        <f t="shared" ca="1" si="1587"/>
        <v>0</v>
      </c>
      <c r="Q108" s="15">
        <f t="shared" ca="1" si="1587"/>
        <v>0</v>
      </c>
      <c r="R108" s="15">
        <f t="shared" ca="1" si="1587"/>
        <v>0</v>
      </c>
      <c r="S108" s="15">
        <f t="shared" ca="1" si="1587"/>
        <v>0</v>
      </c>
      <c r="T108" s="15">
        <f t="shared" ca="1" si="1587"/>
        <v>0</v>
      </c>
      <c r="U108" s="15">
        <f t="shared" ca="1" si="1587"/>
        <v>0</v>
      </c>
      <c r="V108" s="15">
        <f t="shared" ca="1" si="1587"/>
        <v>1056783.9999999995</v>
      </c>
      <c r="W108" s="15">
        <f t="shared" ca="1" si="1587"/>
        <v>2015210.6591250557</v>
      </c>
      <c r="X108" s="15">
        <f t="shared" ca="1" si="1587"/>
        <v>2885166.4294019127</v>
      </c>
      <c r="Y108" s="15">
        <f t="shared" ca="1" si="1587"/>
        <v>3675549.4690121864</v>
      </c>
      <c r="Z108" s="15">
        <f t="shared" ca="1" si="1587"/>
        <v>4394368.4741109665</v>
      </c>
      <c r="AA108" s="15">
        <f t="shared" ca="1" si="1587"/>
        <v>5048831.6274804268</v>
      </c>
      <c r="AB108" s="15">
        <f t="shared" ca="1" si="1587"/>
        <v>5645426.6523350496</v>
      </c>
      <c r="AC108" s="15">
        <f t="shared" ca="1" si="1587"/>
        <v>6189992.8607634222</v>
      </c>
      <c r="AD108" s="15">
        <f t="shared" ca="1" si="1587"/>
        <v>6687785.9973430783</v>
      </c>
      <c r="AE108" s="15">
        <f t="shared" ca="1" si="1587"/>
        <v>7143536.5984111829</v>
      </c>
      <c r="AF108" s="15">
        <f t="shared" ca="1" si="1587"/>
        <v>7561502.5154256038</v>
      </c>
      <c r="AG108" s="15">
        <f t="shared" ca="1" si="1587"/>
        <v>7945516.1860074531</v>
      </c>
      <c r="AH108" s="15">
        <f t="shared" ca="1" si="1587"/>
        <v>8299027.1778970743</v>
      </c>
      <c r="AI108" s="15">
        <f t="shared" ca="1" si="1587"/>
        <v>8625140.4785322472</v>
      </c>
      <c r="AJ108" s="15">
        <f t="shared" ca="1" si="1587"/>
        <v>8926650.9556865171</v>
      </c>
      <c r="AK108" s="15">
        <f t="shared" ca="1" si="1587"/>
        <v>9206074.3720617592</v>
      </c>
      <c r="AL108" s="15">
        <f t="shared" ca="1" si="1587"/>
        <v>9465675.2984396815</v>
      </c>
      <c r="AM108" s="15">
        <f t="shared" ca="1" si="1587"/>
        <v>9707492.2355364896</v>
      </c>
      <c r="AN108" s="15">
        <f t="shared" ca="1" si="1587"/>
        <v>9933360.2236905452</v>
      </c>
      <c r="AO108" s="15">
        <f t="shared" ca="1" si="1587"/>
        <v>10144931.191599812</v>
      </c>
      <c r="AP108" s="15">
        <f t="shared" ca="1" si="1587"/>
        <v>10343692.270204281</v>
      </c>
      <c r="AQ108" s="15">
        <f t="shared" ca="1" si="1587"/>
        <v>10530982.275198972</v>
      </c>
      <c r="AR108" s="15">
        <f t="shared" ca="1" si="1587"/>
        <v>10708006.541314593</v>
      </c>
      <c r="AS108" s="15">
        <f t="shared" ca="1" si="1587"/>
        <v>10875850.273189249</v>
      </c>
      <c r="AT108" s="15">
        <f t="shared" ca="1" si="1587"/>
        <v>11035490.56117218</v>
      </c>
      <c r="AU108" s="15">
        <f t="shared" ca="1" si="1587"/>
        <v>11187807.195566501</v>
      </c>
      <c r="AV108" s="15">
        <f t="shared" ca="1" si="1587"/>
        <v>11333592.399467165</v>
      </c>
      <c r="AW108" s="15">
        <f t="shared" ca="1" si="1587"/>
        <v>11473559.588334732</v>
      </c>
      <c r="AX108" s="15">
        <f t="shared" ca="1" si="1587"/>
        <v>11608351.253631566</v>
      </c>
      <c r="AY108" s="15">
        <f t="shared" ca="1" si="1587"/>
        <v>11738546.058114273</v>
      </c>
      <c r="AZ108" s="15">
        <f t="shared" ca="1" si="1587"/>
        <v>11864665.221616965</v>
      </c>
      <c r="BA108" s="15">
        <f t="shared" ca="1" si="1587"/>
        <v>11987178.268276352</v>
      </c>
      <c r="BB108" s="15">
        <f t="shared" ca="1" si="1587"/>
        <v>12106508.199054671</v>
      </c>
      <c r="BC108" s="15">
        <f t="shared" ca="1" si="1587"/>
        <v>12223036.14703075</v>
      </c>
      <c r="BD108" s="15">
        <f t="shared" ca="1" si="1587"/>
        <v>12337105.567182586</v>
      </c>
      <c r="BE108" s="15">
        <f t="shared" ca="1" si="1587"/>
        <v>12449026.007212402</v>
      </c>
      <c r="BF108" s="15">
        <f t="shared" ca="1" si="1587"/>
        <v>12559076.501310084</v>
      </c>
      <c r="BG108" s="15">
        <f t="shared" ca="1" si="1587"/>
        <v>12667508.624561306</v>
      </c>
      <c r="BH108" s="15">
        <f t="shared" ca="1" si="1587"/>
        <v>12774549.241936024</v>
      </c>
      <c r="BI108" s="15">
        <f t="shared" ca="1" si="1587"/>
        <v>12880402.982399443</v>
      </c>
      <c r="BJ108" s="15">
        <f t="shared" ca="1" si="1587"/>
        <v>12985254.465633349</v>
      </c>
      <c r="BK108" s="15">
        <f t="shared" ca="1" si="1587"/>
        <v>13089270.306106945</v>
      </c>
      <c r="BL108" s="15">
        <f t="shared" ca="1" si="1587"/>
        <v>13192600.916762363</v>
      </c>
      <c r="BM108" s="15">
        <f t="shared" ca="1" si="1587"/>
        <v>13295382.132353542</v>
      </c>
      <c r="BN108" s="15">
        <f t="shared" ca="1" si="1587"/>
        <v>13397736.670473306</v>
      </c>
      <c r="BO108" s="15">
        <f t="shared" ca="1" si="1587"/>
        <v>13499775.44649994</v>
      </c>
      <c r="BP108" s="15">
        <f t="shared" ca="1" si="1587"/>
        <v>13601598.757071508</v>
      </c>
      <c r="BQ108" s="15">
        <f t="shared" ca="1" si="1587"/>
        <v>13703297.34523526</v>
      </c>
      <c r="BR108" s="15">
        <f t="shared" ca="1" si="1587"/>
        <v>13804953.359104795</v>
      </c>
      <c r="BS108" s="15">
        <f t="shared" ca="1" si="1587"/>
        <v>13906641.214674354</v>
      </c>
      <c r="BT108" s="15">
        <f t="shared" ca="1" si="1587"/>
        <v>14008428.372374684</v>
      </c>
      <c r="BU108" s="15">
        <f t="shared" ca="1" si="1587"/>
        <v>14110376.035996504</v>
      </c>
      <c r="BV108" s="15">
        <f t="shared" ca="1" si="1587"/>
        <v>14212539.78174492</v>
      </c>
      <c r="BW108" s="15">
        <f t="shared" ca="1" si="1587"/>
        <v>14314970.124411903</v>
      </c>
      <c r="BX108" s="15">
        <f t="shared" ca="1" si="1587"/>
        <v>14417713.026955176</v>
      </c>
      <c r="BY108" s="15">
        <f t="shared" ref="BY108:CN108" ca="1" si="1588">BX111</f>
        <v>14520810.359143006</v>
      </c>
      <c r="BZ108" s="15">
        <f t="shared" ca="1" si="1588"/>
        <v>14624300.310358517</v>
      </c>
      <c r="CA108" s="15">
        <f t="shared" ca="1" si="1588"/>
        <v>14728217.761147704</v>
      </c>
      <c r="CB108" s="15">
        <f t="shared" ca="1" si="1588"/>
        <v>14832594.617636962</v>
      </c>
      <c r="CC108" s="15">
        <f t="shared" ca="1" si="1588"/>
        <v>14937460.112533348</v>
      </c>
      <c r="CD108" s="15">
        <f t="shared" ca="1" si="1588"/>
        <v>15042841.076049458</v>
      </c>
      <c r="CE108" s="15">
        <f t="shared" ca="1" si="1588"/>
        <v>15148762.17976065</v>
      </c>
      <c r="CF108" s="15">
        <f t="shared" ca="1" si="1588"/>
        <v>15255246.156101525</v>
      </c>
      <c r="CG108" s="15">
        <f t="shared" ca="1" si="1588"/>
        <v>15362313.995937936</v>
      </c>
      <c r="CH108" s="15">
        <f t="shared" ca="1" si="1588"/>
        <v>15469985.126407132</v>
      </c>
      <c r="CI108" s="15">
        <f t="shared" ca="1" si="1588"/>
        <v>15578277.570999408</v>
      </c>
      <c r="CJ108" s="15">
        <f t="shared" ca="1" si="1588"/>
        <v>15687208.093657281</v>
      </c>
      <c r="CK108" s="15">
        <f t="shared" ca="1" si="1588"/>
        <v>15796792.32849062</v>
      </c>
      <c r="CL108" s="15">
        <f t="shared" ca="1" si="1588"/>
        <v>15907044.896546312</v>
      </c>
      <c r="CM108" s="15">
        <f t="shared" ca="1" si="1588"/>
        <v>16017979.510927193</v>
      </c>
      <c r="CN108" s="15">
        <f t="shared" ca="1" si="1588"/>
        <v>16129609.071425505</v>
      </c>
    </row>
    <row r="109" spans="3:92" ht="12.75" customHeight="1" x14ac:dyDescent="0.3">
      <c r="D109" s="15" t="s">
        <v>182</v>
      </c>
      <c r="H109" s="16" t="s">
        <v>1</v>
      </c>
      <c r="J109" s="58">
        <f>SUM(L109:CN109)</f>
        <v>96498942.134498507</v>
      </c>
      <c r="L109" s="81">
        <v>0</v>
      </c>
      <c r="M109" s="78">
        <f t="shared" ref="M109:BX109" si="1589">INDEX(M$19:M$23,$C107)</f>
        <v>0</v>
      </c>
      <c r="N109" s="78">
        <f t="shared" si="1589"/>
        <v>0</v>
      </c>
      <c r="O109" s="78">
        <f t="shared" si="1589"/>
        <v>0</v>
      </c>
      <c r="P109" s="78">
        <f t="shared" si="1589"/>
        <v>0</v>
      </c>
      <c r="Q109" s="78">
        <f t="shared" si="1589"/>
        <v>0</v>
      </c>
      <c r="R109" s="78">
        <f t="shared" si="1589"/>
        <v>0</v>
      </c>
      <c r="S109" s="78">
        <f t="shared" si="1589"/>
        <v>0</v>
      </c>
      <c r="T109" s="78">
        <f t="shared" si="1589"/>
        <v>0</v>
      </c>
      <c r="U109" s="78">
        <f t="shared" si="1589"/>
        <v>1056783.9999999995</v>
      </c>
      <c r="V109" s="78">
        <f t="shared" si="1589"/>
        <v>1064105.059125056</v>
      </c>
      <c r="W109" s="78">
        <f t="shared" si="1589"/>
        <v>1071476.8361893627</v>
      </c>
      <c r="X109" s="78">
        <f t="shared" si="1589"/>
        <v>1078899.6825504648</v>
      </c>
      <c r="Y109" s="78">
        <f t="shared" si="1589"/>
        <v>1086373.9519999993</v>
      </c>
      <c r="Z109" s="78">
        <f t="shared" si="1589"/>
        <v>1093900.0007805575</v>
      </c>
      <c r="AA109" s="78">
        <f t="shared" si="1589"/>
        <v>1101478.1876026648</v>
      </c>
      <c r="AB109" s="78">
        <f t="shared" si="1589"/>
        <v>1109108.8736618778</v>
      </c>
      <c r="AC109" s="78">
        <f t="shared" si="1589"/>
        <v>1116792.4226559992</v>
      </c>
      <c r="AD109" s="78">
        <f t="shared" si="1589"/>
        <v>1124529.2008024128</v>
      </c>
      <c r="AE109" s="78">
        <f t="shared" si="1589"/>
        <v>1132319.5768555391</v>
      </c>
      <c r="AF109" s="78">
        <f t="shared" si="1589"/>
        <v>1140163.92212441</v>
      </c>
      <c r="AG109" s="78">
        <f t="shared" si="1589"/>
        <v>1148062.6104903666</v>
      </c>
      <c r="AH109" s="78">
        <f t="shared" si="1589"/>
        <v>1156016.01842488</v>
      </c>
      <c r="AI109" s="78">
        <f t="shared" si="1589"/>
        <v>1164024.5250074938</v>
      </c>
      <c r="AJ109" s="78">
        <f t="shared" si="1589"/>
        <v>1172088.511943893</v>
      </c>
      <c r="AK109" s="78">
        <f t="shared" si="1589"/>
        <v>1180208.3635840965</v>
      </c>
      <c r="AL109" s="78">
        <f t="shared" si="1589"/>
        <v>1188384.4669407762</v>
      </c>
      <c r="AM109" s="78">
        <f t="shared" si="1589"/>
        <v>1196617.2117077033</v>
      </c>
      <c r="AN109" s="78">
        <f t="shared" si="1589"/>
        <v>1204906.9902783216</v>
      </c>
      <c r="AO109" s="78">
        <f t="shared" si="1589"/>
        <v>1213254.1977644509</v>
      </c>
      <c r="AP109" s="78">
        <f t="shared" si="1589"/>
        <v>1221659.2320151175</v>
      </c>
      <c r="AQ109" s="78">
        <f t="shared" si="1589"/>
        <v>1230122.4936355187</v>
      </c>
      <c r="AR109" s="78">
        <f t="shared" si="1589"/>
        <v>1238644.3860061143</v>
      </c>
      <c r="AS109" s="78">
        <f t="shared" si="1589"/>
        <v>1247225.3153018551</v>
      </c>
      <c r="AT109" s="78">
        <f t="shared" si="1589"/>
        <v>1255865.6905115405</v>
      </c>
      <c r="AU109" s="78">
        <f t="shared" si="1589"/>
        <v>1264565.9234573126</v>
      </c>
      <c r="AV109" s="78">
        <f t="shared" si="1589"/>
        <v>1273326.428814285</v>
      </c>
      <c r="AW109" s="78">
        <f t="shared" si="1589"/>
        <v>1282147.6241303065</v>
      </c>
      <c r="AX109" s="78">
        <f t="shared" si="1589"/>
        <v>1291029.9298458633</v>
      </c>
      <c r="AY109" s="78">
        <f t="shared" si="1589"/>
        <v>1299973.769314117</v>
      </c>
      <c r="AZ109" s="78">
        <f t="shared" si="1589"/>
        <v>1308979.5688210847</v>
      </c>
      <c r="BA109" s="78">
        <f t="shared" si="1589"/>
        <v>1318047.7576059548</v>
      </c>
      <c r="BB109" s="78">
        <f t="shared" si="1589"/>
        <v>1327178.7678815469</v>
      </c>
      <c r="BC109" s="78">
        <f t="shared" si="1589"/>
        <v>1336373.034854912</v>
      </c>
      <c r="BD109" s="78">
        <f t="shared" si="1589"/>
        <v>1345630.9967480747</v>
      </c>
      <c r="BE109" s="78">
        <f t="shared" si="1589"/>
        <v>1354953.0948189211</v>
      </c>
      <c r="BF109" s="78">
        <f t="shared" si="1589"/>
        <v>1364339.7733822297</v>
      </c>
      <c r="BG109" s="78">
        <f t="shared" si="1589"/>
        <v>1373791.479830849</v>
      </c>
      <c r="BH109" s="78">
        <f t="shared" si="1589"/>
        <v>1383308.6646570202</v>
      </c>
      <c r="BI109" s="78">
        <f t="shared" si="1589"/>
        <v>1392891.7814738504</v>
      </c>
      <c r="BJ109" s="78">
        <f t="shared" si="1589"/>
        <v>1402541.2870369318</v>
      </c>
      <c r="BK109" s="78">
        <f t="shared" si="1589"/>
        <v>1412257.6412661122</v>
      </c>
      <c r="BL109" s="78">
        <f t="shared" si="1589"/>
        <v>1422041.3072674163</v>
      </c>
      <c r="BM109" s="78">
        <f t="shared" si="1589"/>
        <v>1431892.7513551177</v>
      </c>
      <c r="BN109" s="78">
        <f t="shared" si="1589"/>
        <v>1441812.4430739654</v>
      </c>
      <c r="BO109" s="78">
        <f t="shared" si="1589"/>
        <v>1451800.8552215628</v>
      </c>
      <c r="BP109" s="78">
        <f t="shared" si="1589"/>
        <v>1461858.4638709035</v>
      </c>
      <c r="BQ109" s="78">
        <f t="shared" si="1589"/>
        <v>1471985.7483930606</v>
      </c>
      <c r="BR109" s="78">
        <f t="shared" si="1589"/>
        <v>1482183.1914800361</v>
      </c>
      <c r="BS109" s="78">
        <f t="shared" si="1589"/>
        <v>1492451.2791677664</v>
      </c>
      <c r="BT109" s="78">
        <f t="shared" si="1589"/>
        <v>1502790.5008592885</v>
      </c>
      <c r="BU109" s="78">
        <f t="shared" si="1589"/>
        <v>1513201.3493480661</v>
      </c>
      <c r="BV109" s="78">
        <f t="shared" si="1589"/>
        <v>1523684.3208414768</v>
      </c>
      <c r="BW109" s="78">
        <f t="shared" si="1589"/>
        <v>1534239.9149844635</v>
      </c>
      <c r="BX109" s="78">
        <f t="shared" si="1589"/>
        <v>1544868.6348833481</v>
      </c>
      <c r="BY109" s="78">
        <f t="shared" ref="BY109:CN109" si="1590">INDEX(BY$19:BY$23,$C107)</f>
        <v>1555570.9871298117</v>
      </c>
      <c r="BZ109" s="78">
        <f t="shared" si="1590"/>
        <v>1566347.4818250379</v>
      </c>
      <c r="CA109" s="78">
        <f t="shared" si="1590"/>
        <v>1577198.6326040281</v>
      </c>
      <c r="CB109" s="78">
        <f t="shared" si="1590"/>
        <v>1588124.9566600816</v>
      </c>
      <c r="CC109" s="78">
        <f t="shared" si="1590"/>
        <v>1599126.9747694458</v>
      </c>
      <c r="CD109" s="78">
        <f t="shared" si="1590"/>
        <v>1610205.2113161385</v>
      </c>
      <c r="CE109" s="78">
        <f t="shared" si="1590"/>
        <v>1621360.1943169406</v>
      </c>
      <c r="CF109" s="78">
        <f t="shared" si="1590"/>
        <v>1632592.4554465637</v>
      </c>
      <c r="CG109" s="78">
        <f t="shared" si="1590"/>
        <v>1643902.53006299</v>
      </c>
      <c r="CH109" s="78">
        <f t="shared" si="1590"/>
        <v>1655290.9572329898</v>
      </c>
      <c r="CI109" s="78">
        <f t="shared" si="1590"/>
        <v>1666758.2797578145</v>
      </c>
      <c r="CJ109" s="78">
        <f t="shared" si="1590"/>
        <v>1678305.0441990667</v>
      </c>
      <c r="CK109" s="78">
        <f t="shared" si="1590"/>
        <v>1689931.8009047529</v>
      </c>
      <c r="CL109" s="78">
        <f t="shared" si="1590"/>
        <v>1701639.104035513</v>
      </c>
      <c r="CM109" s="78">
        <f t="shared" si="1590"/>
        <v>1713427.5115910326</v>
      </c>
      <c r="CN109" s="78">
        <f t="shared" si="1590"/>
        <v>0</v>
      </c>
    </row>
    <row r="110" spans="3:92" ht="12.75" customHeight="1" x14ac:dyDescent="0.3">
      <c r="D110" s="15" t="s">
        <v>183</v>
      </c>
      <c r="E110" s="1">
        <f>INDEX(Ass!I$107:I$111,$C107)</f>
        <v>5</v>
      </c>
      <c r="F110" s="1" t="str">
        <f>INDEX(Ass!J$107:J$111,$C107)</f>
        <v>DDB</v>
      </c>
      <c r="H110" s="16" t="s">
        <v>1</v>
      </c>
      <c r="J110" s="58">
        <f ca="1">SUM(L110:CN110)</f>
        <v>-96498942.134498537</v>
      </c>
      <c r="L110" s="82">
        <v>0</v>
      </c>
      <c r="M110" s="15">
        <f t="shared" ref="M110" ca="1" si="1591">-IF(M$12=1,SUM(M108:M109),IF($F110="SL",SUM(OFFSET(L109,,,,-MIN(L$14,$E110*4)))*1/($E110*4),2*1/($E110*4)*M108))</f>
        <v>0</v>
      </c>
      <c r="N110" s="15">
        <f t="shared" ref="N110" ca="1" si="1592">-IF(N$12=1,SUM(N108:N109),IF($F110="SL",SUM(OFFSET(M109,,,,-MIN(M$14,$E110*4)))*1/($E110*4),2*1/($E110*4)*N108))</f>
        <v>0</v>
      </c>
      <c r="O110" s="15">
        <f t="shared" ref="O110" ca="1" si="1593">-IF(O$12=1,SUM(O108:O109),IF($F110="SL",SUM(OFFSET(N109,,,,-MIN(N$14,$E110*4)))*1/($E110*4),2*1/($E110*4)*O108))</f>
        <v>0</v>
      </c>
      <c r="P110" s="15">
        <f t="shared" ref="P110" ca="1" si="1594">-IF(P$12=1,SUM(P108:P109),IF($F110="SL",SUM(OFFSET(O109,,,,-MIN(O$14,$E110*4)))*1/($E110*4),2*1/($E110*4)*P108))</f>
        <v>0</v>
      </c>
      <c r="Q110" s="15">
        <f t="shared" ref="Q110" ca="1" si="1595">-IF(Q$12=1,SUM(Q108:Q109),IF($F110="SL",SUM(OFFSET(P109,,,,-MIN(P$14,$E110*4)))*1/($E110*4),2*1/($E110*4)*Q108))</f>
        <v>0</v>
      </c>
      <c r="R110" s="15">
        <f t="shared" ref="R110" ca="1" si="1596">-IF(R$12=1,SUM(R108:R109),IF($F110="SL",SUM(OFFSET(Q109,,,,-MIN(Q$14,$E110*4)))*1/($E110*4),2*1/($E110*4)*R108))</f>
        <v>0</v>
      </c>
      <c r="S110" s="15">
        <f t="shared" ref="S110" ca="1" si="1597">-IF(S$12=1,SUM(S108:S109),IF($F110="SL",SUM(OFFSET(R109,,,,-MIN(R$14,$E110*4)))*1/($E110*4),2*1/($E110*4)*S108))</f>
        <v>0</v>
      </c>
      <c r="T110" s="15">
        <f t="shared" ref="T110" ca="1" si="1598">-IF(T$12=1,SUM(T108:T109),IF($F110="SL",SUM(OFFSET(S109,,,,-MIN(S$14,$E110*4)))*1/($E110*4),2*1/($E110*4)*T108))</f>
        <v>0</v>
      </c>
      <c r="U110" s="15">
        <f t="shared" ref="U110" ca="1" si="1599">-IF(U$12=1,SUM(U108:U109),IF($F110="SL",SUM(OFFSET(T109,,,,-MIN(T$14,$E110*4)))*1/($E110*4),2*1/($E110*4)*U108))</f>
        <v>0</v>
      </c>
      <c r="V110" s="15">
        <f t="shared" ref="V110" ca="1" si="1600">-IF(V$12=1,SUM(V108:V109),IF($F110="SL",SUM(OFFSET(U109,,,,-MIN(U$14,$E110*4)))*1/($E110*4),2*1/($E110*4)*V108))</f>
        <v>-105678.39999999997</v>
      </c>
      <c r="W110" s="15">
        <f t="shared" ref="W110" ca="1" si="1601">-IF(W$12=1,SUM(W108:W109),IF($F110="SL",SUM(OFFSET(V109,,,,-MIN(V$14,$E110*4)))*1/($E110*4),2*1/($E110*4)*W108))</f>
        <v>-201521.06591250558</v>
      </c>
      <c r="X110" s="15">
        <f t="shared" ref="X110" ca="1" si="1602">-IF(X$12=1,SUM(X108:X109),IF($F110="SL",SUM(OFFSET(W109,,,,-MIN(W$14,$E110*4)))*1/($E110*4),2*1/($E110*4)*X108))</f>
        <v>-288516.64294019126</v>
      </c>
      <c r="Y110" s="15">
        <f t="shared" ref="Y110" ca="1" si="1603">-IF(Y$12=1,SUM(Y108:Y109),IF($F110="SL",SUM(OFFSET(X109,,,,-MIN(X$14,$E110*4)))*1/($E110*4),2*1/($E110*4)*Y108))</f>
        <v>-367554.94690121867</v>
      </c>
      <c r="Z110" s="15">
        <f t="shared" ref="Z110" ca="1" si="1604">-IF(Z$12=1,SUM(Z108:Z109),IF($F110="SL",SUM(OFFSET(Y109,,,,-MIN(Y$14,$E110*4)))*1/($E110*4),2*1/($E110*4)*Z108))</f>
        <v>-439436.84741109668</v>
      </c>
      <c r="AA110" s="15">
        <f t="shared" ref="AA110" ca="1" si="1605">-IF(AA$12=1,SUM(AA108:AA109),IF($F110="SL",SUM(OFFSET(Z109,,,,-MIN(Z$14,$E110*4)))*1/($E110*4),2*1/($E110*4)*AA108))</f>
        <v>-504883.16274804273</v>
      </c>
      <c r="AB110" s="15">
        <f t="shared" ref="AB110" ca="1" si="1606">-IF(AB$12=1,SUM(AB108:AB109),IF($F110="SL",SUM(OFFSET(AA109,,,,-MIN(AA$14,$E110*4)))*1/($E110*4),2*1/($E110*4)*AB108))</f>
        <v>-564542.66523350496</v>
      </c>
      <c r="AC110" s="15">
        <f t="shared" ref="AC110" ca="1" si="1607">-IF(AC$12=1,SUM(AC108:AC109),IF($F110="SL",SUM(OFFSET(AB109,,,,-MIN(AB$14,$E110*4)))*1/($E110*4),2*1/($E110*4)*AC108))</f>
        <v>-618999.28607634222</v>
      </c>
      <c r="AD110" s="15">
        <f t="shared" ref="AD110" ca="1" si="1608">-IF(AD$12=1,SUM(AD108:AD109),IF($F110="SL",SUM(OFFSET(AC109,,,,-MIN(AC$14,$E110*4)))*1/($E110*4),2*1/($E110*4)*AD108))</f>
        <v>-668778.59973430785</v>
      </c>
      <c r="AE110" s="15">
        <f t="shared" ref="AE110" ca="1" si="1609">-IF(AE$12=1,SUM(AE108:AE109),IF($F110="SL",SUM(OFFSET(AD109,,,,-MIN(AD$14,$E110*4)))*1/($E110*4),2*1/($E110*4)*AE108))</f>
        <v>-714353.65984111838</v>
      </c>
      <c r="AF110" s="15">
        <f t="shared" ref="AF110" ca="1" si="1610">-IF(AF$12=1,SUM(AF108:AF109),IF($F110="SL",SUM(OFFSET(AE109,,,,-MIN(AE$14,$E110*4)))*1/($E110*4),2*1/($E110*4)*AF108))</f>
        <v>-756150.25154256041</v>
      </c>
      <c r="AG110" s="15">
        <f t="shared" ref="AG110" ca="1" si="1611">-IF(AG$12=1,SUM(AG108:AG109),IF($F110="SL",SUM(OFFSET(AF109,,,,-MIN(AF$14,$E110*4)))*1/($E110*4),2*1/($E110*4)*AG108))</f>
        <v>-794551.61860074534</v>
      </c>
      <c r="AH110" s="15">
        <f t="shared" ref="AH110" ca="1" si="1612">-IF(AH$12=1,SUM(AH108:AH109),IF($F110="SL",SUM(OFFSET(AG109,,,,-MIN(AG$14,$E110*4)))*1/($E110*4),2*1/($E110*4)*AH108))</f>
        <v>-829902.71778970747</v>
      </c>
      <c r="AI110" s="15">
        <f t="shared" ref="AI110" ca="1" si="1613">-IF(AI$12=1,SUM(AI108:AI109),IF($F110="SL",SUM(OFFSET(AH109,,,,-MIN(AH$14,$E110*4)))*1/($E110*4),2*1/($E110*4)*AI108))</f>
        <v>-862514.04785322479</v>
      </c>
      <c r="AJ110" s="15">
        <f t="shared" ref="AJ110" ca="1" si="1614">-IF(AJ$12=1,SUM(AJ108:AJ109),IF($F110="SL",SUM(OFFSET(AI109,,,,-MIN(AI$14,$E110*4)))*1/($E110*4),2*1/($E110*4)*AJ108))</f>
        <v>-892665.0955686518</v>
      </c>
      <c r="AK110" s="15">
        <f t="shared" ref="AK110" ca="1" si="1615">-IF(AK$12=1,SUM(AK108:AK109),IF($F110="SL",SUM(OFFSET(AJ109,,,,-MIN(AJ$14,$E110*4)))*1/($E110*4),2*1/($E110*4)*AK108))</f>
        <v>-920607.43720617599</v>
      </c>
      <c r="AL110" s="15">
        <f t="shared" ref="AL110" ca="1" si="1616">-IF(AL$12=1,SUM(AL108:AL109),IF($F110="SL",SUM(OFFSET(AK109,,,,-MIN(AK$14,$E110*4)))*1/($E110*4),2*1/($E110*4)*AL108))</f>
        <v>-946567.52984396822</v>
      </c>
      <c r="AM110" s="15">
        <f t="shared" ref="AM110" ca="1" si="1617">-IF(AM$12=1,SUM(AM108:AM109),IF($F110="SL",SUM(OFFSET(AL109,,,,-MIN(AL$14,$E110*4)))*1/($E110*4),2*1/($E110*4)*AM108))</f>
        <v>-970749.22355364903</v>
      </c>
      <c r="AN110" s="15">
        <f t="shared" ref="AN110" ca="1" si="1618">-IF(AN$12=1,SUM(AN108:AN109),IF($F110="SL",SUM(OFFSET(AM109,,,,-MIN(AM$14,$E110*4)))*1/($E110*4),2*1/($E110*4)*AN108))</f>
        <v>-993336.02236905461</v>
      </c>
      <c r="AO110" s="15">
        <f t="shared" ref="AO110" ca="1" si="1619">-IF(AO$12=1,SUM(AO108:AO109),IF($F110="SL",SUM(OFFSET(AN109,,,,-MIN(AN$14,$E110*4)))*1/($E110*4),2*1/($E110*4)*AO108))</f>
        <v>-1014493.1191599813</v>
      </c>
      <c r="AP110" s="15">
        <f t="shared" ref="AP110" ca="1" si="1620">-IF(AP$12=1,SUM(AP108:AP109),IF($F110="SL",SUM(OFFSET(AO109,,,,-MIN(AO$14,$E110*4)))*1/($E110*4),2*1/($E110*4)*AP108))</f>
        <v>-1034369.2270204282</v>
      </c>
      <c r="AQ110" s="15">
        <f t="shared" ref="AQ110" ca="1" si="1621">-IF(AQ$12=1,SUM(AQ108:AQ109),IF($F110="SL",SUM(OFFSET(AP109,,,,-MIN(AP$14,$E110*4)))*1/($E110*4),2*1/($E110*4)*AQ108))</f>
        <v>-1053098.2275198973</v>
      </c>
      <c r="AR110" s="15">
        <f t="shared" ref="AR110" ca="1" si="1622">-IF(AR$12=1,SUM(AR108:AR109),IF($F110="SL",SUM(OFFSET(AQ109,,,,-MIN(AQ$14,$E110*4)))*1/($E110*4),2*1/($E110*4)*AR108))</f>
        <v>-1070800.6541314593</v>
      </c>
      <c r="AS110" s="15">
        <f t="shared" ref="AS110" ca="1" si="1623">-IF(AS$12=1,SUM(AS108:AS109),IF($F110="SL",SUM(OFFSET(AR109,,,,-MIN(AR$14,$E110*4)))*1/($E110*4),2*1/($E110*4)*AS108))</f>
        <v>-1087585.0273189249</v>
      </c>
      <c r="AT110" s="15">
        <f t="shared" ref="AT110" ca="1" si="1624">-IF(AT$12=1,SUM(AT108:AT109),IF($F110="SL",SUM(OFFSET(AS109,,,,-MIN(AS$14,$E110*4)))*1/($E110*4),2*1/($E110*4)*AT108))</f>
        <v>-1103549.056117218</v>
      </c>
      <c r="AU110" s="15">
        <f t="shared" ref="AU110" ca="1" si="1625">-IF(AU$12=1,SUM(AU108:AU109),IF($F110="SL",SUM(OFFSET(AT109,,,,-MIN(AT$14,$E110*4)))*1/($E110*4),2*1/($E110*4)*AU108))</f>
        <v>-1118780.7195566501</v>
      </c>
      <c r="AV110" s="15">
        <f t="shared" ref="AV110" ca="1" si="1626">-IF(AV$12=1,SUM(AV108:AV109),IF($F110="SL",SUM(OFFSET(AU109,,,,-MIN(AU$14,$E110*4)))*1/($E110*4),2*1/($E110*4)*AV108))</f>
        <v>-1133359.2399467165</v>
      </c>
      <c r="AW110" s="15">
        <f t="shared" ref="AW110" ca="1" si="1627">-IF(AW$12=1,SUM(AW108:AW109),IF($F110="SL",SUM(OFFSET(AV109,,,,-MIN(AV$14,$E110*4)))*1/($E110*4),2*1/($E110*4)*AW108))</f>
        <v>-1147355.9588334733</v>
      </c>
      <c r="AX110" s="15">
        <f t="shared" ref="AX110" ca="1" si="1628">-IF(AX$12=1,SUM(AX108:AX109),IF($F110="SL",SUM(OFFSET(AW109,,,,-MIN(AW$14,$E110*4)))*1/($E110*4),2*1/($E110*4)*AX108))</f>
        <v>-1160835.1253631567</v>
      </c>
      <c r="AY110" s="15">
        <f t="shared" ref="AY110" ca="1" si="1629">-IF(AY$12=1,SUM(AY108:AY109),IF($F110="SL",SUM(OFFSET(AX109,,,,-MIN(AX$14,$E110*4)))*1/($E110*4),2*1/($E110*4)*AY108))</f>
        <v>-1173854.6058114273</v>
      </c>
      <c r="AZ110" s="15">
        <f t="shared" ref="AZ110" ca="1" si="1630">-IF(AZ$12=1,SUM(AZ108:AZ109),IF($F110="SL",SUM(OFFSET(AY109,,,,-MIN(AY$14,$E110*4)))*1/($E110*4),2*1/($E110*4)*AZ108))</f>
        <v>-1186466.5221616966</v>
      </c>
      <c r="BA110" s="15">
        <f t="shared" ref="BA110" ca="1" si="1631">-IF(BA$12=1,SUM(BA108:BA109),IF($F110="SL",SUM(OFFSET(AZ109,,,,-MIN(AZ$14,$E110*4)))*1/($E110*4),2*1/($E110*4)*BA108))</f>
        <v>-1198717.8268276353</v>
      </c>
      <c r="BB110" s="15">
        <f t="shared" ref="BB110" ca="1" si="1632">-IF(BB$12=1,SUM(BB108:BB109),IF($F110="SL",SUM(OFFSET(BA109,,,,-MIN(BA$14,$E110*4)))*1/($E110*4),2*1/($E110*4)*BB108))</f>
        <v>-1210650.8199054671</v>
      </c>
      <c r="BC110" s="15">
        <f t="shared" ref="BC110" ca="1" si="1633">-IF(BC$12=1,SUM(BC108:BC109),IF($F110="SL",SUM(OFFSET(BB109,,,,-MIN(BB$14,$E110*4)))*1/($E110*4),2*1/($E110*4)*BC108))</f>
        <v>-1222303.614703075</v>
      </c>
      <c r="BD110" s="15">
        <f t="shared" ref="BD110" ca="1" si="1634">-IF(BD$12=1,SUM(BD108:BD109),IF($F110="SL",SUM(OFFSET(BC109,,,,-MIN(BC$14,$E110*4)))*1/($E110*4),2*1/($E110*4)*BD108))</f>
        <v>-1233710.5567182587</v>
      </c>
      <c r="BE110" s="15">
        <f t="shared" ref="BE110" ca="1" si="1635">-IF(BE$12=1,SUM(BE108:BE109),IF($F110="SL",SUM(OFFSET(BD109,,,,-MIN(BD$14,$E110*4)))*1/($E110*4),2*1/($E110*4)*BE108))</f>
        <v>-1244902.6007212403</v>
      </c>
      <c r="BF110" s="15">
        <f t="shared" ref="BF110" ca="1" si="1636">-IF(BF$12=1,SUM(BF108:BF109),IF($F110="SL",SUM(OFFSET(BE109,,,,-MIN(BE$14,$E110*4)))*1/($E110*4),2*1/($E110*4)*BF108))</f>
        <v>-1255907.6501310084</v>
      </c>
      <c r="BG110" s="15">
        <f t="shared" ref="BG110" ca="1" si="1637">-IF(BG$12=1,SUM(BG108:BG109),IF($F110="SL",SUM(OFFSET(BF109,,,,-MIN(BF$14,$E110*4)))*1/($E110*4),2*1/($E110*4)*BG108))</f>
        <v>-1266750.8624561308</v>
      </c>
      <c r="BH110" s="15">
        <f t="shared" ref="BH110" ca="1" si="1638">-IF(BH$12=1,SUM(BH108:BH109),IF($F110="SL",SUM(OFFSET(BG109,,,,-MIN(BG$14,$E110*4)))*1/($E110*4),2*1/($E110*4)*BH108))</f>
        <v>-1277454.9241936025</v>
      </c>
      <c r="BI110" s="15">
        <f t="shared" ref="BI110" ca="1" si="1639">-IF(BI$12=1,SUM(BI108:BI109),IF($F110="SL",SUM(OFFSET(BH109,,,,-MIN(BH$14,$E110*4)))*1/($E110*4),2*1/($E110*4)*BI108))</f>
        <v>-1288040.2982399445</v>
      </c>
      <c r="BJ110" s="15">
        <f t="shared" ref="BJ110" ca="1" si="1640">-IF(BJ$12=1,SUM(BJ108:BJ109),IF($F110="SL",SUM(OFFSET(BI109,,,,-MIN(BI$14,$E110*4)))*1/($E110*4),2*1/($E110*4)*BJ108))</f>
        <v>-1298525.4465633351</v>
      </c>
      <c r="BK110" s="15">
        <f t="shared" ref="BK110" ca="1" si="1641">-IF(BK$12=1,SUM(BK108:BK109),IF($F110="SL",SUM(OFFSET(BJ109,,,,-MIN(BJ$14,$E110*4)))*1/($E110*4),2*1/($E110*4)*BK108))</f>
        <v>-1308927.0306106945</v>
      </c>
      <c r="BL110" s="15">
        <f t="shared" ref="BL110" ca="1" si="1642">-IF(BL$12=1,SUM(BL108:BL109),IF($F110="SL",SUM(OFFSET(BK109,,,,-MIN(BK$14,$E110*4)))*1/($E110*4),2*1/($E110*4)*BL108))</f>
        <v>-1319260.0916762364</v>
      </c>
      <c r="BM110" s="15">
        <f t="shared" ref="BM110" ca="1" si="1643">-IF(BM$12=1,SUM(BM108:BM109),IF($F110="SL",SUM(OFFSET(BL109,,,,-MIN(BL$14,$E110*4)))*1/($E110*4),2*1/($E110*4)*BM108))</f>
        <v>-1329538.2132353543</v>
      </c>
      <c r="BN110" s="15">
        <f t="shared" ref="BN110" ca="1" si="1644">-IF(BN$12=1,SUM(BN108:BN109),IF($F110="SL",SUM(OFFSET(BM109,,,,-MIN(BM$14,$E110*4)))*1/($E110*4),2*1/($E110*4)*BN108))</f>
        <v>-1339773.6670473306</v>
      </c>
      <c r="BO110" s="15">
        <f t="shared" ref="BO110" ca="1" si="1645">-IF(BO$12=1,SUM(BO108:BO109),IF($F110="SL",SUM(OFFSET(BN109,,,,-MIN(BN$14,$E110*4)))*1/($E110*4),2*1/($E110*4)*BO108))</f>
        <v>-1349977.544649994</v>
      </c>
      <c r="BP110" s="15">
        <f t="shared" ref="BP110" ca="1" si="1646">-IF(BP$12=1,SUM(BP108:BP109),IF($F110="SL",SUM(OFFSET(BO109,,,,-MIN(BO$14,$E110*4)))*1/($E110*4),2*1/($E110*4)*BP108))</f>
        <v>-1360159.8757071509</v>
      </c>
      <c r="BQ110" s="15">
        <f t="shared" ref="BQ110" ca="1" si="1647">-IF(BQ$12=1,SUM(BQ108:BQ109),IF($F110="SL",SUM(OFFSET(BP109,,,,-MIN(BP$14,$E110*4)))*1/($E110*4),2*1/($E110*4)*BQ108))</f>
        <v>-1370329.7345235262</v>
      </c>
      <c r="BR110" s="15">
        <f t="shared" ref="BR110" ca="1" si="1648">-IF(BR$12=1,SUM(BR108:BR109),IF($F110="SL",SUM(OFFSET(BQ109,,,,-MIN(BQ$14,$E110*4)))*1/($E110*4),2*1/($E110*4)*BR108))</f>
        <v>-1380495.3359104795</v>
      </c>
      <c r="BS110" s="15">
        <f t="shared" ref="BS110" ca="1" si="1649">-IF(BS$12=1,SUM(BS108:BS109),IF($F110="SL",SUM(OFFSET(BR109,,,,-MIN(BR$14,$E110*4)))*1/($E110*4),2*1/($E110*4)*BS108))</f>
        <v>-1390664.1214674355</v>
      </c>
      <c r="BT110" s="15">
        <f t="shared" ref="BT110" ca="1" si="1650">-IF(BT$12=1,SUM(BT108:BT109),IF($F110="SL",SUM(OFFSET(BS109,,,,-MIN(BS$14,$E110*4)))*1/($E110*4),2*1/($E110*4)*BT108))</f>
        <v>-1400842.8372374685</v>
      </c>
      <c r="BU110" s="15">
        <f t="shared" ref="BU110" ca="1" si="1651">-IF(BU$12=1,SUM(BU108:BU109),IF($F110="SL",SUM(OFFSET(BT109,,,,-MIN(BT$14,$E110*4)))*1/($E110*4),2*1/($E110*4)*BU108))</f>
        <v>-1411037.6035996506</v>
      </c>
      <c r="BV110" s="15">
        <f t="shared" ref="BV110" ca="1" si="1652">-IF(BV$12=1,SUM(BV108:BV109),IF($F110="SL",SUM(OFFSET(BU109,,,,-MIN(BU$14,$E110*4)))*1/($E110*4),2*1/($E110*4)*BV108))</f>
        <v>-1421253.978174492</v>
      </c>
      <c r="BW110" s="15">
        <f t="shared" ref="BW110" ca="1" si="1653">-IF(BW$12=1,SUM(BW108:BW109),IF($F110="SL",SUM(OFFSET(BV109,,,,-MIN(BV$14,$E110*4)))*1/($E110*4),2*1/($E110*4)*BW108))</f>
        <v>-1431497.0124411904</v>
      </c>
      <c r="BX110" s="15">
        <f t="shared" ref="BX110" ca="1" si="1654">-IF(BX$12=1,SUM(BX108:BX109),IF($F110="SL",SUM(OFFSET(BW109,,,,-MIN(BW$14,$E110*4)))*1/($E110*4),2*1/($E110*4)*BX108))</f>
        <v>-1441771.3026955177</v>
      </c>
      <c r="BY110" s="15">
        <f t="shared" ref="BY110" ca="1" si="1655">-IF(BY$12=1,SUM(BY108:BY109),IF($F110="SL",SUM(OFFSET(BX109,,,,-MIN(BX$14,$E110*4)))*1/($E110*4),2*1/($E110*4)*BY108))</f>
        <v>-1452081.0359143007</v>
      </c>
      <c r="BZ110" s="15">
        <f t="shared" ref="BZ110" ca="1" si="1656">-IF(BZ$12=1,SUM(BZ108:BZ109),IF($F110="SL",SUM(OFFSET(BY109,,,,-MIN(BY$14,$E110*4)))*1/($E110*4),2*1/($E110*4)*BZ108))</f>
        <v>-1462430.0310358517</v>
      </c>
      <c r="CA110" s="15">
        <f t="shared" ref="CA110" ca="1" si="1657">-IF(CA$12=1,SUM(CA108:CA109),IF($F110="SL",SUM(OFFSET(BZ109,,,,-MIN(BZ$14,$E110*4)))*1/($E110*4),2*1/($E110*4)*CA108))</f>
        <v>-1472821.7761147704</v>
      </c>
      <c r="CB110" s="15">
        <f t="shared" ref="CB110" ca="1" si="1658">-IF(CB$12=1,SUM(CB108:CB109),IF($F110="SL",SUM(OFFSET(CA109,,,,-MIN(CA$14,$E110*4)))*1/($E110*4),2*1/($E110*4)*CB108))</f>
        <v>-1483259.4617636963</v>
      </c>
      <c r="CC110" s="15">
        <f t="shared" ref="CC110" ca="1" si="1659">-IF(CC$12=1,SUM(CC108:CC109),IF($F110="SL",SUM(OFFSET(CB109,,,,-MIN(CB$14,$E110*4)))*1/($E110*4),2*1/($E110*4)*CC108))</f>
        <v>-1493746.0112533348</v>
      </c>
      <c r="CD110" s="15">
        <f t="shared" ref="CD110" ca="1" si="1660">-IF(CD$12=1,SUM(CD108:CD109),IF($F110="SL",SUM(OFFSET(CC109,,,,-MIN(CC$14,$E110*4)))*1/($E110*4),2*1/($E110*4)*CD108))</f>
        <v>-1504284.107604946</v>
      </c>
      <c r="CE110" s="15">
        <f t="shared" ref="CE110" ca="1" si="1661">-IF(CE$12=1,SUM(CE108:CE109),IF($F110="SL",SUM(OFFSET(CD109,,,,-MIN(CD$14,$E110*4)))*1/($E110*4),2*1/($E110*4)*CE108))</f>
        <v>-1514876.2179760651</v>
      </c>
      <c r="CF110" s="15">
        <f t="shared" ref="CF110" ca="1" si="1662">-IF(CF$12=1,SUM(CF108:CF109),IF($F110="SL",SUM(OFFSET(CE109,,,,-MIN(CE$14,$E110*4)))*1/($E110*4),2*1/($E110*4)*CF108))</f>
        <v>-1525524.6156101525</v>
      </c>
      <c r="CG110" s="15">
        <f t="shared" ref="CG110" ca="1" si="1663">-IF(CG$12=1,SUM(CG108:CG109),IF($F110="SL",SUM(OFFSET(CF109,,,,-MIN(CF$14,$E110*4)))*1/($E110*4),2*1/($E110*4)*CG108))</f>
        <v>-1536231.3995937938</v>
      </c>
      <c r="CH110" s="15">
        <f t="shared" ref="CH110" ca="1" si="1664">-IF(CH$12=1,SUM(CH108:CH109),IF($F110="SL",SUM(OFFSET(CG109,,,,-MIN(CG$14,$E110*4)))*1/($E110*4),2*1/($E110*4)*CH108))</f>
        <v>-1546998.5126407132</v>
      </c>
      <c r="CI110" s="15">
        <f t="shared" ref="CI110" ca="1" si="1665">-IF(CI$12=1,SUM(CI108:CI109),IF($F110="SL",SUM(OFFSET(CH109,,,,-MIN(CH$14,$E110*4)))*1/($E110*4),2*1/($E110*4)*CI108))</f>
        <v>-1557827.7570999409</v>
      </c>
      <c r="CJ110" s="15">
        <f t="shared" ref="CJ110" ca="1" si="1666">-IF(CJ$12=1,SUM(CJ108:CJ109),IF($F110="SL",SUM(OFFSET(CI109,,,,-MIN(CI$14,$E110*4)))*1/($E110*4),2*1/($E110*4)*CJ108))</f>
        <v>-1568720.8093657282</v>
      </c>
      <c r="CK110" s="15">
        <f t="shared" ref="CK110" ca="1" si="1667">-IF(CK$12=1,SUM(CK108:CK109),IF($F110="SL",SUM(OFFSET(CJ109,,,,-MIN(CJ$14,$E110*4)))*1/($E110*4),2*1/($E110*4)*CK108))</f>
        <v>-1579679.2328490622</v>
      </c>
      <c r="CL110" s="15">
        <f t="shared" ref="CL110" ca="1" si="1668">-IF(CL$12=1,SUM(CL108:CL109),IF($F110="SL",SUM(OFFSET(CK109,,,,-MIN(CK$14,$E110*4)))*1/($E110*4),2*1/($E110*4)*CL108))</f>
        <v>-1590704.4896546314</v>
      </c>
      <c r="CM110" s="15">
        <f t="shared" ref="CM110" ca="1" si="1669">-IF(CM$12=1,SUM(CM108:CM109),IF($F110="SL",SUM(OFFSET(CL109,,,,-MIN(CL$14,$E110*4)))*1/($E110*4),2*1/($E110*4)*CM108))</f>
        <v>-1601797.9510927193</v>
      </c>
      <c r="CN110" s="75">
        <f t="shared" ref="CN110" ca="1" si="1670">-IF(CN$12=1,SUM(CN108:CN109),IF($F110="SL",SUM(OFFSET(CM109,,,,-MIN(CM$14,$E110*4)))*1/($E110*4),2*1/($E110*4)*CN108))</f>
        <v>-16129609.071425505</v>
      </c>
    </row>
    <row r="111" spans="3:92" ht="12.75" customHeight="1" x14ac:dyDescent="0.3">
      <c r="D111" s="50" t="s">
        <v>184</v>
      </c>
      <c r="H111" s="16" t="s">
        <v>1</v>
      </c>
      <c r="J111" s="50">
        <f t="shared" ref="J111" ca="1" si="1671">SUM(J108:J110)</f>
        <v>0</v>
      </c>
      <c r="L111" s="83">
        <v>0</v>
      </c>
      <c r="M111" s="50">
        <f t="shared" ref="M111" ca="1" si="1672">SUM(M108:M110)</f>
        <v>0</v>
      </c>
      <c r="N111" s="50">
        <f t="shared" ref="N111" ca="1" si="1673">SUM(N108:N110)</f>
        <v>0</v>
      </c>
      <c r="O111" s="50">
        <f t="shared" ref="O111" ca="1" si="1674">SUM(O108:O110)</f>
        <v>0</v>
      </c>
      <c r="P111" s="50">
        <f t="shared" ref="P111" ca="1" si="1675">SUM(P108:P110)</f>
        <v>0</v>
      </c>
      <c r="Q111" s="50">
        <f t="shared" ref="Q111" ca="1" si="1676">SUM(Q108:Q110)</f>
        <v>0</v>
      </c>
      <c r="R111" s="50">
        <f t="shared" ref="R111" ca="1" si="1677">SUM(R108:R110)</f>
        <v>0</v>
      </c>
      <c r="S111" s="50">
        <f t="shared" ref="S111" ca="1" si="1678">SUM(S108:S110)</f>
        <v>0</v>
      </c>
      <c r="T111" s="50">
        <f t="shared" ref="T111" ca="1" si="1679">SUM(T108:T110)</f>
        <v>0</v>
      </c>
      <c r="U111" s="50">
        <f t="shared" ref="U111" ca="1" si="1680">SUM(U108:U110)</f>
        <v>1056783.9999999995</v>
      </c>
      <c r="V111" s="50">
        <f t="shared" ref="V111" ca="1" si="1681">SUM(V108:V110)</f>
        <v>2015210.6591250557</v>
      </c>
      <c r="W111" s="50">
        <f t="shared" ref="W111" ca="1" si="1682">SUM(W108:W110)</f>
        <v>2885166.4294019127</v>
      </c>
      <c r="X111" s="50">
        <f t="shared" ref="X111" ca="1" si="1683">SUM(X108:X110)</f>
        <v>3675549.4690121864</v>
      </c>
      <c r="Y111" s="50">
        <f t="shared" ref="Y111" ca="1" si="1684">SUM(Y108:Y110)</f>
        <v>4394368.4741109665</v>
      </c>
      <c r="Z111" s="50">
        <f t="shared" ref="Z111" ca="1" si="1685">SUM(Z108:Z110)</f>
        <v>5048831.6274804268</v>
      </c>
      <c r="AA111" s="50">
        <f t="shared" ref="AA111" ca="1" si="1686">SUM(AA108:AA110)</f>
        <v>5645426.6523350496</v>
      </c>
      <c r="AB111" s="50">
        <f t="shared" ref="AB111" ca="1" si="1687">SUM(AB108:AB110)</f>
        <v>6189992.8607634222</v>
      </c>
      <c r="AC111" s="50">
        <f t="shared" ref="AC111" ca="1" si="1688">SUM(AC108:AC110)</f>
        <v>6687785.9973430783</v>
      </c>
      <c r="AD111" s="50">
        <f t="shared" ref="AD111" ca="1" si="1689">SUM(AD108:AD110)</f>
        <v>7143536.5984111829</v>
      </c>
      <c r="AE111" s="50">
        <f t="shared" ref="AE111" ca="1" si="1690">SUM(AE108:AE110)</f>
        <v>7561502.5154256038</v>
      </c>
      <c r="AF111" s="50">
        <f t="shared" ref="AF111" ca="1" si="1691">SUM(AF108:AF110)</f>
        <v>7945516.1860074531</v>
      </c>
      <c r="AG111" s="50">
        <f t="shared" ref="AG111" ca="1" si="1692">SUM(AG108:AG110)</f>
        <v>8299027.1778970743</v>
      </c>
      <c r="AH111" s="50">
        <f t="shared" ref="AH111" ca="1" si="1693">SUM(AH108:AH110)</f>
        <v>8625140.4785322472</v>
      </c>
      <c r="AI111" s="50">
        <f t="shared" ref="AI111" ca="1" si="1694">SUM(AI108:AI110)</f>
        <v>8926650.9556865171</v>
      </c>
      <c r="AJ111" s="50">
        <f t="shared" ref="AJ111" ca="1" si="1695">SUM(AJ108:AJ110)</f>
        <v>9206074.3720617592</v>
      </c>
      <c r="AK111" s="50">
        <f t="shared" ref="AK111" ca="1" si="1696">SUM(AK108:AK110)</f>
        <v>9465675.2984396815</v>
      </c>
      <c r="AL111" s="50">
        <f t="shared" ref="AL111" ca="1" si="1697">SUM(AL108:AL110)</f>
        <v>9707492.2355364896</v>
      </c>
      <c r="AM111" s="50">
        <f t="shared" ref="AM111" ca="1" si="1698">SUM(AM108:AM110)</f>
        <v>9933360.2236905452</v>
      </c>
      <c r="AN111" s="50">
        <f t="shared" ref="AN111" ca="1" si="1699">SUM(AN108:AN110)</f>
        <v>10144931.191599812</v>
      </c>
      <c r="AO111" s="50">
        <f t="shared" ref="AO111" ca="1" si="1700">SUM(AO108:AO110)</f>
        <v>10343692.270204281</v>
      </c>
      <c r="AP111" s="50">
        <f t="shared" ref="AP111" ca="1" si="1701">SUM(AP108:AP110)</f>
        <v>10530982.275198972</v>
      </c>
      <c r="AQ111" s="50">
        <f t="shared" ref="AQ111" ca="1" si="1702">SUM(AQ108:AQ110)</f>
        <v>10708006.541314593</v>
      </c>
      <c r="AR111" s="50">
        <f t="shared" ref="AR111" ca="1" si="1703">SUM(AR108:AR110)</f>
        <v>10875850.273189249</v>
      </c>
      <c r="AS111" s="50">
        <f t="shared" ref="AS111" ca="1" si="1704">SUM(AS108:AS110)</f>
        <v>11035490.56117218</v>
      </c>
      <c r="AT111" s="50">
        <f t="shared" ref="AT111" ca="1" si="1705">SUM(AT108:AT110)</f>
        <v>11187807.195566501</v>
      </c>
      <c r="AU111" s="50">
        <f t="shared" ref="AU111" ca="1" si="1706">SUM(AU108:AU110)</f>
        <v>11333592.399467165</v>
      </c>
      <c r="AV111" s="50">
        <f t="shared" ref="AV111" ca="1" si="1707">SUM(AV108:AV110)</f>
        <v>11473559.588334732</v>
      </c>
      <c r="AW111" s="50">
        <f t="shared" ref="AW111" ca="1" si="1708">SUM(AW108:AW110)</f>
        <v>11608351.253631566</v>
      </c>
      <c r="AX111" s="50">
        <f t="shared" ref="AX111" ca="1" si="1709">SUM(AX108:AX110)</f>
        <v>11738546.058114273</v>
      </c>
      <c r="AY111" s="50">
        <f t="shared" ref="AY111" ca="1" si="1710">SUM(AY108:AY110)</f>
        <v>11864665.221616965</v>
      </c>
      <c r="AZ111" s="50">
        <f t="shared" ref="AZ111" ca="1" si="1711">SUM(AZ108:AZ110)</f>
        <v>11987178.268276352</v>
      </c>
      <c r="BA111" s="50">
        <f t="shared" ref="BA111" ca="1" si="1712">SUM(BA108:BA110)</f>
        <v>12106508.199054671</v>
      </c>
      <c r="BB111" s="50">
        <f t="shared" ref="BB111" ca="1" si="1713">SUM(BB108:BB110)</f>
        <v>12223036.14703075</v>
      </c>
      <c r="BC111" s="50">
        <f t="shared" ref="BC111" ca="1" si="1714">SUM(BC108:BC110)</f>
        <v>12337105.567182586</v>
      </c>
      <c r="BD111" s="50">
        <f t="shared" ref="BD111" ca="1" si="1715">SUM(BD108:BD110)</f>
        <v>12449026.007212402</v>
      </c>
      <c r="BE111" s="50">
        <f t="shared" ref="BE111" ca="1" si="1716">SUM(BE108:BE110)</f>
        <v>12559076.501310084</v>
      </c>
      <c r="BF111" s="50">
        <f t="shared" ref="BF111" ca="1" si="1717">SUM(BF108:BF110)</f>
        <v>12667508.624561306</v>
      </c>
      <c r="BG111" s="50">
        <f t="shared" ref="BG111" ca="1" si="1718">SUM(BG108:BG110)</f>
        <v>12774549.241936024</v>
      </c>
      <c r="BH111" s="50">
        <f t="shared" ref="BH111" ca="1" si="1719">SUM(BH108:BH110)</f>
        <v>12880402.982399443</v>
      </c>
      <c r="BI111" s="50">
        <f t="shared" ref="BI111" ca="1" si="1720">SUM(BI108:BI110)</f>
        <v>12985254.465633349</v>
      </c>
      <c r="BJ111" s="50">
        <f t="shared" ref="BJ111" ca="1" si="1721">SUM(BJ108:BJ110)</f>
        <v>13089270.306106945</v>
      </c>
      <c r="BK111" s="50">
        <f t="shared" ref="BK111" ca="1" si="1722">SUM(BK108:BK110)</f>
        <v>13192600.916762363</v>
      </c>
      <c r="BL111" s="50">
        <f t="shared" ref="BL111" ca="1" si="1723">SUM(BL108:BL110)</f>
        <v>13295382.132353542</v>
      </c>
      <c r="BM111" s="50">
        <f t="shared" ref="BM111" ca="1" si="1724">SUM(BM108:BM110)</f>
        <v>13397736.670473306</v>
      </c>
      <c r="BN111" s="50">
        <f t="shared" ref="BN111" ca="1" si="1725">SUM(BN108:BN110)</f>
        <v>13499775.44649994</v>
      </c>
      <c r="BO111" s="50">
        <f t="shared" ref="BO111" ca="1" si="1726">SUM(BO108:BO110)</f>
        <v>13601598.757071508</v>
      </c>
      <c r="BP111" s="50">
        <f t="shared" ref="BP111" ca="1" si="1727">SUM(BP108:BP110)</f>
        <v>13703297.34523526</v>
      </c>
      <c r="BQ111" s="50">
        <f t="shared" ref="BQ111" ca="1" si="1728">SUM(BQ108:BQ110)</f>
        <v>13804953.359104795</v>
      </c>
      <c r="BR111" s="50">
        <f t="shared" ref="BR111" ca="1" si="1729">SUM(BR108:BR110)</f>
        <v>13906641.214674354</v>
      </c>
      <c r="BS111" s="50">
        <f t="shared" ref="BS111" ca="1" si="1730">SUM(BS108:BS110)</f>
        <v>14008428.372374684</v>
      </c>
      <c r="BT111" s="50">
        <f t="shared" ref="BT111" ca="1" si="1731">SUM(BT108:BT110)</f>
        <v>14110376.035996504</v>
      </c>
      <c r="BU111" s="50">
        <f t="shared" ref="BU111" ca="1" si="1732">SUM(BU108:BU110)</f>
        <v>14212539.78174492</v>
      </c>
      <c r="BV111" s="50">
        <f t="shared" ref="BV111" ca="1" si="1733">SUM(BV108:BV110)</f>
        <v>14314970.124411903</v>
      </c>
      <c r="BW111" s="50">
        <f t="shared" ref="BW111" ca="1" si="1734">SUM(BW108:BW110)</f>
        <v>14417713.026955176</v>
      </c>
      <c r="BX111" s="50">
        <f t="shared" ref="BX111" ca="1" si="1735">SUM(BX108:BX110)</f>
        <v>14520810.359143006</v>
      </c>
      <c r="BY111" s="50">
        <f t="shared" ref="BY111" ca="1" si="1736">SUM(BY108:BY110)</f>
        <v>14624300.310358517</v>
      </c>
      <c r="BZ111" s="50">
        <f t="shared" ref="BZ111" ca="1" si="1737">SUM(BZ108:BZ110)</f>
        <v>14728217.761147704</v>
      </c>
      <c r="CA111" s="50">
        <f t="shared" ref="CA111" ca="1" si="1738">SUM(CA108:CA110)</f>
        <v>14832594.617636962</v>
      </c>
      <c r="CB111" s="50">
        <f t="shared" ref="CB111" ca="1" si="1739">SUM(CB108:CB110)</f>
        <v>14937460.112533348</v>
      </c>
      <c r="CC111" s="50">
        <f t="shared" ref="CC111" ca="1" si="1740">SUM(CC108:CC110)</f>
        <v>15042841.076049458</v>
      </c>
      <c r="CD111" s="50">
        <f t="shared" ref="CD111" ca="1" si="1741">SUM(CD108:CD110)</f>
        <v>15148762.17976065</v>
      </c>
      <c r="CE111" s="50">
        <f t="shared" ref="CE111" ca="1" si="1742">SUM(CE108:CE110)</f>
        <v>15255246.156101525</v>
      </c>
      <c r="CF111" s="50">
        <f t="shared" ref="CF111" ca="1" si="1743">SUM(CF108:CF110)</f>
        <v>15362313.995937936</v>
      </c>
      <c r="CG111" s="50">
        <f t="shared" ref="CG111" ca="1" si="1744">SUM(CG108:CG110)</f>
        <v>15469985.126407132</v>
      </c>
      <c r="CH111" s="50">
        <f t="shared" ref="CH111" ca="1" si="1745">SUM(CH108:CH110)</f>
        <v>15578277.570999408</v>
      </c>
      <c r="CI111" s="50">
        <f t="shared" ref="CI111" ca="1" si="1746">SUM(CI108:CI110)</f>
        <v>15687208.093657281</v>
      </c>
      <c r="CJ111" s="50">
        <f t="shared" ref="CJ111" ca="1" si="1747">SUM(CJ108:CJ110)</f>
        <v>15796792.32849062</v>
      </c>
      <c r="CK111" s="50">
        <f t="shared" ref="CK111" ca="1" si="1748">SUM(CK108:CK110)</f>
        <v>15907044.896546312</v>
      </c>
      <c r="CL111" s="50">
        <f t="shared" ref="CL111" ca="1" si="1749">SUM(CL108:CL110)</f>
        <v>16017979.510927193</v>
      </c>
      <c r="CM111" s="50">
        <f t="shared" ref="CM111" ca="1" si="1750">SUM(CM108:CM110)</f>
        <v>16129609.071425505</v>
      </c>
      <c r="CN111" s="50">
        <f t="shared" ref="CN111" ca="1" si="1751">SUM(CN108:CN110)</f>
        <v>0</v>
      </c>
    </row>
    <row r="112" spans="3:92" ht="12.75" customHeight="1" x14ac:dyDescent="0.3">
      <c r="D112" s="84"/>
      <c r="E112" s="85"/>
      <c r="F112" s="85"/>
      <c r="G112" s="85"/>
      <c r="H112" s="86"/>
      <c r="I112" s="87"/>
      <c r="J112" s="84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</row>
    <row r="113" spans="1:92" customFormat="1" ht="12.75" customHeight="1" x14ac:dyDescent="0.3">
      <c r="A113" s="1"/>
      <c r="B113" s="1"/>
      <c r="C113" s="7"/>
      <c r="D113" s="15"/>
      <c r="E113" s="1"/>
      <c r="F113" s="1"/>
      <c r="G113" s="1"/>
      <c r="H113" s="1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spans="1:92" ht="13.2" x14ac:dyDescent="0.25">
      <c r="A114" s="14">
        <f>MAX(A$3:A113)+0.01</f>
        <v>3.0599999999999987</v>
      </c>
      <c r="B114" s="14"/>
      <c r="C114" s="14" t="s">
        <v>191</v>
      </c>
      <c r="D114" s="20"/>
      <c r="E114" s="14"/>
      <c r="F114" s="14"/>
      <c r="G114" s="14"/>
      <c r="H114" s="57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</row>
    <row r="115" spans="1:92" customFormat="1" ht="12.75" customHeight="1" x14ac:dyDescent="0.3">
      <c r="A115" s="1"/>
      <c r="B115" s="1"/>
      <c r="C115" s="7"/>
      <c r="D115" s="15"/>
      <c r="E115" s="1"/>
      <c r="F115" s="1"/>
      <c r="G115" s="1"/>
      <c r="H115" s="1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customFormat="1" ht="12.75" customHeight="1" x14ac:dyDescent="0.3">
      <c r="A116" s="1"/>
      <c r="B116" s="1"/>
      <c r="C116" s="17" t="s">
        <v>192</v>
      </c>
      <c r="D116" s="15"/>
      <c r="E116" s="1"/>
      <c r="F116" s="1"/>
      <c r="G116" s="1"/>
      <c r="H116" s="1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spans="1:92" customFormat="1" ht="12.75" customHeight="1" x14ac:dyDescent="0.3">
      <c r="A117" s="1"/>
      <c r="B117" s="1"/>
      <c r="C117" s="7"/>
      <c r="D117" s="15" t="s">
        <v>181</v>
      </c>
      <c r="E117" s="1"/>
      <c r="F117" s="1"/>
      <c r="G117" s="1"/>
      <c r="H117" s="16" t="s">
        <v>1</v>
      </c>
      <c r="J117" s="15"/>
      <c r="K117" s="1"/>
      <c r="L117" s="15">
        <f t="shared" ref="L117:M117" si="1752">K120</f>
        <v>0</v>
      </c>
      <c r="M117" s="15">
        <f t="shared" si="1752"/>
        <v>168400000</v>
      </c>
      <c r="N117" s="15">
        <f t="shared" ref="N117:BY117" si="1753">M120</f>
        <v>157875000</v>
      </c>
      <c r="O117" s="15">
        <f t="shared" si="1753"/>
        <v>147350000</v>
      </c>
      <c r="P117" s="15">
        <f t="shared" si="1753"/>
        <v>136825000</v>
      </c>
      <c r="Q117" s="15">
        <f t="shared" si="1753"/>
        <v>126300000</v>
      </c>
      <c r="R117" s="15">
        <f t="shared" si="1753"/>
        <v>115775000</v>
      </c>
      <c r="S117" s="15">
        <f t="shared" si="1753"/>
        <v>105250000</v>
      </c>
      <c r="T117" s="15">
        <f t="shared" si="1753"/>
        <v>94725000</v>
      </c>
      <c r="U117" s="15">
        <f t="shared" si="1753"/>
        <v>86305000</v>
      </c>
      <c r="V117" s="15">
        <f t="shared" si="1753"/>
        <v>77885000</v>
      </c>
      <c r="W117" s="15">
        <f t="shared" si="1753"/>
        <v>69465000</v>
      </c>
      <c r="X117" s="15">
        <f t="shared" si="1753"/>
        <v>61045000</v>
      </c>
      <c r="Y117" s="15">
        <f t="shared" si="1753"/>
        <v>52625000</v>
      </c>
      <c r="Z117" s="15">
        <f t="shared" si="1753"/>
        <v>44205000</v>
      </c>
      <c r="AA117" s="15">
        <f t="shared" si="1753"/>
        <v>35785000</v>
      </c>
      <c r="AB117" s="15">
        <f t="shared" si="1753"/>
        <v>27365000</v>
      </c>
      <c r="AC117" s="15">
        <f t="shared" si="1753"/>
        <v>18945000</v>
      </c>
      <c r="AD117" s="15">
        <f t="shared" si="1753"/>
        <v>10525000</v>
      </c>
      <c r="AE117" s="15">
        <f t="shared" si="1753"/>
        <v>2105000</v>
      </c>
      <c r="AF117" s="15">
        <f t="shared" si="1753"/>
        <v>0</v>
      </c>
      <c r="AG117" s="15">
        <f t="shared" si="1753"/>
        <v>0</v>
      </c>
      <c r="AH117" s="15">
        <f t="shared" si="1753"/>
        <v>0</v>
      </c>
      <c r="AI117" s="15">
        <f t="shared" si="1753"/>
        <v>0</v>
      </c>
      <c r="AJ117" s="15">
        <f t="shared" si="1753"/>
        <v>0</v>
      </c>
      <c r="AK117" s="15">
        <f t="shared" si="1753"/>
        <v>0</v>
      </c>
      <c r="AL117" s="15">
        <f t="shared" si="1753"/>
        <v>0</v>
      </c>
      <c r="AM117" s="15">
        <f t="shared" si="1753"/>
        <v>0</v>
      </c>
      <c r="AN117" s="15">
        <f t="shared" si="1753"/>
        <v>0</v>
      </c>
      <c r="AO117" s="15">
        <f t="shared" si="1753"/>
        <v>0</v>
      </c>
      <c r="AP117" s="15">
        <f t="shared" si="1753"/>
        <v>0</v>
      </c>
      <c r="AQ117" s="15">
        <f t="shared" si="1753"/>
        <v>0</v>
      </c>
      <c r="AR117" s="15">
        <f t="shared" si="1753"/>
        <v>0</v>
      </c>
      <c r="AS117" s="15">
        <f t="shared" si="1753"/>
        <v>0</v>
      </c>
      <c r="AT117" s="15">
        <f t="shared" si="1753"/>
        <v>0</v>
      </c>
      <c r="AU117" s="15">
        <f t="shared" si="1753"/>
        <v>0</v>
      </c>
      <c r="AV117" s="15">
        <f t="shared" si="1753"/>
        <v>0</v>
      </c>
      <c r="AW117" s="15">
        <f t="shared" si="1753"/>
        <v>0</v>
      </c>
      <c r="AX117" s="15">
        <f t="shared" si="1753"/>
        <v>0</v>
      </c>
      <c r="AY117" s="15">
        <f t="shared" si="1753"/>
        <v>0</v>
      </c>
      <c r="AZ117" s="15">
        <f t="shared" si="1753"/>
        <v>0</v>
      </c>
      <c r="BA117" s="15">
        <f t="shared" si="1753"/>
        <v>0</v>
      </c>
      <c r="BB117" s="15">
        <f t="shared" si="1753"/>
        <v>0</v>
      </c>
      <c r="BC117" s="15">
        <f t="shared" si="1753"/>
        <v>0</v>
      </c>
      <c r="BD117" s="15">
        <f t="shared" si="1753"/>
        <v>0</v>
      </c>
      <c r="BE117" s="15">
        <f t="shared" si="1753"/>
        <v>0</v>
      </c>
      <c r="BF117" s="15">
        <f t="shared" si="1753"/>
        <v>0</v>
      </c>
      <c r="BG117" s="15">
        <f t="shared" si="1753"/>
        <v>0</v>
      </c>
      <c r="BH117" s="15">
        <f t="shared" si="1753"/>
        <v>0</v>
      </c>
      <c r="BI117" s="15">
        <f t="shared" si="1753"/>
        <v>0</v>
      </c>
      <c r="BJ117" s="15">
        <f t="shared" si="1753"/>
        <v>0</v>
      </c>
      <c r="BK117" s="15">
        <f t="shared" si="1753"/>
        <v>0</v>
      </c>
      <c r="BL117" s="15">
        <f t="shared" si="1753"/>
        <v>0</v>
      </c>
      <c r="BM117" s="15">
        <f t="shared" si="1753"/>
        <v>0</v>
      </c>
      <c r="BN117" s="15">
        <f t="shared" si="1753"/>
        <v>0</v>
      </c>
      <c r="BO117" s="15">
        <f t="shared" si="1753"/>
        <v>0</v>
      </c>
      <c r="BP117" s="15">
        <f t="shared" si="1753"/>
        <v>0</v>
      </c>
      <c r="BQ117" s="15">
        <f t="shared" si="1753"/>
        <v>0</v>
      </c>
      <c r="BR117" s="15">
        <f t="shared" si="1753"/>
        <v>0</v>
      </c>
      <c r="BS117" s="15">
        <f t="shared" si="1753"/>
        <v>0</v>
      </c>
      <c r="BT117" s="15">
        <f t="shared" si="1753"/>
        <v>0</v>
      </c>
      <c r="BU117" s="15">
        <f t="shared" si="1753"/>
        <v>0</v>
      </c>
      <c r="BV117" s="15">
        <f t="shared" si="1753"/>
        <v>0</v>
      </c>
      <c r="BW117" s="15">
        <f t="shared" si="1753"/>
        <v>0</v>
      </c>
      <c r="BX117" s="15">
        <f t="shared" si="1753"/>
        <v>0</v>
      </c>
      <c r="BY117" s="15">
        <f t="shared" si="1753"/>
        <v>0</v>
      </c>
      <c r="BZ117" s="15">
        <f t="shared" ref="BZ117:CN117" si="1754">BY120</f>
        <v>0</v>
      </c>
      <c r="CA117" s="15">
        <f t="shared" si="1754"/>
        <v>0</v>
      </c>
      <c r="CB117" s="15">
        <f t="shared" si="1754"/>
        <v>0</v>
      </c>
      <c r="CC117" s="15">
        <f t="shared" si="1754"/>
        <v>0</v>
      </c>
      <c r="CD117" s="15">
        <f t="shared" si="1754"/>
        <v>0</v>
      </c>
      <c r="CE117" s="15">
        <f t="shared" si="1754"/>
        <v>0</v>
      </c>
      <c r="CF117" s="15">
        <f t="shared" si="1754"/>
        <v>0</v>
      </c>
      <c r="CG117" s="15">
        <f t="shared" si="1754"/>
        <v>0</v>
      </c>
      <c r="CH117" s="15">
        <f t="shared" si="1754"/>
        <v>0</v>
      </c>
      <c r="CI117" s="15">
        <f t="shared" si="1754"/>
        <v>0</v>
      </c>
      <c r="CJ117" s="15">
        <f t="shared" si="1754"/>
        <v>0</v>
      </c>
      <c r="CK117" s="15">
        <f t="shared" si="1754"/>
        <v>0</v>
      </c>
      <c r="CL117" s="15">
        <f t="shared" si="1754"/>
        <v>0</v>
      </c>
      <c r="CM117" s="15">
        <f t="shared" si="1754"/>
        <v>0</v>
      </c>
      <c r="CN117" s="15">
        <f t="shared" si="1754"/>
        <v>0</v>
      </c>
    </row>
    <row r="118" spans="1:92" customFormat="1" ht="12.75" customHeight="1" x14ac:dyDescent="0.3">
      <c r="A118" s="1"/>
      <c r="B118" s="1"/>
      <c r="C118" s="7"/>
      <c r="D118" s="15" t="s">
        <v>182</v>
      </c>
      <c r="E118" s="1"/>
      <c r="F118" s="1"/>
      <c r="G118" s="1"/>
      <c r="H118" s="16" t="s">
        <v>1</v>
      </c>
      <c r="J118" s="58">
        <f>SUM(L118:CN118)</f>
        <v>168400000</v>
      </c>
      <c r="K118" s="1"/>
      <c r="L118" s="78">
        <f t="shared" ref="L118:AQ118" si="1755">L30</f>
        <v>168400000</v>
      </c>
      <c r="M118" s="78">
        <f t="shared" si="1755"/>
        <v>0</v>
      </c>
      <c r="N118" s="78">
        <f t="shared" si="1755"/>
        <v>0</v>
      </c>
      <c r="O118" s="78">
        <f t="shared" si="1755"/>
        <v>0</v>
      </c>
      <c r="P118" s="78">
        <f t="shared" si="1755"/>
        <v>0</v>
      </c>
      <c r="Q118" s="78">
        <f t="shared" si="1755"/>
        <v>0</v>
      </c>
      <c r="R118" s="78">
        <f t="shared" si="1755"/>
        <v>0</v>
      </c>
      <c r="S118" s="78">
        <f t="shared" si="1755"/>
        <v>0</v>
      </c>
      <c r="T118" s="78">
        <f t="shared" si="1755"/>
        <v>0</v>
      </c>
      <c r="U118" s="78">
        <f t="shared" si="1755"/>
        <v>0</v>
      </c>
      <c r="V118" s="78">
        <f t="shared" si="1755"/>
        <v>0</v>
      </c>
      <c r="W118" s="78">
        <f t="shared" si="1755"/>
        <v>0</v>
      </c>
      <c r="X118" s="78">
        <f t="shared" si="1755"/>
        <v>0</v>
      </c>
      <c r="Y118" s="78">
        <f t="shared" si="1755"/>
        <v>0</v>
      </c>
      <c r="Z118" s="78">
        <f t="shared" si="1755"/>
        <v>0</v>
      </c>
      <c r="AA118" s="78">
        <f t="shared" si="1755"/>
        <v>0</v>
      </c>
      <c r="AB118" s="78">
        <f t="shared" si="1755"/>
        <v>0</v>
      </c>
      <c r="AC118" s="78">
        <f t="shared" si="1755"/>
        <v>0</v>
      </c>
      <c r="AD118" s="78">
        <f t="shared" si="1755"/>
        <v>0</v>
      </c>
      <c r="AE118" s="78">
        <f t="shared" si="1755"/>
        <v>0</v>
      </c>
      <c r="AF118" s="78">
        <f t="shared" si="1755"/>
        <v>0</v>
      </c>
      <c r="AG118" s="78">
        <f t="shared" si="1755"/>
        <v>0</v>
      </c>
      <c r="AH118" s="78">
        <f t="shared" si="1755"/>
        <v>0</v>
      </c>
      <c r="AI118" s="78">
        <f t="shared" si="1755"/>
        <v>0</v>
      </c>
      <c r="AJ118" s="78">
        <f t="shared" si="1755"/>
        <v>0</v>
      </c>
      <c r="AK118" s="78">
        <f t="shared" si="1755"/>
        <v>0</v>
      </c>
      <c r="AL118" s="78">
        <f t="shared" si="1755"/>
        <v>0</v>
      </c>
      <c r="AM118" s="78">
        <f t="shared" si="1755"/>
        <v>0</v>
      </c>
      <c r="AN118" s="78">
        <f t="shared" si="1755"/>
        <v>0</v>
      </c>
      <c r="AO118" s="78">
        <f t="shared" si="1755"/>
        <v>0</v>
      </c>
      <c r="AP118" s="78">
        <f t="shared" si="1755"/>
        <v>0</v>
      </c>
      <c r="AQ118" s="78">
        <f t="shared" si="1755"/>
        <v>0</v>
      </c>
      <c r="AR118" s="78">
        <f t="shared" ref="AR118:BW118" si="1756">AR30</f>
        <v>0</v>
      </c>
      <c r="AS118" s="78">
        <f t="shared" si="1756"/>
        <v>0</v>
      </c>
      <c r="AT118" s="78">
        <f t="shared" si="1756"/>
        <v>0</v>
      </c>
      <c r="AU118" s="78">
        <f t="shared" si="1756"/>
        <v>0</v>
      </c>
      <c r="AV118" s="78">
        <f t="shared" si="1756"/>
        <v>0</v>
      </c>
      <c r="AW118" s="78">
        <f t="shared" si="1756"/>
        <v>0</v>
      </c>
      <c r="AX118" s="78">
        <f t="shared" si="1756"/>
        <v>0</v>
      </c>
      <c r="AY118" s="78">
        <f t="shared" si="1756"/>
        <v>0</v>
      </c>
      <c r="AZ118" s="78">
        <f t="shared" si="1756"/>
        <v>0</v>
      </c>
      <c r="BA118" s="78">
        <f t="shared" si="1756"/>
        <v>0</v>
      </c>
      <c r="BB118" s="78">
        <f t="shared" si="1756"/>
        <v>0</v>
      </c>
      <c r="BC118" s="78">
        <f t="shared" si="1756"/>
        <v>0</v>
      </c>
      <c r="BD118" s="78">
        <f t="shared" si="1756"/>
        <v>0</v>
      </c>
      <c r="BE118" s="78">
        <f t="shared" si="1756"/>
        <v>0</v>
      </c>
      <c r="BF118" s="78">
        <f t="shared" si="1756"/>
        <v>0</v>
      </c>
      <c r="BG118" s="78">
        <f t="shared" si="1756"/>
        <v>0</v>
      </c>
      <c r="BH118" s="78">
        <f t="shared" si="1756"/>
        <v>0</v>
      </c>
      <c r="BI118" s="78">
        <f t="shared" si="1756"/>
        <v>0</v>
      </c>
      <c r="BJ118" s="78">
        <f t="shared" si="1756"/>
        <v>0</v>
      </c>
      <c r="BK118" s="78">
        <f t="shared" si="1756"/>
        <v>0</v>
      </c>
      <c r="BL118" s="78">
        <f t="shared" si="1756"/>
        <v>0</v>
      </c>
      <c r="BM118" s="78">
        <f t="shared" si="1756"/>
        <v>0</v>
      </c>
      <c r="BN118" s="78">
        <f t="shared" si="1756"/>
        <v>0</v>
      </c>
      <c r="BO118" s="78">
        <f t="shared" si="1756"/>
        <v>0</v>
      </c>
      <c r="BP118" s="78">
        <f t="shared" si="1756"/>
        <v>0</v>
      </c>
      <c r="BQ118" s="78">
        <f t="shared" si="1756"/>
        <v>0</v>
      </c>
      <c r="BR118" s="78">
        <f t="shared" si="1756"/>
        <v>0</v>
      </c>
      <c r="BS118" s="78">
        <f t="shared" si="1756"/>
        <v>0</v>
      </c>
      <c r="BT118" s="78">
        <f t="shared" si="1756"/>
        <v>0</v>
      </c>
      <c r="BU118" s="78">
        <f t="shared" si="1756"/>
        <v>0</v>
      </c>
      <c r="BV118" s="78">
        <f t="shared" si="1756"/>
        <v>0</v>
      </c>
      <c r="BW118" s="78">
        <f t="shared" si="1756"/>
        <v>0</v>
      </c>
      <c r="BX118" s="78">
        <f t="shared" ref="BX118:CN118" si="1757">BX30</f>
        <v>0</v>
      </c>
      <c r="BY118" s="78">
        <f t="shared" si="1757"/>
        <v>0</v>
      </c>
      <c r="BZ118" s="78">
        <f t="shared" si="1757"/>
        <v>0</v>
      </c>
      <c r="CA118" s="78">
        <f t="shared" si="1757"/>
        <v>0</v>
      </c>
      <c r="CB118" s="78">
        <f t="shared" si="1757"/>
        <v>0</v>
      </c>
      <c r="CC118" s="78">
        <f t="shared" si="1757"/>
        <v>0</v>
      </c>
      <c r="CD118" s="78">
        <f t="shared" si="1757"/>
        <v>0</v>
      </c>
      <c r="CE118" s="78">
        <f t="shared" si="1757"/>
        <v>0</v>
      </c>
      <c r="CF118" s="78">
        <f t="shared" si="1757"/>
        <v>0</v>
      </c>
      <c r="CG118" s="78">
        <f t="shared" si="1757"/>
        <v>0</v>
      </c>
      <c r="CH118" s="78">
        <f t="shared" si="1757"/>
        <v>0</v>
      </c>
      <c r="CI118" s="78">
        <f t="shared" si="1757"/>
        <v>0</v>
      </c>
      <c r="CJ118" s="78">
        <f t="shared" si="1757"/>
        <v>0</v>
      </c>
      <c r="CK118" s="78">
        <f t="shared" si="1757"/>
        <v>0</v>
      </c>
      <c r="CL118" s="78">
        <f t="shared" si="1757"/>
        <v>0</v>
      </c>
      <c r="CM118" s="78">
        <f t="shared" si="1757"/>
        <v>0</v>
      </c>
      <c r="CN118" s="78">
        <f t="shared" si="1757"/>
        <v>0</v>
      </c>
    </row>
    <row r="119" spans="1:92" customFormat="1" ht="12.75" customHeight="1" x14ac:dyDescent="0.3">
      <c r="A119" s="1"/>
      <c r="B119" s="1"/>
      <c r="C119" s="7"/>
      <c r="D119" s="15" t="s">
        <v>183</v>
      </c>
      <c r="E119" s="1"/>
      <c r="F119" s="1"/>
      <c r="G119" s="1"/>
      <c r="H119" s="16" t="s">
        <v>1</v>
      </c>
      <c r="J119" s="58">
        <f>SUM(L119:CN119)</f>
        <v>-168400000</v>
      </c>
      <c r="K119" s="1"/>
      <c r="L119" s="15">
        <f t="shared" ref="L119:AQ119" si="1758">L31</f>
        <v>0</v>
      </c>
      <c r="M119" s="15">
        <f t="shared" si="1758"/>
        <v>-10525000</v>
      </c>
      <c r="N119" s="15">
        <f t="shared" si="1758"/>
        <v>-10525000</v>
      </c>
      <c r="O119" s="15">
        <f t="shared" si="1758"/>
        <v>-10525000</v>
      </c>
      <c r="P119" s="15">
        <f t="shared" si="1758"/>
        <v>-10525000</v>
      </c>
      <c r="Q119" s="15">
        <f t="shared" si="1758"/>
        <v>-10525000</v>
      </c>
      <c r="R119" s="15">
        <f t="shared" si="1758"/>
        <v>-10525000</v>
      </c>
      <c r="S119" s="15">
        <f t="shared" si="1758"/>
        <v>-10525000</v>
      </c>
      <c r="T119" s="15">
        <f t="shared" si="1758"/>
        <v>-8420000</v>
      </c>
      <c r="U119" s="15">
        <f t="shared" si="1758"/>
        <v>-8420000</v>
      </c>
      <c r="V119" s="15">
        <f t="shared" si="1758"/>
        <v>-8420000</v>
      </c>
      <c r="W119" s="15">
        <f t="shared" si="1758"/>
        <v>-8420000</v>
      </c>
      <c r="X119" s="15">
        <f t="shared" si="1758"/>
        <v>-8420000</v>
      </c>
      <c r="Y119" s="15">
        <f t="shared" si="1758"/>
        <v>-8420000</v>
      </c>
      <c r="Z119" s="15">
        <f t="shared" si="1758"/>
        <v>-8420000</v>
      </c>
      <c r="AA119" s="15">
        <f t="shared" si="1758"/>
        <v>-8420000</v>
      </c>
      <c r="AB119" s="15">
        <f t="shared" si="1758"/>
        <v>-8420000</v>
      </c>
      <c r="AC119" s="15">
        <f t="shared" si="1758"/>
        <v>-8420000</v>
      </c>
      <c r="AD119" s="15">
        <f t="shared" si="1758"/>
        <v>-8420000</v>
      </c>
      <c r="AE119" s="15">
        <f t="shared" si="1758"/>
        <v>-2105000</v>
      </c>
      <c r="AF119" s="15">
        <f t="shared" si="1758"/>
        <v>0</v>
      </c>
      <c r="AG119" s="15">
        <f t="shared" si="1758"/>
        <v>0</v>
      </c>
      <c r="AH119" s="15">
        <f t="shared" si="1758"/>
        <v>0</v>
      </c>
      <c r="AI119" s="15">
        <f t="shared" si="1758"/>
        <v>0</v>
      </c>
      <c r="AJ119" s="15">
        <f t="shared" si="1758"/>
        <v>0</v>
      </c>
      <c r="AK119" s="15">
        <f t="shared" si="1758"/>
        <v>0</v>
      </c>
      <c r="AL119" s="15">
        <f t="shared" si="1758"/>
        <v>0</v>
      </c>
      <c r="AM119" s="15">
        <f t="shared" si="1758"/>
        <v>0</v>
      </c>
      <c r="AN119" s="15">
        <f t="shared" si="1758"/>
        <v>0</v>
      </c>
      <c r="AO119" s="15">
        <f t="shared" si="1758"/>
        <v>0</v>
      </c>
      <c r="AP119" s="15">
        <f t="shared" si="1758"/>
        <v>0</v>
      </c>
      <c r="AQ119" s="15">
        <f t="shared" si="1758"/>
        <v>0</v>
      </c>
      <c r="AR119" s="15">
        <f t="shared" ref="AR119:BW119" si="1759">AR31</f>
        <v>0</v>
      </c>
      <c r="AS119" s="15">
        <f t="shared" si="1759"/>
        <v>0</v>
      </c>
      <c r="AT119" s="15">
        <f t="shared" si="1759"/>
        <v>0</v>
      </c>
      <c r="AU119" s="15">
        <f t="shared" si="1759"/>
        <v>0</v>
      </c>
      <c r="AV119" s="15">
        <f t="shared" si="1759"/>
        <v>0</v>
      </c>
      <c r="AW119" s="15">
        <f t="shared" si="1759"/>
        <v>0</v>
      </c>
      <c r="AX119" s="15">
        <f t="shared" si="1759"/>
        <v>0</v>
      </c>
      <c r="AY119" s="15">
        <f t="shared" si="1759"/>
        <v>0</v>
      </c>
      <c r="AZ119" s="15">
        <f t="shared" si="1759"/>
        <v>0</v>
      </c>
      <c r="BA119" s="15">
        <f t="shared" si="1759"/>
        <v>0</v>
      </c>
      <c r="BB119" s="15">
        <f t="shared" si="1759"/>
        <v>0</v>
      </c>
      <c r="BC119" s="15">
        <f t="shared" si="1759"/>
        <v>0</v>
      </c>
      <c r="BD119" s="15">
        <f t="shared" si="1759"/>
        <v>0</v>
      </c>
      <c r="BE119" s="15">
        <f t="shared" si="1759"/>
        <v>0</v>
      </c>
      <c r="BF119" s="15">
        <f t="shared" si="1759"/>
        <v>0</v>
      </c>
      <c r="BG119" s="15">
        <f t="shared" si="1759"/>
        <v>0</v>
      </c>
      <c r="BH119" s="15">
        <f t="shared" si="1759"/>
        <v>0</v>
      </c>
      <c r="BI119" s="15">
        <f t="shared" si="1759"/>
        <v>0</v>
      </c>
      <c r="BJ119" s="15">
        <f t="shared" si="1759"/>
        <v>0</v>
      </c>
      <c r="BK119" s="15">
        <f t="shared" si="1759"/>
        <v>0</v>
      </c>
      <c r="BL119" s="15">
        <f t="shared" si="1759"/>
        <v>0</v>
      </c>
      <c r="BM119" s="15">
        <f t="shared" si="1759"/>
        <v>0</v>
      </c>
      <c r="BN119" s="15">
        <f t="shared" si="1759"/>
        <v>0</v>
      </c>
      <c r="BO119" s="15">
        <f t="shared" si="1759"/>
        <v>0</v>
      </c>
      <c r="BP119" s="15">
        <f t="shared" si="1759"/>
        <v>0</v>
      </c>
      <c r="BQ119" s="15">
        <f t="shared" si="1759"/>
        <v>0</v>
      </c>
      <c r="BR119" s="15">
        <f t="shared" si="1759"/>
        <v>0</v>
      </c>
      <c r="BS119" s="15">
        <f t="shared" si="1759"/>
        <v>0</v>
      </c>
      <c r="BT119" s="15">
        <f t="shared" si="1759"/>
        <v>0</v>
      </c>
      <c r="BU119" s="15">
        <f t="shared" si="1759"/>
        <v>0</v>
      </c>
      <c r="BV119" s="15">
        <f t="shared" si="1759"/>
        <v>0</v>
      </c>
      <c r="BW119" s="15">
        <f t="shared" si="1759"/>
        <v>0</v>
      </c>
      <c r="BX119" s="15">
        <f t="shared" ref="BX119:CN119" si="1760">BX31</f>
        <v>0</v>
      </c>
      <c r="BY119" s="15">
        <f t="shared" si="1760"/>
        <v>0</v>
      </c>
      <c r="BZ119" s="15">
        <f t="shared" si="1760"/>
        <v>0</v>
      </c>
      <c r="CA119" s="15">
        <f t="shared" si="1760"/>
        <v>0</v>
      </c>
      <c r="CB119" s="15">
        <f t="shared" si="1760"/>
        <v>0</v>
      </c>
      <c r="CC119" s="15">
        <f t="shared" si="1760"/>
        <v>0</v>
      </c>
      <c r="CD119" s="15">
        <f t="shared" si="1760"/>
        <v>0</v>
      </c>
      <c r="CE119" s="15">
        <f t="shared" si="1760"/>
        <v>0</v>
      </c>
      <c r="CF119" s="15">
        <f t="shared" si="1760"/>
        <v>0</v>
      </c>
      <c r="CG119" s="15">
        <f t="shared" si="1760"/>
        <v>0</v>
      </c>
      <c r="CH119" s="15">
        <f t="shared" si="1760"/>
        <v>0</v>
      </c>
      <c r="CI119" s="15">
        <f t="shared" si="1760"/>
        <v>0</v>
      </c>
      <c r="CJ119" s="15">
        <f t="shared" si="1760"/>
        <v>0</v>
      </c>
      <c r="CK119" s="15">
        <f t="shared" si="1760"/>
        <v>0</v>
      </c>
      <c r="CL119" s="15">
        <f t="shared" si="1760"/>
        <v>0</v>
      </c>
      <c r="CM119" s="15">
        <f t="shared" si="1760"/>
        <v>0</v>
      </c>
      <c r="CN119" s="15">
        <f t="shared" si="1760"/>
        <v>0</v>
      </c>
    </row>
    <row r="120" spans="1:92" customFormat="1" ht="12.75" customHeight="1" x14ac:dyDescent="0.3">
      <c r="A120" s="1"/>
      <c r="B120" s="1"/>
      <c r="C120" s="7"/>
      <c r="D120" s="50" t="s">
        <v>184</v>
      </c>
      <c r="E120" s="1"/>
      <c r="F120" s="1"/>
      <c r="G120" s="1"/>
      <c r="H120" s="16" t="s">
        <v>1</v>
      </c>
      <c r="J120" s="50">
        <f t="shared" ref="J120" si="1761">SUM(J117:J119)</f>
        <v>0</v>
      </c>
      <c r="K120" s="1"/>
      <c r="L120" s="50">
        <f t="shared" ref="L120:M120" si="1762">SUM(L117:L119)</f>
        <v>168400000</v>
      </c>
      <c r="M120" s="50">
        <f t="shared" si="1762"/>
        <v>157875000</v>
      </c>
      <c r="N120" s="50">
        <f t="shared" ref="N120" si="1763">SUM(N117:N119)</f>
        <v>147350000</v>
      </c>
      <c r="O120" s="50">
        <f t="shared" ref="O120" si="1764">SUM(O117:O119)</f>
        <v>136825000</v>
      </c>
      <c r="P120" s="50">
        <f t="shared" ref="P120" si="1765">SUM(P117:P119)</f>
        <v>126300000</v>
      </c>
      <c r="Q120" s="50">
        <f t="shared" ref="Q120" si="1766">SUM(Q117:Q119)</f>
        <v>115775000</v>
      </c>
      <c r="R120" s="50">
        <f t="shared" ref="R120" si="1767">SUM(R117:R119)</f>
        <v>105250000</v>
      </c>
      <c r="S120" s="50">
        <f t="shared" ref="S120" si="1768">SUM(S117:S119)</f>
        <v>94725000</v>
      </c>
      <c r="T120" s="50">
        <f t="shared" ref="T120" si="1769">SUM(T117:T119)</f>
        <v>86305000</v>
      </c>
      <c r="U120" s="50">
        <f t="shared" ref="U120" si="1770">SUM(U117:U119)</f>
        <v>77885000</v>
      </c>
      <c r="V120" s="50">
        <f t="shared" ref="V120" si="1771">SUM(V117:V119)</f>
        <v>69465000</v>
      </c>
      <c r="W120" s="50">
        <f t="shared" ref="W120" si="1772">SUM(W117:W119)</f>
        <v>61045000</v>
      </c>
      <c r="X120" s="50">
        <f t="shared" ref="X120" si="1773">SUM(X117:X119)</f>
        <v>52625000</v>
      </c>
      <c r="Y120" s="50">
        <f t="shared" ref="Y120" si="1774">SUM(Y117:Y119)</f>
        <v>44205000</v>
      </c>
      <c r="Z120" s="50">
        <f t="shared" ref="Z120" si="1775">SUM(Z117:Z119)</f>
        <v>35785000</v>
      </c>
      <c r="AA120" s="50">
        <f t="shared" ref="AA120" si="1776">SUM(AA117:AA119)</f>
        <v>27365000</v>
      </c>
      <c r="AB120" s="50">
        <f t="shared" ref="AB120" si="1777">SUM(AB117:AB119)</f>
        <v>18945000</v>
      </c>
      <c r="AC120" s="50">
        <f t="shared" ref="AC120" si="1778">SUM(AC117:AC119)</f>
        <v>10525000</v>
      </c>
      <c r="AD120" s="50">
        <f t="shared" ref="AD120" si="1779">SUM(AD117:AD119)</f>
        <v>2105000</v>
      </c>
      <c r="AE120" s="50">
        <f t="shared" ref="AE120" si="1780">SUM(AE117:AE119)</f>
        <v>0</v>
      </c>
      <c r="AF120" s="50">
        <f t="shared" ref="AF120" si="1781">SUM(AF117:AF119)</f>
        <v>0</v>
      </c>
      <c r="AG120" s="50">
        <f t="shared" ref="AG120" si="1782">SUM(AG117:AG119)</f>
        <v>0</v>
      </c>
      <c r="AH120" s="50">
        <f t="shared" ref="AH120" si="1783">SUM(AH117:AH119)</f>
        <v>0</v>
      </c>
      <c r="AI120" s="50">
        <f t="shared" ref="AI120" si="1784">SUM(AI117:AI119)</f>
        <v>0</v>
      </c>
      <c r="AJ120" s="50">
        <f t="shared" ref="AJ120" si="1785">SUM(AJ117:AJ119)</f>
        <v>0</v>
      </c>
      <c r="AK120" s="50">
        <f t="shared" ref="AK120" si="1786">SUM(AK117:AK119)</f>
        <v>0</v>
      </c>
      <c r="AL120" s="50">
        <f t="shared" ref="AL120" si="1787">SUM(AL117:AL119)</f>
        <v>0</v>
      </c>
      <c r="AM120" s="50">
        <f t="shared" ref="AM120" si="1788">SUM(AM117:AM119)</f>
        <v>0</v>
      </c>
      <c r="AN120" s="50">
        <f t="shared" ref="AN120" si="1789">SUM(AN117:AN119)</f>
        <v>0</v>
      </c>
      <c r="AO120" s="50">
        <f t="shared" ref="AO120" si="1790">SUM(AO117:AO119)</f>
        <v>0</v>
      </c>
      <c r="AP120" s="50">
        <f t="shared" ref="AP120" si="1791">SUM(AP117:AP119)</f>
        <v>0</v>
      </c>
      <c r="AQ120" s="50">
        <f t="shared" ref="AQ120" si="1792">SUM(AQ117:AQ119)</f>
        <v>0</v>
      </c>
      <c r="AR120" s="50">
        <f t="shared" ref="AR120" si="1793">SUM(AR117:AR119)</f>
        <v>0</v>
      </c>
      <c r="AS120" s="50">
        <f t="shared" ref="AS120" si="1794">SUM(AS117:AS119)</f>
        <v>0</v>
      </c>
      <c r="AT120" s="50">
        <f t="shared" ref="AT120" si="1795">SUM(AT117:AT119)</f>
        <v>0</v>
      </c>
      <c r="AU120" s="50">
        <f t="shared" ref="AU120" si="1796">SUM(AU117:AU119)</f>
        <v>0</v>
      </c>
      <c r="AV120" s="50">
        <f t="shared" ref="AV120" si="1797">SUM(AV117:AV119)</f>
        <v>0</v>
      </c>
      <c r="AW120" s="50">
        <f t="shared" ref="AW120" si="1798">SUM(AW117:AW119)</f>
        <v>0</v>
      </c>
      <c r="AX120" s="50">
        <f t="shared" ref="AX120" si="1799">SUM(AX117:AX119)</f>
        <v>0</v>
      </c>
      <c r="AY120" s="50">
        <f t="shared" ref="AY120" si="1800">SUM(AY117:AY119)</f>
        <v>0</v>
      </c>
      <c r="AZ120" s="50">
        <f t="shared" ref="AZ120" si="1801">SUM(AZ117:AZ119)</f>
        <v>0</v>
      </c>
      <c r="BA120" s="50">
        <f t="shared" ref="BA120" si="1802">SUM(BA117:BA119)</f>
        <v>0</v>
      </c>
      <c r="BB120" s="50">
        <f t="shared" ref="BB120" si="1803">SUM(BB117:BB119)</f>
        <v>0</v>
      </c>
      <c r="BC120" s="50">
        <f t="shared" ref="BC120" si="1804">SUM(BC117:BC119)</f>
        <v>0</v>
      </c>
      <c r="BD120" s="50">
        <f t="shared" ref="BD120" si="1805">SUM(BD117:BD119)</f>
        <v>0</v>
      </c>
      <c r="BE120" s="50">
        <f t="shared" ref="BE120" si="1806">SUM(BE117:BE119)</f>
        <v>0</v>
      </c>
      <c r="BF120" s="50">
        <f t="shared" ref="BF120" si="1807">SUM(BF117:BF119)</f>
        <v>0</v>
      </c>
      <c r="BG120" s="50">
        <f t="shared" ref="BG120" si="1808">SUM(BG117:BG119)</f>
        <v>0</v>
      </c>
      <c r="BH120" s="50">
        <f t="shared" ref="BH120" si="1809">SUM(BH117:BH119)</f>
        <v>0</v>
      </c>
      <c r="BI120" s="50">
        <f t="shared" ref="BI120" si="1810">SUM(BI117:BI119)</f>
        <v>0</v>
      </c>
      <c r="BJ120" s="50">
        <f t="shared" ref="BJ120" si="1811">SUM(BJ117:BJ119)</f>
        <v>0</v>
      </c>
      <c r="BK120" s="50">
        <f t="shared" ref="BK120" si="1812">SUM(BK117:BK119)</f>
        <v>0</v>
      </c>
      <c r="BL120" s="50">
        <f t="shared" ref="BL120" si="1813">SUM(BL117:BL119)</f>
        <v>0</v>
      </c>
      <c r="BM120" s="50">
        <f t="shared" ref="BM120" si="1814">SUM(BM117:BM119)</f>
        <v>0</v>
      </c>
      <c r="BN120" s="50">
        <f t="shared" ref="BN120" si="1815">SUM(BN117:BN119)</f>
        <v>0</v>
      </c>
      <c r="BO120" s="50">
        <f t="shared" ref="BO120" si="1816">SUM(BO117:BO119)</f>
        <v>0</v>
      </c>
      <c r="BP120" s="50">
        <f t="shared" ref="BP120" si="1817">SUM(BP117:BP119)</f>
        <v>0</v>
      </c>
      <c r="BQ120" s="50">
        <f t="shared" ref="BQ120" si="1818">SUM(BQ117:BQ119)</f>
        <v>0</v>
      </c>
      <c r="BR120" s="50">
        <f t="shared" ref="BR120" si="1819">SUM(BR117:BR119)</f>
        <v>0</v>
      </c>
      <c r="BS120" s="50">
        <f t="shared" ref="BS120" si="1820">SUM(BS117:BS119)</f>
        <v>0</v>
      </c>
      <c r="BT120" s="50">
        <f t="shared" ref="BT120" si="1821">SUM(BT117:BT119)</f>
        <v>0</v>
      </c>
      <c r="BU120" s="50">
        <f t="shared" ref="BU120" si="1822">SUM(BU117:BU119)</f>
        <v>0</v>
      </c>
      <c r="BV120" s="50">
        <f t="shared" ref="BV120" si="1823">SUM(BV117:BV119)</f>
        <v>0</v>
      </c>
      <c r="BW120" s="50">
        <f t="shared" ref="BW120" si="1824">SUM(BW117:BW119)</f>
        <v>0</v>
      </c>
      <c r="BX120" s="50">
        <f t="shared" ref="BX120" si="1825">SUM(BX117:BX119)</f>
        <v>0</v>
      </c>
      <c r="BY120" s="50">
        <f t="shared" ref="BY120" si="1826">SUM(BY117:BY119)</f>
        <v>0</v>
      </c>
      <c r="BZ120" s="50">
        <f t="shared" ref="BZ120" si="1827">SUM(BZ117:BZ119)</f>
        <v>0</v>
      </c>
      <c r="CA120" s="50">
        <f t="shared" ref="CA120" si="1828">SUM(CA117:CA119)</f>
        <v>0</v>
      </c>
      <c r="CB120" s="50">
        <f t="shared" ref="CB120" si="1829">SUM(CB117:CB119)</f>
        <v>0</v>
      </c>
      <c r="CC120" s="50">
        <f t="shared" ref="CC120" si="1830">SUM(CC117:CC119)</f>
        <v>0</v>
      </c>
      <c r="CD120" s="50">
        <f t="shared" ref="CD120" si="1831">SUM(CD117:CD119)</f>
        <v>0</v>
      </c>
      <c r="CE120" s="50">
        <f t="shared" ref="CE120" si="1832">SUM(CE117:CE119)</f>
        <v>0</v>
      </c>
      <c r="CF120" s="50">
        <f t="shared" ref="CF120" si="1833">SUM(CF117:CF119)</f>
        <v>0</v>
      </c>
      <c r="CG120" s="50">
        <f t="shared" ref="CG120" si="1834">SUM(CG117:CG119)</f>
        <v>0</v>
      </c>
      <c r="CH120" s="50">
        <f t="shared" ref="CH120" si="1835">SUM(CH117:CH119)</f>
        <v>0</v>
      </c>
      <c r="CI120" s="50">
        <f t="shared" ref="CI120" si="1836">SUM(CI117:CI119)</f>
        <v>0</v>
      </c>
      <c r="CJ120" s="50">
        <f t="shared" ref="CJ120" si="1837">SUM(CJ117:CJ119)</f>
        <v>0</v>
      </c>
      <c r="CK120" s="50">
        <f t="shared" ref="CK120" si="1838">SUM(CK117:CK119)</f>
        <v>0</v>
      </c>
      <c r="CL120" s="50">
        <f t="shared" ref="CL120" si="1839">SUM(CL117:CL119)</f>
        <v>0</v>
      </c>
      <c r="CM120" s="50">
        <f t="shared" ref="CM120" si="1840">SUM(CM117:CM119)</f>
        <v>0</v>
      </c>
      <c r="CN120" s="50">
        <f t="shared" ref="CN120" si="1841">SUM(CN117:CN119)</f>
        <v>0</v>
      </c>
    </row>
    <row r="121" spans="1:92" customFormat="1" ht="12.75" customHeight="1" x14ac:dyDescent="0.3">
      <c r="A121" s="1"/>
      <c r="B121" s="1"/>
      <c r="C121" s="7"/>
      <c r="D121" s="15"/>
      <c r="E121" s="1"/>
      <c r="F121" s="1"/>
      <c r="G121" s="1"/>
      <c r="H121" s="1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spans="1:92" customFormat="1" ht="12.75" customHeight="1" x14ac:dyDescent="0.3">
      <c r="A122" s="1"/>
      <c r="B122" s="1"/>
      <c r="C122" s="17" t="s">
        <v>193</v>
      </c>
      <c r="D122" s="15"/>
      <c r="E122" s="1"/>
      <c r="F122" s="1"/>
      <c r="G122" s="1"/>
      <c r="H122" s="1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spans="1:92" customFormat="1" ht="12.75" customHeight="1" x14ac:dyDescent="0.3">
      <c r="A123" s="1"/>
      <c r="B123" s="1"/>
      <c r="C123" s="7"/>
      <c r="D123" s="15" t="s">
        <v>181</v>
      </c>
      <c r="E123" s="1"/>
      <c r="F123" s="1"/>
      <c r="G123" s="1"/>
      <c r="H123" s="16" t="s">
        <v>1</v>
      </c>
      <c r="J123" s="15"/>
      <c r="K123" s="1"/>
      <c r="L123" s="15">
        <f t="shared" ref="L123:M123" si="1842">K126</f>
        <v>0</v>
      </c>
      <c r="M123" s="15">
        <f t="shared" si="1842"/>
        <v>42535013.505508944</v>
      </c>
      <c r="N123" s="15">
        <f t="shared" ref="N123:BY123" si="1843">M126</f>
        <v>36336285.681508943</v>
      </c>
      <c r="O123" s="15">
        <f t="shared" si="1843"/>
        <v>30757430.63990894</v>
      </c>
      <c r="P123" s="15">
        <f t="shared" si="1843"/>
        <v>25736461.102468938</v>
      </c>
      <c r="Q123" s="15">
        <f t="shared" si="1843"/>
        <v>21217588.518772934</v>
      </c>
      <c r="R123" s="15">
        <f t="shared" si="1843"/>
        <v>17150603.193446532</v>
      </c>
      <c r="S123" s="15">
        <f t="shared" si="1843"/>
        <v>13490316.40065277</v>
      </c>
      <c r="T123" s="15">
        <f t="shared" si="1843"/>
        <v>10196058.287138384</v>
      </c>
      <c r="U123" s="15">
        <f t="shared" si="1843"/>
        <v>7231225.9849754358</v>
      </c>
      <c r="V123" s="15">
        <f t="shared" si="1843"/>
        <v>4562876.9130287822</v>
      </c>
      <c r="W123" s="15">
        <f t="shared" si="1843"/>
        <v>2161362.7482767934</v>
      </c>
      <c r="X123" s="15">
        <f t="shared" si="1843"/>
        <v>0</v>
      </c>
      <c r="Y123" s="15">
        <f t="shared" si="1843"/>
        <v>0</v>
      </c>
      <c r="Z123" s="15">
        <f t="shared" si="1843"/>
        <v>0</v>
      </c>
      <c r="AA123" s="15">
        <f t="shared" si="1843"/>
        <v>0</v>
      </c>
      <c r="AB123" s="15">
        <f t="shared" si="1843"/>
        <v>0</v>
      </c>
      <c r="AC123" s="15">
        <f t="shared" si="1843"/>
        <v>0</v>
      </c>
      <c r="AD123" s="15">
        <f t="shared" si="1843"/>
        <v>0</v>
      </c>
      <c r="AE123" s="15">
        <f t="shared" si="1843"/>
        <v>0</v>
      </c>
      <c r="AF123" s="15">
        <f t="shared" si="1843"/>
        <v>0</v>
      </c>
      <c r="AG123" s="15">
        <f t="shared" si="1843"/>
        <v>0</v>
      </c>
      <c r="AH123" s="15">
        <f t="shared" si="1843"/>
        <v>0</v>
      </c>
      <c r="AI123" s="15">
        <f t="shared" si="1843"/>
        <v>0</v>
      </c>
      <c r="AJ123" s="15">
        <f t="shared" si="1843"/>
        <v>0</v>
      </c>
      <c r="AK123" s="15">
        <f t="shared" si="1843"/>
        <v>0</v>
      </c>
      <c r="AL123" s="15">
        <f t="shared" si="1843"/>
        <v>0</v>
      </c>
      <c r="AM123" s="15">
        <f t="shared" si="1843"/>
        <v>0</v>
      </c>
      <c r="AN123" s="15">
        <f t="shared" si="1843"/>
        <v>0</v>
      </c>
      <c r="AO123" s="15">
        <f t="shared" si="1843"/>
        <v>0</v>
      </c>
      <c r="AP123" s="15">
        <f t="shared" si="1843"/>
        <v>0</v>
      </c>
      <c r="AQ123" s="15">
        <f t="shared" si="1843"/>
        <v>0</v>
      </c>
      <c r="AR123" s="15">
        <f t="shared" si="1843"/>
        <v>0</v>
      </c>
      <c r="AS123" s="15">
        <f t="shared" si="1843"/>
        <v>0</v>
      </c>
      <c r="AT123" s="15">
        <f t="shared" si="1843"/>
        <v>0</v>
      </c>
      <c r="AU123" s="15">
        <f t="shared" si="1843"/>
        <v>0</v>
      </c>
      <c r="AV123" s="15">
        <f t="shared" si="1843"/>
        <v>0</v>
      </c>
      <c r="AW123" s="15">
        <f t="shared" si="1843"/>
        <v>0</v>
      </c>
      <c r="AX123" s="15">
        <f t="shared" si="1843"/>
        <v>0</v>
      </c>
      <c r="AY123" s="15">
        <f t="shared" si="1843"/>
        <v>0</v>
      </c>
      <c r="AZ123" s="15">
        <f t="shared" si="1843"/>
        <v>0</v>
      </c>
      <c r="BA123" s="15">
        <f t="shared" si="1843"/>
        <v>0</v>
      </c>
      <c r="BB123" s="15">
        <f t="shared" si="1843"/>
        <v>0</v>
      </c>
      <c r="BC123" s="15">
        <f t="shared" si="1843"/>
        <v>0</v>
      </c>
      <c r="BD123" s="15">
        <f t="shared" si="1843"/>
        <v>0</v>
      </c>
      <c r="BE123" s="15">
        <f t="shared" si="1843"/>
        <v>0</v>
      </c>
      <c r="BF123" s="15">
        <f t="shared" si="1843"/>
        <v>0</v>
      </c>
      <c r="BG123" s="15">
        <f t="shared" si="1843"/>
        <v>0</v>
      </c>
      <c r="BH123" s="15">
        <f t="shared" si="1843"/>
        <v>0</v>
      </c>
      <c r="BI123" s="15">
        <f t="shared" si="1843"/>
        <v>0</v>
      </c>
      <c r="BJ123" s="15">
        <f t="shared" si="1843"/>
        <v>0</v>
      </c>
      <c r="BK123" s="15">
        <f t="shared" si="1843"/>
        <v>0</v>
      </c>
      <c r="BL123" s="15">
        <f t="shared" si="1843"/>
        <v>0</v>
      </c>
      <c r="BM123" s="15">
        <f t="shared" si="1843"/>
        <v>0</v>
      </c>
      <c r="BN123" s="15">
        <f t="shared" si="1843"/>
        <v>0</v>
      </c>
      <c r="BO123" s="15">
        <f t="shared" si="1843"/>
        <v>0</v>
      </c>
      <c r="BP123" s="15">
        <f t="shared" si="1843"/>
        <v>0</v>
      </c>
      <c r="BQ123" s="15">
        <f t="shared" si="1843"/>
        <v>0</v>
      </c>
      <c r="BR123" s="15">
        <f t="shared" si="1843"/>
        <v>0</v>
      </c>
      <c r="BS123" s="15">
        <f t="shared" si="1843"/>
        <v>0</v>
      </c>
      <c r="BT123" s="15">
        <f t="shared" si="1843"/>
        <v>0</v>
      </c>
      <c r="BU123" s="15">
        <f t="shared" si="1843"/>
        <v>0</v>
      </c>
      <c r="BV123" s="15">
        <f t="shared" si="1843"/>
        <v>0</v>
      </c>
      <c r="BW123" s="15">
        <f t="shared" si="1843"/>
        <v>0</v>
      </c>
      <c r="BX123" s="15">
        <f t="shared" si="1843"/>
        <v>0</v>
      </c>
      <c r="BY123" s="15">
        <f t="shared" si="1843"/>
        <v>0</v>
      </c>
      <c r="BZ123" s="15">
        <f t="shared" ref="BZ123:CN123" si="1844">BY126</f>
        <v>0</v>
      </c>
      <c r="CA123" s="15">
        <f t="shared" si="1844"/>
        <v>0</v>
      </c>
      <c r="CB123" s="15">
        <f t="shared" si="1844"/>
        <v>0</v>
      </c>
      <c r="CC123" s="15">
        <f t="shared" si="1844"/>
        <v>0</v>
      </c>
      <c r="CD123" s="15">
        <f t="shared" si="1844"/>
        <v>0</v>
      </c>
      <c r="CE123" s="15">
        <f t="shared" si="1844"/>
        <v>0</v>
      </c>
      <c r="CF123" s="15">
        <f t="shared" si="1844"/>
        <v>0</v>
      </c>
      <c r="CG123" s="15">
        <f t="shared" si="1844"/>
        <v>0</v>
      </c>
      <c r="CH123" s="15">
        <f t="shared" si="1844"/>
        <v>0</v>
      </c>
      <c r="CI123" s="15">
        <f t="shared" si="1844"/>
        <v>0</v>
      </c>
      <c r="CJ123" s="15">
        <f t="shared" si="1844"/>
        <v>0</v>
      </c>
      <c r="CK123" s="15">
        <f t="shared" si="1844"/>
        <v>0</v>
      </c>
      <c r="CL123" s="15">
        <f t="shared" si="1844"/>
        <v>0</v>
      </c>
      <c r="CM123" s="15">
        <f t="shared" si="1844"/>
        <v>0</v>
      </c>
      <c r="CN123" s="15">
        <f t="shared" si="1844"/>
        <v>0</v>
      </c>
    </row>
    <row r="124" spans="1:92" customFormat="1" ht="12.75" customHeight="1" x14ac:dyDescent="0.3">
      <c r="A124" s="1"/>
      <c r="B124" s="1"/>
      <c r="C124" s="7"/>
      <c r="D124" s="15" t="s">
        <v>182</v>
      </c>
      <c r="E124" s="1"/>
      <c r="F124" s="1"/>
      <c r="G124" s="1"/>
      <c r="H124" s="16" t="s">
        <v>1</v>
      </c>
      <c r="J124" s="58">
        <f>SUM(L124:CN124)</f>
        <v>42535013.505508944</v>
      </c>
      <c r="K124" s="1"/>
      <c r="L124" s="78">
        <f t="shared" ref="L124:AQ124" si="1845">L36</f>
        <v>42535013.505508944</v>
      </c>
      <c r="M124" s="78">
        <f t="shared" si="1845"/>
        <v>0</v>
      </c>
      <c r="N124" s="78">
        <f t="shared" si="1845"/>
        <v>0</v>
      </c>
      <c r="O124" s="78">
        <f t="shared" si="1845"/>
        <v>0</v>
      </c>
      <c r="P124" s="78">
        <f t="shared" si="1845"/>
        <v>0</v>
      </c>
      <c r="Q124" s="78">
        <f t="shared" si="1845"/>
        <v>0</v>
      </c>
      <c r="R124" s="78">
        <f t="shared" si="1845"/>
        <v>0</v>
      </c>
      <c r="S124" s="78">
        <f t="shared" si="1845"/>
        <v>0</v>
      </c>
      <c r="T124" s="78">
        <f t="shared" si="1845"/>
        <v>0</v>
      </c>
      <c r="U124" s="78">
        <f t="shared" si="1845"/>
        <v>0</v>
      </c>
      <c r="V124" s="78">
        <f t="shared" si="1845"/>
        <v>0</v>
      </c>
      <c r="W124" s="78">
        <f t="shared" si="1845"/>
        <v>0</v>
      </c>
      <c r="X124" s="78">
        <f t="shared" si="1845"/>
        <v>0</v>
      </c>
      <c r="Y124" s="78">
        <f t="shared" si="1845"/>
        <v>0</v>
      </c>
      <c r="Z124" s="78">
        <f t="shared" si="1845"/>
        <v>0</v>
      </c>
      <c r="AA124" s="78">
        <f t="shared" si="1845"/>
        <v>0</v>
      </c>
      <c r="AB124" s="78">
        <f t="shared" si="1845"/>
        <v>0</v>
      </c>
      <c r="AC124" s="78">
        <f t="shared" si="1845"/>
        <v>0</v>
      </c>
      <c r="AD124" s="78">
        <f t="shared" si="1845"/>
        <v>0</v>
      </c>
      <c r="AE124" s="78">
        <f t="shared" si="1845"/>
        <v>0</v>
      </c>
      <c r="AF124" s="78">
        <f t="shared" si="1845"/>
        <v>0</v>
      </c>
      <c r="AG124" s="78">
        <f t="shared" si="1845"/>
        <v>0</v>
      </c>
      <c r="AH124" s="78">
        <f t="shared" si="1845"/>
        <v>0</v>
      </c>
      <c r="AI124" s="78">
        <f t="shared" si="1845"/>
        <v>0</v>
      </c>
      <c r="AJ124" s="78">
        <f t="shared" si="1845"/>
        <v>0</v>
      </c>
      <c r="AK124" s="78">
        <f t="shared" si="1845"/>
        <v>0</v>
      </c>
      <c r="AL124" s="78">
        <f t="shared" si="1845"/>
        <v>0</v>
      </c>
      <c r="AM124" s="78">
        <f t="shared" si="1845"/>
        <v>0</v>
      </c>
      <c r="AN124" s="78">
        <f t="shared" si="1845"/>
        <v>0</v>
      </c>
      <c r="AO124" s="78">
        <f t="shared" si="1845"/>
        <v>0</v>
      </c>
      <c r="AP124" s="78">
        <f t="shared" si="1845"/>
        <v>0</v>
      </c>
      <c r="AQ124" s="78">
        <f t="shared" si="1845"/>
        <v>0</v>
      </c>
      <c r="AR124" s="78">
        <f t="shared" ref="AR124:BW124" si="1846">AR36</f>
        <v>0</v>
      </c>
      <c r="AS124" s="78">
        <f t="shared" si="1846"/>
        <v>0</v>
      </c>
      <c r="AT124" s="78">
        <f t="shared" si="1846"/>
        <v>0</v>
      </c>
      <c r="AU124" s="78">
        <f t="shared" si="1846"/>
        <v>0</v>
      </c>
      <c r="AV124" s="78">
        <f t="shared" si="1846"/>
        <v>0</v>
      </c>
      <c r="AW124" s="78">
        <f t="shared" si="1846"/>
        <v>0</v>
      </c>
      <c r="AX124" s="78">
        <f t="shared" si="1846"/>
        <v>0</v>
      </c>
      <c r="AY124" s="78">
        <f t="shared" si="1846"/>
        <v>0</v>
      </c>
      <c r="AZ124" s="78">
        <f t="shared" si="1846"/>
        <v>0</v>
      </c>
      <c r="BA124" s="78">
        <f t="shared" si="1846"/>
        <v>0</v>
      </c>
      <c r="BB124" s="78">
        <f t="shared" si="1846"/>
        <v>0</v>
      </c>
      <c r="BC124" s="78">
        <f t="shared" si="1846"/>
        <v>0</v>
      </c>
      <c r="BD124" s="78">
        <f t="shared" si="1846"/>
        <v>0</v>
      </c>
      <c r="BE124" s="78">
        <f t="shared" si="1846"/>
        <v>0</v>
      </c>
      <c r="BF124" s="78">
        <f t="shared" si="1846"/>
        <v>0</v>
      </c>
      <c r="BG124" s="78">
        <f t="shared" si="1846"/>
        <v>0</v>
      </c>
      <c r="BH124" s="78">
        <f t="shared" si="1846"/>
        <v>0</v>
      </c>
      <c r="BI124" s="78">
        <f t="shared" si="1846"/>
        <v>0</v>
      </c>
      <c r="BJ124" s="78">
        <f t="shared" si="1846"/>
        <v>0</v>
      </c>
      <c r="BK124" s="78">
        <f t="shared" si="1846"/>
        <v>0</v>
      </c>
      <c r="BL124" s="78">
        <f t="shared" si="1846"/>
        <v>0</v>
      </c>
      <c r="BM124" s="78">
        <f t="shared" si="1846"/>
        <v>0</v>
      </c>
      <c r="BN124" s="78">
        <f t="shared" si="1846"/>
        <v>0</v>
      </c>
      <c r="BO124" s="78">
        <f t="shared" si="1846"/>
        <v>0</v>
      </c>
      <c r="BP124" s="78">
        <f t="shared" si="1846"/>
        <v>0</v>
      </c>
      <c r="BQ124" s="78">
        <f t="shared" si="1846"/>
        <v>0</v>
      </c>
      <c r="BR124" s="78">
        <f t="shared" si="1846"/>
        <v>0</v>
      </c>
      <c r="BS124" s="78">
        <f t="shared" si="1846"/>
        <v>0</v>
      </c>
      <c r="BT124" s="78">
        <f t="shared" si="1846"/>
        <v>0</v>
      </c>
      <c r="BU124" s="78">
        <f t="shared" si="1846"/>
        <v>0</v>
      </c>
      <c r="BV124" s="78">
        <f t="shared" si="1846"/>
        <v>0</v>
      </c>
      <c r="BW124" s="78">
        <f t="shared" si="1846"/>
        <v>0</v>
      </c>
      <c r="BX124" s="78">
        <f t="shared" ref="BX124:CN124" si="1847">BX36</f>
        <v>0</v>
      </c>
      <c r="BY124" s="78">
        <f t="shared" si="1847"/>
        <v>0</v>
      </c>
      <c r="BZ124" s="78">
        <f t="shared" si="1847"/>
        <v>0</v>
      </c>
      <c r="CA124" s="78">
        <f t="shared" si="1847"/>
        <v>0</v>
      </c>
      <c r="CB124" s="78">
        <f t="shared" si="1847"/>
        <v>0</v>
      </c>
      <c r="CC124" s="78">
        <f t="shared" si="1847"/>
        <v>0</v>
      </c>
      <c r="CD124" s="78">
        <f t="shared" si="1847"/>
        <v>0</v>
      </c>
      <c r="CE124" s="78">
        <f t="shared" si="1847"/>
        <v>0</v>
      </c>
      <c r="CF124" s="78">
        <f t="shared" si="1847"/>
        <v>0</v>
      </c>
      <c r="CG124" s="78">
        <f t="shared" si="1847"/>
        <v>0</v>
      </c>
      <c r="CH124" s="78">
        <f t="shared" si="1847"/>
        <v>0</v>
      </c>
      <c r="CI124" s="78">
        <f t="shared" si="1847"/>
        <v>0</v>
      </c>
      <c r="CJ124" s="78">
        <f t="shared" si="1847"/>
        <v>0</v>
      </c>
      <c r="CK124" s="78">
        <f t="shared" si="1847"/>
        <v>0</v>
      </c>
      <c r="CL124" s="78">
        <f t="shared" si="1847"/>
        <v>0</v>
      </c>
      <c r="CM124" s="78">
        <f t="shared" si="1847"/>
        <v>0</v>
      </c>
      <c r="CN124" s="78">
        <f t="shared" si="1847"/>
        <v>0</v>
      </c>
    </row>
    <row r="125" spans="1:92" customFormat="1" ht="12.75" customHeight="1" x14ac:dyDescent="0.3">
      <c r="A125" s="1"/>
      <c r="B125" s="1"/>
      <c r="C125" s="7"/>
      <c r="D125" s="15" t="s">
        <v>183</v>
      </c>
      <c r="E125" s="1"/>
      <c r="F125" s="1"/>
      <c r="G125" s="1"/>
      <c r="H125" s="16" t="s">
        <v>1</v>
      </c>
      <c r="J125" s="58">
        <f>SUM(L125:CN125)</f>
        <v>-42535013.505508944</v>
      </c>
      <c r="K125" s="1"/>
      <c r="L125" s="15">
        <f t="shared" ref="L125:AQ125" si="1848">L37</f>
        <v>0</v>
      </c>
      <c r="M125" s="15">
        <f t="shared" si="1848"/>
        <v>-6198727.8240000028</v>
      </c>
      <c r="N125" s="15">
        <f t="shared" si="1848"/>
        <v>-5578855.0416000038</v>
      </c>
      <c r="O125" s="15">
        <f t="shared" si="1848"/>
        <v>-5020969.5374400029</v>
      </c>
      <c r="P125" s="15">
        <f t="shared" si="1848"/>
        <v>-4518872.5836960031</v>
      </c>
      <c r="Q125" s="15">
        <f t="shared" si="1848"/>
        <v>-4066985.3253264031</v>
      </c>
      <c r="R125" s="15">
        <f t="shared" si="1848"/>
        <v>-3660286.7927937629</v>
      </c>
      <c r="S125" s="15">
        <f t="shared" si="1848"/>
        <v>-3294258.1135143861</v>
      </c>
      <c r="T125" s="15">
        <f t="shared" si="1848"/>
        <v>-2964832.3021629481</v>
      </c>
      <c r="U125" s="15">
        <f t="shared" si="1848"/>
        <v>-2668349.071946654</v>
      </c>
      <c r="V125" s="15">
        <f t="shared" si="1848"/>
        <v>-2401514.1647519888</v>
      </c>
      <c r="W125" s="15">
        <f t="shared" si="1848"/>
        <v>-2161362.7482767906</v>
      </c>
      <c r="X125" s="15">
        <f t="shared" si="1848"/>
        <v>0</v>
      </c>
      <c r="Y125" s="15">
        <f t="shared" si="1848"/>
        <v>0</v>
      </c>
      <c r="Z125" s="15">
        <f t="shared" si="1848"/>
        <v>0</v>
      </c>
      <c r="AA125" s="15">
        <f t="shared" si="1848"/>
        <v>0</v>
      </c>
      <c r="AB125" s="15">
        <f t="shared" si="1848"/>
        <v>0</v>
      </c>
      <c r="AC125" s="15">
        <f t="shared" si="1848"/>
        <v>0</v>
      </c>
      <c r="AD125" s="15">
        <f t="shared" si="1848"/>
        <v>0</v>
      </c>
      <c r="AE125" s="15">
        <f t="shared" si="1848"/>
        <v>0</v>
      </c>
      <c r="AF125" s="15">
        <f t="shared" si="1848"/>
        <v>0</v>
      </c>
      <c r="AG125" s="15">
        <f t="shared" si="1848"/>
        <v>0</v>
      </c>
      <c r="AH125" s="15">
        <f t="shared" si="1848"/>
        <v>0</v>
      </c>
      <c r="AI125" s="15">
        <f t="shared" si="1848"/>
        <v>0</v>
      </c>
      <c r="AJ125" s="15">
        <f t="shared" si="1848"/>
        <v>0</v>
      </c>
      <c r="AK125" s="15">
        <f t="shared" si="1848"/>
        <v>0</v>
      </c>
      <c r="AL125" s="15">
        <f t="shared" si="1848"/>
        <v>0</v>
      </c>
      <c r="AM125" s="15">
        <f t="shared" si="1848"/>
        <v>0</v>
      </c>
      <c r="AN125" s="15">
        <f t="shared" si="1848"/>
        <v>0</v>
      </c>
      <c r="AO125" s="15">
        <f t="shared" si="1848"/>
        <v>0</v>
      </c>
      <c r="AP125" s="15">
        <f t="shared" si="1848"/>
        <v>0</v>
      </c>
      <c r="AQ125" s="15">
        <f t="shared" si="1848"/>
        <v>0</v>
      </c>
      <c r="AR125" s="15">
        <f t="shared" ref="AR125:BW125" si="1849">AR37</f>
        <v>0</v>
      </c>
      <c r="AS125" s="15">
        <f t="shared" si="1849"/>
        <v>0</v>
      </c>
      <c r="AT125" s="15">
        <f t="shared" si="1849"/>
        <v>0</v>
      </c>
      <c r="AU125" s="15">
        <f t="shared" si="1849"/>
        <v>0</v>
      </c>
      <c r="AV125" s="15">
        <f t="shared" si="1849"/>
        <v>0</v>
      </c>
      <c r="AW125" s="15">
        <f t="shared" si="1849"/>
        <v>0</v>
      </c>
      <c r="AX125" s="15">
        <f t="shared" si="1849"/>
        <v>0</v>
      </c>
      <c r="AY125" s="15">
        <f t="shared" si="1849"/>
        <v>0</v>
      </c>
      <c r="AZ125" s="15">
        <f t="shared" si="1849"/>
        <v>0</v>
      </c>
      <c r="BA125" s="15">
        <f t="shared" si="1849"/>
        <v>0</v>
      </c>
      <c r="BB125" s="15">
        <f t="shared" si="1849"/>
        <v>0</v>
      </c>
      <c r="BC125" s="15">
        <f t="shared" si="1849"/>
        <v>0</v>
      </c>
      <c r="BD125" s="15">
        <f t="shared" si="1849"/>
        <v>0</v>
      </c>
      <c r="BE125" s="15">
        <f t="shared" si="1849"/>
        <v>0</v>
      </c>
      <c r="BF125" s="15">
        <f t="shared" si="1849"/>
        <v>0</v>
      </c>
      <c r="BG125" s="15">
        <f t="shared" si="1849"/>
        <v>0</v>
      </c>
      <c r="BH125" s="15">
        <f t="shared" si="1849"/>
        <v>0</v>
      </c>
      <c r="BI125" s="15">
        <f t="shared" si="1849"/>
        <v>0</v>
      </c>
      <c r="BJ125" s="15">
        <f t="shared" si="1849"/>
        <v>0</v>
      </c>
      <c r="BK125" s="15">
        <f t="shared" si="1849"/>
        <v>0</v>
      </c>
      <c r="BL125" s="15">
        <f t="shared" si="1849"/>
        <v>0</v>
      </c>
      <c r="BM125" s="15">
        <f t="shared" si="1849"/>
        <v>0</v>
      </c>
      <c r="BN125" s="15">
        <f t="shared" si="1849"/>
        <v>0</v>
      </c>
      <c r="BO125" s="15">
        <f t="shared" si="1849"/>
        <v>0</v>
      </c>
      <c r="BP125" s="15">
        <f t="shared" si="1849"/>
        <v>0</v>
      </c>
      <c r="BQ125" s="15">
        <f t="shared" si="1849"/>
        <v>0</v>
      </c>
      <c r="BR125" s="15">
        <f t="shared" si="1849"/>
        <v>0</v>
      </c>
      <c r="BS125" s="15">
        <f t="shared" si="1849"/>
        <v>0</v>
      </c>
      <c r="BT125" s="15">
        <f t="shared" si="1849"/>
        <v>0</v>
      </c>
      <c r="BU125" s="15">
        <f t="shared" si="1849"/>
        <v>0</v>
      </c>
      <c r="BV125" s="15">
        <f t="shared" si="1849"/>
        <v>0</v>
      </c>
      <c r="BW125" s="15">
        <f t="shared" si="1849"/>
        <v>0</v>
      </c>
      <c r="BX125" s="15">
        <f t="shared" ref="BX125:CN125" si="1850">BX37</f>
        <v>0</v>
      </c>
      <c r="BY125" s="15">
        <f t="shared" si="1850"/>
        <v>0</v>
      </c>
      <c r="BZ125" s="15">
        <f t="shared" si="1850"/>
        <v>0</v>
      </c>
      <c r="CA125" s="15">
        <f t="shared" si="1850"/>
        <v>0</v>
      </c>
      <c r="CB125" s="15">
        <f t="shared" si="1850"/>
        <v>0</v>
      </c>
      <c r="CC125" s="15">
        <f t="shared" si="1850"/>
        <v>0</v>
      </c>
      <c r="CD125" s="15">
        <f t="shared" si="1850"/>
        <v>0</v>
      </c>
      <c r="CE125" s="15">
        <f t="shared" si="1850"/>
        <v>0</v>
      </c>
      <c r="CF125" s="15">
        <f t="shared" si="1850"/>
        <v>0</v>
      </c>
      <c r="CG125" s="15">
        <f t="shared" si="1850"/>
        <v>0</v>
      </c>
      <c r="CH125" s="15">
        <f t="shared" si="1850"/>
        <v>0</v>
      </c>
      <c r="CI125" s="15">
        <f t="shared" si="1850"/>
        <v>0</v>
      </c>
      <c r="CJ125" s="15">
        <f t="shared" si="1850"/>
        <v>0</v>
      </c>
      <c r="CK125" s="15">
        <f t="shared" si="1850"/>
        <v>0</v>
      </c>
      <c r="CL125" s="15">
        <f t="shared" si="1850"/>
        <v>0</v>
      </c>
      <c r="CM125" s="15">
        <f t="shared" si="1850"/>
        <v>0</v>
      </c>
      <c r="CN125" s="15">
        <f t="shared" si="1850"/>
        <v>0</v>
      </c>
    </row>
    <row r="126" spans="1:92" customFormat="1" ht="12.75" customHeight="1" x14ac:dyDescent="0.3">
      <c r="A126" s="1"/>
      <c r="B126" s="1"/>
      <c r="C126" s="7"/>
      <c r="D126" s="50" t="s">
        <v>184</v>
      </c>
      <c r="E126" s="1"/>
      <c r="F126" s="1"/>
      <c r="G126" s="1"/>
      <c r="H126" s="16" t="s">
        <v>1</v>
      </c>
      <c r="J126" s="50">
        <f t="shared" ref="J126" si="1851">SUM(J123:J125)</f>
        <v>0</v>
      </c>
      <c r="K126" s="1"/>
      <c r="L126" s="50">
        <f t="shared" ref="L126" si="1852">SUM(L123:L125)</f>
        <v>42535013.505508944</v>
      </c>
      <c r="M126" s="50">
        <f t="shared" ref="M126" si="1853">SUM(M123:M125)</f>
        <v>36336285.681508943</v>
      </c>
      <c r="N126" s="50">
        <f t="shared" ref="N126" si="1854">SUM(N123:N125)</f>
        <v>30757430.63990894</v>
      </c>
      <c r="O126" s="50">
        <f t="shared" ref="O126" si="1855">SUM(O123:O125)</f>
        <v>25736461.102468938</v>
      </c>
      <c r="P126" s="50">
        <f t="shared" ref="P126" si="1856">SUM(P123:P125)</f>
        <v>21217588.518772934</v>
      </c>
      <c r="Q126" s="50">
        <f t="shared" ref="Q126" si="1857">SUM(Q123:Q125)</f>
        <v>17150603.193446532</v>
      </c>
      <c r="R126" s="50">
        <f t="shared" ref="R126" si="1858">SUM(R123:R125)</f>
        <v>13490316.40065277</v>
      </c>
      <c r="S126" s="50">
        <f t="shared" ref="S126" si="1859">SUM(S123:S125)</f>
        <v>10196058.287138384</v>
      </c>
      <c r="T126" s="50">
        <f t="shared" ref="T126" si="1860">SUM(T123:T125)</f>
        <v>7231225.9849754358</v>
      </c>
      <c r="U126" s="50">
        <f t="shared" ref="U126" si="1861">SUM(U123:U125)</f>
        <v>4562876.9130287822</v>
      </c>
      <c r="V126" s="50">
        <f t="shared" ref="V126" si="1862">SUM(V123:V125)</f>
        <v>2161362.7482767934</v>
      </c>
      <c r="W126" s="50">
        <f t="shared" ref="W126" si="1863">SUM(W123:W125)</f>
        <v>0</v>
      </c>
      <c r="X126" s="50">
        <f t="shared" ref="X126" si="1864">SUM(X123:X125)</f>
        <v>0</v>
      </c>
      <c r="Y126" s="50">
        <f t="shared" ref="Y126" si="1865">SUM(Y123:Y125)</f>
        <v>0</v>
      </c>
      <c r="Z126" s="50">
        <f t="shared" ref="Z126" si="1866">SUM(Z123:Z125)</f>
        <v>0</v>
      </c>
      <c r="AA126" s="50">
        <f t="shared" ref="AA126" si="1867">SUM(AA123:AA125)</f>
        <v>0</v>
      </c>
      <c r="AB126" s="50">
        <f t="shared" ref="AB126" si="1868">SUM(AB123:AB125)</f>
        <v>0</v>
      </c>
      <c r="AC126" s="50">
        <f t="shared" ref="AC126" si="1869">SUM(AC123:AC125)</f>
        <v>0</v>
      </c>
      <c r="AD126" s="50">
        <f t="shared" ref="AD126" si="1870">SUM(AD123:AD125)</f>
        <v>0</v>
      </c>
      <c r="AE126" s="50">
        <f t="shared" ref="AE126" si="1871">SUM(AE123:AE125)</f>
        <v>0</v>
      </c>
      <c r="AF126" s="50">
        <f t="shared" ref="AF126" si="1872">SUM(AF123:AF125)</f>
        <v>0</v>
      </c>
      <c r="AG126" s="50">
        <f t="shared" ref="AG126" si="1873">SUM(AG123:AG125)</f>
        <v>0</v>
      </c>
      <c r="AH126" s="50">
        <f t="shared" ref="AH126" si="1874">SUM(AH123:AH125)</f>
        <v>0</v>
      </c>
      <c r="AI126" s="50">
        <f t="shared" ref="AI126" si="1875">SUM(AI123:AI125)</f>
        <v>0</v>
      </c>
      <c r="AJ126" s="50">
        <f t="shared" ref="AJ126" si="1876">SUM(AJ123:AJ125)</f>
        <v>0</v>
      </c>
      <c r="AK126" s="50">
        <f t="shared" ref="AK126" si="1877">SUM(AK123:AK125)</f>
        <v>0</v>
      </c>
      <c r="AL126" s="50">
        <f t="shared" ref="AL126" si="1878">SUM(AL123:AL125)</f>
        <v>0</v>
      </c>
      <c r="AM126" s="50">
        <f t="shared" ref="AM126" si="1879">SUM(AM123:AM125)</f>
        <v>0</v>
      </c>
      <c r="AN126" s="50">
        <f t="shared" ref="AN126" si="1880">SUM(AN123:AN125)</f>
        <v>0</v>
      </c>
      <c r="AO126" s="50">
        <f t="shared" ref="AO126" si="1881">SUM(AO123:AO125)</f>
        <v>0</v>
      </c>
      <c r="AP126" s="50">
        <f t="shared" ref="AP126" si="1882">SUM(AP123:AP125)</f>
        <v>0</v>
      </c>
      <c r="AQ126" s="50">
        <f t="shared" ref="AQ126" si="1883">SUM(AQ123:AQ125)</f>
        <v>0</v>
      </c>
      <c r="AR126" s="50">
        <f t="shared" ref="AR126" si="1884">SUM(AR123:AR125)</f>
        <v>0</v>
      </c>
      <c r="AS126" s="50">
        <f t="shared" ref="AS126" si="1885">SUM(AS123:AS125)</f>
        <v>0</v>
      </c>
      <c r="AT126" s="50">
        <f t="shared" ref="AT126" si="1886">SUM(AT123:AT125)</f>
        <v>0</v>
      </c>
      <c r="AU126" s="50">
        <f t="shared" ref="AU126" si="1887">SUM(AU123:AU125)</f>
        <v>0</v>
      </c>
      <c r="AV126" s="50">
        <f t="shared" ref="AV126" si="1888">SUM(AV123:AV125)</f>
        <v>0</v>
      </c>
      <c r="AW126" s="50">
        <f t="shared" ref="AW126" si="1889">SUM(AW123:AW125)</f>
        <v>0</v>
      </c>
      <c r="AX126" s="50">
        <f t="shared" ref="AX126" si="1890">SUM(AX123:AX125)</f>
        <v>0</v>
      </c>
      <c r="AY126" s="50">
        <f t="shared" ref="AY126" si="1891">SUM(AY123:AY125)</f>
        <v>0</v>
      </c>
      <c r="AZ126" s="50">
        <f t="shared" ref="AZ126" si="1892">SUM(AZ123:AZ125)</f>
        <v>0</v>
      </c>
      <c r="BA126" s="50">
        <f t="shared" ref="BA126" si="1893">SUM(BA123:BA125)</f>
        <v>0</v>
      </c>
      <c r="BB126" s="50">
        <f t="shared" ref="BB126" si="1894">SUM(BB123:BB125)</f>
        <v>0</v>
      </c>
      <c r="BC126" s="50">
        <f t="shared" ref="BC126" si="1895">SUM(BC123:BC125)</f>
        <v>0</v>
      </c>
      <c r="BD126" s="50">
        <f t="shared" ref="BD126" si="1896">SUM(BD123:BD125)</f>
        <v>0</v>
      </c>
      <c r="BE126" s="50">
        <f t="shared" ref="BE126" si="1897">SUM(BE123:BE125)</f>
        <v>0</v>
      </c>
      <c r="BF126" s="50">
        <f t="shared" ref="BF126" si="1898">SUM(BF123:BF125)</f>
        <v>0</v>
      </c>
      <c r="BG126" s="50">
        <f t="shared" ref="BG126" si="1899">SUM(BG123:BG125)</f>
        <v>0</v>
      </c>
      <c r="BH126" s="50">
        <f t="shared" ref="BH126" si="1900">SUM(BH123:BH125)</f>
        <v>0</v>
      </c>
      <c r="BI126" s="50">
        <f t="shared" ref="BI126" si="1901">SUM(BI123:BI125)</f>
        <v>0</v>
      </c>
      <c r="BJ126" s="50">
        <f t="shared" ref="BJ126" si="1902">SUM(BJ123:BJ125)</f>
        <v>0</v>
      </c>
      <c r="BK126" s="50">
        <f t="shared" ref="BK126" si="1903">SUM(BK123:BK125)</f>
        <v>0</v>
      </c>
      <c r="BL126" s="50">
        <f t="shared" ref="BL126" si="1904">SUM(BL123:BL125)</f>
        <v>0</v>
      </c>
      <c r="BM126" s="50">
        <f t="shared" ref="BM126" si="1905">SUM(BM123:BM125)</f>
        <v>0</v>
      </c>
      <c r="BN126" s="50">
        <f t="shared" ref="BN126" si="1906">SUM(BN123:BN125)</f>
        <v>0</v>
      </c>
      <c r="BO126" s="50">
        <f t="shared" ref="BO126" si="1907">SUM(BO123:BO125)</f>
        <v>0</v>
      </c>
      <c r="BP126" s="50">
        <f t="shared" ref="BP126" si="1908">SUM(BP123:BP125)</f>
        <v>0</v>
      </c>
      <c r="BQ126" s="50">
        <f t="shared" ref="BQ126" si="1909">SUM(BQ123:BQ125)</f>
        <v>0</v>
      </c>
      <c r="BR126" s="50">
        <f t="shared" ref="BR126" si="1910">SUM(BR123:BR125)</f>
        <v>0</v>
      </c>
      <c r="BS126" s="50">
        <f t="shared" ref="BS126" si="1911">SUM(BS123:BS125)</f>
        <v>0</v>
      </c>
      <c r="BT126" s="50">
        <f t="shared" ref="BT126" si="1912">SUM(BT123:BT125)</f>
        <v>0</v>
      </c>
      <c r="BU126" s="50">
        <f t="shared" ref="BU126" si="1913">SUM(BU123:BU125)</f>
        <v>0</v>
      </c>
      <c r="BV126" s="50">
        <f t="shared" ref="BV126" si="1914">SUM(BV123:BV125)</f>
        <v>0</v>
      </c>
      <c r="BW126" s="50">
        <f t="shared" ref="BW126" si="1915">SUM(BW123:BW125)</f>
        <v>0</v>
      </c>
      <c r="BX126" s="50">
        <f t="shared" ref="BX126" si="1916">SUM(BX123:BX125)</f>
        <v>0</v>
      </c>
      <c r="BY126" s="50">
        <f t="shared" ref="BY126" si="1917">SUM(BY123:BY125)</f>
        <v>0</v>
      </c>
      <c r="BZ126" s="50">
        <f t="shared" ref="BZ126" si="1918">SUM(BZ123:BZ125)</f>
        <v>0</v>
      </c>
      <c r="CA126" s="50">
        <f t="shared" ref="CA126" si="1919">SUM(CA123:CA125)</f>
        <v>0</v>
      </c>
      <c r="CB126" s="50">
        <f t="shared" ref="CB126" si="1920">SUM(CB123:CB125)</f>
        <v>0</v>
      </c>
      <c r="CC126" s="50">
        <f t="shared" ref="CC126" si="1921">SUM(CC123:CC125)</f>
        <v>0</v>
      </c>
      <c r="CD126" s="50">
        <f t="shared" ref="CD126" si="1922">SUM(CD123:CD125)</f>
        <v>0</v>
      </c>
      <c r="CE126" s="50">
        <f t="shared" ref="CE126" si="1923">SUM(CE123:CE125)</f>
        <v>0</v>
      </c>
      <c r="CF126" s="50">
        <f t="shared" ref="CF126" si="1924">SUM(CF123:CF125)</f>
        <v>0</v>
      </c>
      <c r="CG126" s="50">
        <f t="shared" ref="CG126" si="1925">SUM(CG123:CG125)</f>
        <v>0</v>
      </c>
      <c r="CH126" s="50">
        <f t="shared" ref="CH126" si="1926">SUM(CH123:CH125)</f>
        <v>0</v>
      </c>
      <c r="CI126" s="50">
        <f t="shared" ref="CI126" si="1927">SUM(CI123:CI125)</f>
        <v>0</v>
      </c>
      <c r="CJ126" s="50">
        <f t="shared" ref="CJ126" si="1928">SUM(CJ123:CJ125)</f>
        <v>0</v>
      </c>
      <c r="CK126" s="50">
        <f t="shared" ref="CK126" si="1929">SUM(CK123:CK125)</f>
        <v>0</v>
      </c>
      <c r="CL126" s="50">
        <f t="shared" ref="CL126" si="1930">SUM(CL123:CL125)</f>
        <v>0</v>
      </c>
      <c r="CM126" s="50">
        <f t="shared" ref="CM126" si="1931">SUM(CM123:CM125)</f>
        <v>0</v>
      </c>
      <c r="CN126" s="50">
        <f t="shared" ref="CN126" si="1932">SUM(CN123:CN125)</f>
        <v>0</v>
      </c>
    </row>
    <row r="127" spans="1:92" customFormat="1" ht="12.75" customHeight="1" x14ac:dyDescent="0.3">
      <c r="A127" s="1"/>
      <c r="B127" s="1"/>
      <c r="C127" s="7"/>
      <c r="D127" s="15"/>
      <c r="E127" s="1"/>
      <c r="F127" s="1"/>
      <c r="G127" s="1"/>
      <c r="H127" s="1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spans="1:92" customFormat="1" ht="12.75" customHeight="1" x14ac:dyDescent="0.3">
      <c r="A128" s="1"/>
      <c r="B128" s="1"/>
      <c r="C128" s="17" t="s">
        <v>186</v>
      </c>
      <c r="D128" s="15"/>
      <c r="E128" s="1"/>
      <c r="F128" s="1"/>
      <c r="G128" s="1"/>
      <c r="H128" s="1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customFormat="1" ht="12.75" customHeight="1" x14ac:dyDescent="0.3">
      <c r="A129" s="1"/>
      <c r="B129" s="1"/>
      <c r="C129" s="7"/>
      <c r="D129" s="15" t="s">
        <v>181</v>
      </c>
      <c r="E129" s="1"/>
      <c r="F129" s="1"/>
      <c r="G129" s="1"/>
      <c r="H129" s="16" t="s">
        <v>1</v>
      </c>
      <c r="J129" s="15"/>
      <c r="K129" s="1"/>
      <c r="L129" s="15">
        <f t="shared" ref="L129:M129" si="1933">K132</f>
        <v>0</v>
      </c>
      <c r="M129" s="15">
        <f t="shared" si="1933"/>
        <v>0</v>
      </c>
      <c r="N129" s="15">
        <f t="shared" ref="N129:BY129" ca="1" si="1934">M132</f>
        <v>1000000</v>
      </c>
      <c r="O129" s="15">
        <f t="shared" ca="1" si="1934"/>
        <v>3870090.2658089679</v>
      </c>
      <c r="P129" s="15">
        <f t="shared" ca="1" si="1934"/>
        <v>5685110.3214559527</v>
      </c>
      <c r="Q129" s="15">
        <f t="shared" ca="1" si="1934"/>
        <v>7400114.2419711603</v>
      </c>
      <c r="R129" s="15">
        <f t="shared" ca="1" si="1934"/>
        <v>7982155.2838547658</v>
      </c>
      <c r="S129" s="15">
        <f t="shared" ca="1" si="1934"/>
        <v>8519917.9785837568</v>
      </c>
      <c r="T129" s="15">
        <f t="shared" ca="1" si="1934"/>
        <v>9013095.5800326448</v>
      </c>
      <c r="U129" s="15">
        <f t="shared" ca="1" si="1934"/>
        <v>9461379.2170375958</v>
      </c>
      <c r="V129" s="15">
        <f t="shared" ca="1" si="1934"/>
        <v>9864457.8786748555</v>
      </c>
      <c r="W129" s="15">
        <f t="shared" ca="1" si="1934"/>
        <v>10222018.399437172</v>
      </c>
      <c r="X129" s="15">
        <f t="shared" ca="1" si="1934"/>
        <v>10533745.444307543</v>
      </c>
      <c r="Y129" s="15">
        <f t="shared" ca="1" si="1934"/>
        <v>10799321.493729547</v>
      </c>
      <c r="Z129" s="15">
        <f t="shared" ca="1" si="1934"/>
        <v>11018426.828473562</v>
      </c>
      <c r="AA129" s="15">
        <f t="shared" ca="1" si="1934"/>
        <v>11190739.514398135</v>
      </c>
      <c r="AB129" s="15">
        <f t="shared" ca="1" si="1934"/>
        <v>11357890.707016837</v>
      </c>
      <c r="AC129" s="15">
        <f t="shared" ca="1" si="1934"/>
        <v>11477598.676314617</v>
      </c>
      <c r="AD129" s="15">
        <f t="shared" ca="1" si="1934"/>
        <v>11592073.390266567</v>
      </c>
      <c r="AE129" s="15">
        <f t="shared" ca="1" si="1934"/>
        <v>11658445.26123213</v>
      </c>
      <c r="AF129" s="15">
        <f t="shared" ca="1" si="1934"/>
        <v>11676381.048210699</v>
      </c>
      <c r="AG129" s="15">
        <f t="shared" ca="1" si="1934"/>
        <v>11708914.160893545</v>
      </c>
      <c r="AH129" s="15">
        <f t="shared" ca="1" si="1934"/>
        <v>11692337.765836127</v>
      </c>
      <c r="AI129" s="15">
        <f t="shared" ca="1" si="1934"/>
        <v>11676311.648188705</v>
      </c>
      <c r="AJ129" s="15">
        <f t="shared" ca="1" si="1934"/>
        <v>11731324.55754647</v>
      </c>
      <c r="AK129" s="15">
        <f t="shared" ca="1" si="1934"/>
        <v>11786895.395012807</v>
      </c>
      <c r="AL129" s="15">
        <f t="shared" ca="1" si="1934"/>
        <v>11868551.209339809</v>
      </c>
      <c r="AM129" s="15">
        <f t="shared" ca="1" si="1934"/>
        <v>11950772.708844284</v>
      </c>
      <c r="AN129" s="15">
        <f t="shared" ca="1" si="1934"/>
        <v>12033563.812410917</v>
      </c>
      <c r="AO129" s="15">
        <f t="shared" ca="1" si="1934"/>
        <v>12116928.466073163</v>
      </c>
      <c r="AP129" s="15">
        <f t="shared" ca="1" si="1934"/>
        <v>12200870.64320132</v>
      </c>
      <c r="AQ129" s="15">
        <f t="shared" ca="1" si="1934"/>
        <v>12285394.344691921</v>
      </c>
      <c r="AR129" s="15">
        <f t="shared" ca="1" si="1934"/>
        <v>12370503.599158419</v>
      </c>
      <c r="AS129" s="15">
        <f t="shared" ca="1" si="1934"/>
        <v>12456202.463123206</v>
      </c>
      <c r="AT129" s="15">
        <f t="shared" ca="1" si="1934"/>
        <v>12542495.02121095</v>
      </c>
      <c r="AU129" s="15">
        <f t="shared" ca="1" si="1934"/>
        <v>12629385.386343287</v>
      </c>
      <c r="AV129" s="15">
        <f t="shared" ca="1" si="1934"/>
        <v>12716877.69993485</v>
      </c>
      <c r="AW129" s="15">
        <f t="shared" ca="1" si="1934"/>
        <v>12804976.13209065</v>
      </c>
      <c r="AX129" s="15">
        <f t="shared" ca="1" si="1934"/>
        <v>12893684.881804854</v>
      </c>
      <c r="AY129" s="15">
        <f t="shared" ca="1" si="1934"/>
        <v>12983008.177160898</v>
      </c>
      <c r="AZ129" s="15">
        <f t="shared" ca="1" si="1934"/>
        <v>13072950.275533024</v>
      </c>
      <c r="BA129" s="15">
        <f t="shared" ca="1" si="1934"/>
        <v>13163515.463789187</v>
      </c>
      <c r="BB129" s="15">
        <f t="shared" ca="1" si="1934"/>
        <v>13254708.058495387</v>
      </c>
      <c r="BC129" s="15">
        <f t="shared" ca="1" si="1934"/>
        <v>13346532.406121399</v>
      </c>
      <c r="BD129" s="15">
        <f t="shared" ca="1" si="1934"/>
        <v>13438992.883247944</v>
      </c>
      <c r="BE129" s="15">
        <f t="shared" ca="1" si="1934"/>
        <v>13532093.896775281</v>
      </c>
      <c r="BF129" s="15">
        <f t="shared" ca="1" si="1934"/>
        <v>13625839.884133255</v>
      </c>
      <c r="BG129" s="15">
        <f t="shared" ca="1" si="1934"/>
        <v>13720235.313492795</v>
      </c>
      <c r="BH129" s="15">
        <f t="shared" ca="1" si="1934"/>
        <v>13815284.683978882</v>
      </c>
      <c r="BI129" s="15">
        <f t="shared" ca="1" si="1934"/>
        <v>13910992.525884984</v>
      </c>
      <c r="BJ129" s="15">
        <f t="shared" ca="1" si="1934"/>
        <v>14007363.400888981</v>
      </c>
      <c r="BK129" s="15">
        <f t="shared" ca="1" si="1934"/>
        <v>14104401.902270589</v>
      </c>
      <c r="BL129" s="15">
        <f t="shared" ca="1" si="1934"/>
        <v>14202112.655130286</v>
      </c>
      <c r="BM129" s="15">
        <f t="shared" ca="1" si="1934"/>
        <v>14300500.316609759</v>
      </c>
      <c r="BN129" s="15">
        <f t="shared" ca="1" si="1934"/>
        <v>14399569.576113867</v>
      </c>
      <c r="BO129" s="15">
        <f t="shared" ca="1" si="1934"/>
        <v>14499325.155534159</v>
      </c>
      <c r="BP129" s="15">
        <f t="shared" ca="1" si="1934"/>
        <v>14599771.809473928</v>
      </c>
      <c r="BQ129" s="15">
        <f t="shared" ca="1" si="1934"/>
        <v>14700914.325474825</v>
      </c>
      <c r="BR129" s="15">
        <f t="shared" ca="1" si="1934"/>
        <v>14802757.524245048</v>
      </c>
      <c r="BS129" s="15">
        <f t="shared" ca="1" si="1934"/>
        <v>14905306.259889111</v>
      </c>
      <c r="BT129" s="15">
        <f t="shared" ca="1" si="1934"/>
        <v>15008565.420139194</v>
      </c>
      <c r="BU129" s="15">
        <f t="shared" ca="1" si="1934"/>
        <v>15112539.926588116</v>
      </c>
      <c r="BV129" s="15">
        <f t="shared" ca="1" si="1934"/>
        <v>15217234.734923907</v>
      </c>
      <c r="BW129" s="15">
        <f t="shared" ca="1" si="1934"/>
        <v>15322654.835166002</v>
      </c>
      <c r="BX129" s="15">
        <f t="shared" ca="1" si="1934"/>
        <v>15428805.251903087</v>
      </c>
      <c r="BY129" s="15">
        <f t="shared" ca="1" si="1934"/>
        <v>15535691.044532578</v>
      </c>
      <c r="BZ129" s="15">
        <f t="shared" ref="BZ129:CN129" ca="1" si="1935">BY132</f>
        <v>15643317.307501771</v>
      </c>
      <c r="CA129" s="15">
        <f t="shared" ca="1" si="1935"/>
        <v>15751689.170550644</v>
      </c>
      <c r="CB129" s="15">
        <f t="shared" ca="1" si="1935"/>
        <v>15860811.798956368</v>
      </c>
      <c r="CC129" s="15">
        <f t="shared" ca="1" si="1935"/>
        <v>15970690.393779486</v>
      </c>
      <c r="CD129" s="15">
        <f t="shared" ca="1" si="1935"/>
        <v>16081330.192111816</v>
      </c>
      <c r="CE129" s="15">
        <f t="shared" ca="1" si="1935"/>
        <v>16192736.467326058</v>
      </c>
      <c r="CF129" s="15">
        <f t="shared" ca="1" si="1935"/>
        <v>16304914.529327141</v>
      </c>
      <c r="CG129" s="15">
        <f t="shared" ca="1" si="1935"/>
        <v>16417869.724805305</v>
      </c>
      <c r="CH129" s="15">
        <f t="shared" ca="1" si="1935"/>
        <v>16531607.43749094</v>
      </c>
      <c r="CI129" s="15">
        <f t="shared" ca="1" si="1935"/>
        <v>16646133.08841118</v>
      </c>
      <c r="CJ129" s="15">
        <f t="shared" ca="1" si="1935"/>
        <v>16761452.136148294</v>
      </c>
      <c r="CK129" s="15">
        <f t="shared" ca="1" si="1935"/>
        <v>16877570.077099849</v>
      </c>
      <c r="CL129" s="15">
        <f t="shared" ca="1" si="1935"/>
        <v>16994492.445740681</v>
      </c>
      <c r="CM129" s="15">
        <f t="shared" ca="1" si="1935"/>
        <v>17112224.814886689</v>
      </c>
      <c r="CN129" s="15">
        <f t="shared" ca="1" si="1935"/>
        <v>17230772.795960441</v>
      </c>
    </row>
    <row r="130" spans="1:92" customFormat="1" ht="12.75" customHeight="1" x14ac:dyDescent="0.3">
      <c r="A130" s="1"/>
      <c r="B130" s="1"/>
      <c r="C130" s="7"/>
      <c r="D130" s="15" t="s">
        <v>182</v>
      </c>
      <c r="E130" s="1"/>
      <c r="F130" s="1"/>
      <c r="G130" s="1"/>
      <c r="H130" s="16" t="s">
        <v>1</v>
      </c>
      <c r="J130" s="58">
        <f>SUM(L130:CN130)</f>
        <v>108643621.39060706</v>
      </c>
      <c r="K130" s="1"/>
      <c r="L130" s="78">
        <f t="shared" ref="L130:AQ130" si="1936">SUM(L44,L51,L58,L65,L72)</f>
        <v>0</v>
      </c>
      <c r="M130" s="78">
        <f t="shared" si="1936"/>
        <v>1000000</v>
      </c>
      <c r="N130" s="78">
        <f t="shared" si="1936"/>
        <v>2920090.2658089679</v>
      </c>
      <c r="O130" s="78">
        <f t="shared" si="1936"/>
        <v>2027806.6969018518</v>
      </c>
      <c r="P130" s="78">
        <f t="shared" si="1936"/>
        <v>2041854.6884708046</v>
      </c>
      <c r="Q130" s="78">
        <f t="shared" si="1936"/>
        <v>1027999.9999999998</v>
      </c>
      <c r="R130" s="78">
        <f t="shared" si="1936"/>
        <v>1035121.6528453855</v>
      </c>
      <c r="S130" s="78">
        <f t="shared" si="1936"/>
        <v>1042292.6422075516</v>
      </c>
      <c r="T130" s="78">
        <f t="shared" si="1936"/>
        <v>1049513.3098739933</v>
      </c>
      <c r="U130" s="78">
        <f t="shared" si="1936"/>
        <v>1056783.9999999995</v>
      </c>
      <c r="V130" s="78">
        <f t="shared" si="1936"/>
        <v>1064105.059125056</v>
      </c>
      <c r="W130" s="78">
        <f t="shared" si="1936"/>
        <v>1071476.8361893627</v>
      </c>
      <c r="X130" s="78">
        <f t="shared" si="1936"/>
        <v>1078899.6825504648</v>
      </c>
      <c r="Y130" s="78">
        <f t="shared" si="1936"/>
        <v>1086373.9519999993</v>
      </c>
      <c r="Z130" s="78">
        <f t="shared" si="1936"/>
        <v>1093900.0007805575</v>
      </c>
      <c r="AA130" s="78">
        <f t="shared" si="1936"/>
        <v>1101478.1876026648</v>
      </c>
      <c r="AB130" s="78">
        <f t="shared" si="1936"/>
        <v>1109108.8736618778</v>
      </c>
      <c r="AC130" s="78">
        <f t="shared" si="1936"/>
        <v>1116792.4226559992</v>
      </c>
      <c r="AD130" s="78">
        <f t="shared" si="1936"/>
        <v>1124529.2008024128</v>
      </c>
      <c r="AE130" s="78">
        <f t="shared" si="1936"/>
        <v>1132319.5768555391</v>
      </c>
      <c r="AF130" s="78">
        <f t="shared" si="1936"/>
        <v>1140163.92212441</v>
      </c>
      <c r="AG130" s="78">
        <f t="shared" si="1936"/>
        <v>1148062.6104903666</v>
      </c>
      <c r="AH130" s="78">
        <f t="shared" si="1936"/>
        <v>1156016.01842488</v>
      </c>
      <c r="AI130" s="78">
        <f t="shared" si="1936"/>
        <v>1164024.5250074938</v>
      </c>
      <c r="AJ130" s="78">
        <f t="shared" si="1936"/>
        <v>1172088.511943893</v>
      </c>
      <c r="AK130" s="78">
        <f t="shared" si="1936"/>
        <v>1180208.3635840965</v>
      </c>
      <c r="AL130" s="78">
        <f t="shared" si="1936"/>
        <v>1188384.4669407762</v>
      </c>
      <c r="AM130" s="78">
        <f t="shared" si="1936"/>
        <v>1196617.2117077033</v>
      </c>
      <c r="AN130" s="78">
        <f t="shared" si="1936"/>
        <v>1204906.9902783216</v>
      </c>
      <c r="AO130" s="78">
        <f t="shared" si="1936"/>
        <v>1213254.1977644509</v>
      </c>
      <c r="AP130" s="78">
        <f t="shared" si="1936"/>
        <v>1221659.2320151175</v>
      </c>
      <c r="AQ130" s="78">
        <f t="shared" si="1936"/>
        <v>1230122.4936355187</v>
      </c>
      <c r="AR130" s="78">
        <f t="shared" ref="AR130:BW130" si="1937">SUM(AR44,AR51,AR58,AR65,AR72)</f>
        <v>1238644.3860061143</v>
      </c>
      <c r="AS130" s="78">
        <f t="shared" si="1937"/>
        <v>1247225.3153018551</v>
      </c>
      <c r="AT130" s="78">
        <f t="shared" si="1937"/>
        <v>1255865.6905115405</v>
      </c>
      <c r="AU130" s="78">
        <f t="shared" si="1937"/>
        <v>1264565.9234573126</v>
      </c>
      <c r="AV130" s="78">
        <f t="shared" si="1937"/>
        <v>1273326.428814285</v>
      </c>
      <c r="AW130" s="78">
        <f t="shared" si="1937"/>
        <v>1282147.6241303065</v>
      </c>
      <c r="AX130" s="78">
        <f t="shared" si="1937"/>
        <v>1291029.9298458633</v>
      </c>
      <c r="AY130" s="78">
        <f t="shared" si="1937"/>
        <v>1299973.769314117</v>
      </c>
      <c r="AZ130" s="78">
        <f t="shared" si="1937"/>
        <v>1308979.5688210847</v>
      </c>
      <c r="BA130" s="78">
        <f t="shared" si="1937"/>
        <v>1318047.7576059548</v>
      </c>
      <c r="BB130" s="78">
        <f t="shared" si="1937"/>
        <v>1327178.7678815469</v>
      </c>
      <c r="BC130" s="78">
        <f t="shared" si="1937"/>
        <v>1336373.034854912</v>
      </c>
      <c r="BD130" s="78">
        <f t="shared" si="1937"/>
        <v>1345630.9967480747</v>
      </c>
      <c r="BE130" s="78">
        <f t="shared" si="1937"/>
        <v>1354953.0948189211</v>
      </c>
      <c r="BF130" s="78">
        <f t="shared" si="1937"/>
        <v>1364339.7733822297</v>
      </c>
      <c r="BG130" s="78">
        <f t="shared" si="1937"/>
        <v>1373791.479830849</v>
      </c>
      <c r="BH130" s="78">
        <f t="shared" si="1937"/>
        <v>1383308.6646570202</v>
      </c>
      <c r="BI130" s="78">
        <f t="shared" si="1937"/>
        <v>1392891.7814738504</v>
      </c>
      <c r="BJ130" s="78">
        <f t="shared" si="1937"/>
        <v>1402541.2870369318</v>
      </c>
      <c r="BK130" s="78">
        <f t="shared" si="1937"/>
        <v>1412257.6412661122</v>
      </c>
      <c r="BL130" s="78">
        <f t="shared" si="1937"/>
        <v>1422041.3072674163</v>
      </c>
      <c r="BM130" s="78">
        <f t="shared" si="1937"/>
        <v>1431892.7513551177</v>
      </c>
      <c r="BN130" s="78">
        <f t="shared" si="1937"/>
        <v>1441812.4430739654</v>
      </c>
      <c r="BO130" s="78">
        <f t="shared" si="1937"/>
        <v>1451800.8552215628</v>
      </c>
      <c r="BP130" s="78">
        <f t="shared" si="1937"/>
        <v>1461858.4638709035</v>
      </c>
      <c r="BQ130" s="78">
        <f t="shared" si="1937"/>
        <v>1471985.7483930606</v>
      </c>
      <c r="BR130" s="78">
        <f t="shared" si="1937"/>
        <v>1482183.1914800361</v>
      </c>
      <c r="BS130" s="78">
        <f t="shared" si="1937"/>
        <v>1492451.2791677664</v>
      </c>
      <c r="BT130" s="78">
        <f t="shared" si="1937"/>
        <v>1502790.5008592885</v>
      </c>
      <c r="BU130" s="78">
        <f t="shared" si="1937"/>
        <v>1513201.3493480661</v>
      </c>
      <c r="BV130" s="78">
        <f t="shared" si="1937"/>
        <v>1523684.3208414768</v>
      </c>
      <c r="BW130" s="78">
        <f t="shared" si="1937"/>
        <v>1534239.9149844635</v>
      </c>
      <c r="BX130" s="78">
        <f t="shared" ref="BX130:CN130" si="1938">SUM(BX44,BX51,BX58,BX65,BX72)</f>
        <v>1544868.6348833481</v>
      </c>
      <c r="BY130" s="78">
        <f t="shared" si="1938"/>
        <v>1555570.9871298117</v>
      </c>
      <c r="BZ130" s="78">
        <f t="shared" si="1938"/>
        <v>1566347.4818250379</v>
      </c>
      <c r="CA130" s="78">
        <f t="shared" si="1938"/>
        <v>1577198.6326040281</v>
      </c>
      <c r="CB130" s="78">
        <f t="shared" si="1938"/>
        <v>1588124.9566600816</v>
      </c>
      <c r="CC130" s="78">
        <f t="shared" si="1938"/>
        <v>1599126.9747694458</v>
      </c>
      <c r="CD130" s="78">
        <f t="shared" si="1938"/>
        <v>1610205.2113161385</v>
      </c>
      <c r="CE130" s="78">
        <f t="shared" si="1938"/>
        <v>1621360.1943169406</v>
      </c>
      <c r="CF130" s="78">
        <f t="shared" si="1938"/>
        <v>1632592.4554465637</v>
      </c>
      <c r="CG130" s="78">
        <f t="shared" si="1938"/>
        <v>1643902.53006299</v>
      </c>
      <c r="CH130" s="78">
        <f t="shared" si="1938"/>
        <v>1655290.9572329898</v>
      </c>
      <c r="CI130" s="78">
        <f t="shared" si="1938"/>
        <v>1666758.2797578145</v>
      </c>
      <c r="CJ130" s="78">
        <f t="shared" si="1938"/>
        <v>1678305.0441990667</v>
      </c>
      <c r="CK130" s="78">
        <f t="shared" si="1938"/>
        <v>1689931.8009047529</v>
      </c>
      <c r="CL130" s="78">
        <f t="shared" si="1938"/>
        <v>1701639.104035513</v>
      </c>
      <c r="CM130" s="78">
        <f t="shared" si="1938"/>
        <v>1713427.5115910326</v>
      </c>
      <c r="CN130" s="78">
        <f t="shared" si="1938"/>
        <v>0</v>
      </c>
    </row>
    <row r="131" spans="1:92" customFormat="1" ht="12.75" customHeight="1" x14ac:dyDescent="0.3">
      <c r="A131" s="1"/>
      <c r="B131" s="1"/>
      <c r="C131" s="7"/>
      <c r="D131" s="15" t="s">
        <v>183</v>
      </c>
      <c r="E131" s="1"/>
      <c r="F131" s="1"/>
      <c r="G131" s="1"/>
      <c r="H131" s="16" t="s">
        <v>1</v>
      </c>
      <c r="J131" s="58">
        <f ca="1">SUM(L131:CN131)</f>
        <v>-108643621.39060709</v>
      </c>
      <c r="K131" s="1"/>
      <c r="L131" s="15">
        <f t="shared" ref="L131:AQ131" si="1939">SUM(L45,L52,L59,L66,L73)</f>
        <v>0</v>
      </c>
      <c r="M131" s="15">
        <f t="shared" ca="1" si="1939"/>
        <v>0</v>
      </c>
      <c r="N131" s="15">
        <f t="shared" ca="1" si="1939"/>
        <v>-50000</v>
      </c>
      <c r="O131" s="15">
        <f t="shared" ca="1" si="1939"/>
        <v>-212786.64125486772</v>
      </c>
      <c r="P131" s="15">
        <f t="shared" ca="1" si="1939"/>
        <v>-326850.76795559691</v>
      </c>
      <c r="Q131" s="15">
        <f t="shared" ca="1" si="1939"/>
        <v>-445958.95811639383</v>
      </c>
      <c r="R131" s="15">
        <f t="shared" ca="1" si="1939"/>
        <v>-497358.95811639383</v>
      </c>
      <c r="S131" s="15">
        <f t="shared" ca="1" si="1939"/>
        <v>-549115.04075866309</v>
      </c>
      <c r="T131" s="15">
        <f t="shared" ca="1" si="1939"/>
        <v>-601229.67286904063</v>
      </c>
      <c r="U131" s="15">
        <f t="shared" ca="1" si="1939"/>
        <v>-653705.33836274035</v>
      </c>
      <c r="V131" s="15">
        <f t="shared" ca="1" si="1939"/>
        <v>-706544.53836274031</v>
      </c>
      <c r="W131" s="15">
        <f t="shared" ca="1" si="1939"/>
        <v>-759749.79131899308</v>
      </c>
      <c r="X131" s="15">
        <f t="shared" ca="1" si="1939"/>
        <v>-813323.6331284612</v>
      </c>
      <c r="Y131" s="15">
        <f t="shared" ca="1" si="1939"/>
        <v>-867268.61725598457</v>
      </c>
      <c r="Z131" s="15">
        <f t="shared" ca="1" si="1939"/>
        <v>-921587.31485598453</v>
      </c>
      <c r="AA131" s="15">
        <f t="shared" ca="1" si="1939"/>
        <v>-934326.9949839639</v>
      </c>
      <c r="AB131" s="15">
        <f t="shared" ca="1" si="1939"/>
        <v>-989400.90436409716</v>
      </c>
      <c r="AC131" s="15">
        <f t="shared" ca="1" si="1939"/>
        <v>-1002317.7087040493</v>
      </c>
      <c r="AD131" s="15">
        <f t="shared" ca="1" si="1939"/>
        <v>-1058157.3298368494</v>
      </c>
      <c r="AE131" s="15">
        <f t="shared" ca="1" si="1939"/>
        <v>-1114383.78987697</v>
      </c>
      <c r="AF131" s="15">
        <f t="shared" ca="1" si="1939"/>
        <v>-1107630.8094415639</v>
      </c>
      <c r="AG131" s="15">
        <f t="shared" ca="1" si="1939"/>
        <v>-1164639.0055477843</v>
      </c>
      <c r="AH131" s="15">
        <f t="shared" ca="1" si="1939"/>
        <v>-1172042.1360723027</v>
      </c>
      <c r="AI131" s="15">
        <f t="shared" ca="1" si="1939"/>
        <v>-1109011.6156497274</v>
      </c>
      <c r="AJ131" s="15">
        <f t="shared" ca="1" si="1939"/>
        <v>-1116517.6744775558</v>
      </c>
      <c r="AK131" s="15">
        <f t="shared" ca="1" si="1939"/>
        <v>-1098552.5492570952</v>
      </c>
      <c r="AL131" s="15">
        <f t="shared" ca="1" si="1939"/>
        <v>-1106162.9674363001</v>
      </c>
      <c r="AM131" s="15">
        <f t="shared" ca="1" si="1939"/>
        <v>-1113826.1081410695</v>
      </c>
      <c r="AN131" s="15">
        <f t="shared" ca="1" si="1939"/>
        <v>-1121542.3366160772</v>
      </c>
      <c r="AO131" s="15">
        <f t="shared" ca="1" si="1939"/>
        <v>-1129312.0206362936</v>
      </c>
      <c r="AP131" s="15">
        <f t="shared" ca="1" si="1939"/>
        <v>-1137135.5305245162</v>
      </c>
      <c r="AQ131" s="15">
        <f t="shared" ca="1" si="1939"/>
        <v>-1145013.2391690195</v>
      </c>
      <c r="AR131" s="15">
        <f t="shared" ref="AR131:BW131" ca="1" si="1940">SUM(AR45,AR52,AR59,AR66,AR73)</f>
        <v>-1152945.5220413276</v>
      </c>
      <c r="AS131" s="15">
        <f t="shared" ca="1" si="1940"/>
        <v>-1160932.7572141099</v>
      </c>
      <c r="AT131" s="15">
        <f t="shared" ca="1" si="1940"/>
        <v>-1168975.3253792026</v>
      </c>
      <c r="AU131" s="15">
        <f t="shared" ca="1" si="1940"/>
        <v>-1177073.6098657516</v>
      </c>
      <c r="AV131" s="15">
        <f t="shared" ca="1" si="1940"/>
        <v>-1185227.996658484</v>
      </c>
      <c r="AW131" s="15">
        <f t="shared" ca="1" si="1940"/>
        <v>-1193438.8744161041</v>
      </c>
      <c r="AX131" s="15">
        <f t="shared" ca="1" si="1940"/>
        <v>-1201706.6344898196</v>
      </c>
      <c r="AY131" s="15">
        <f t="shared" ca="1" si="1940"/>
        <v>-1210031.6709419922</v>
      </c>
      <c r="AZ131" s="15">
        <f t="shared" ca="1" si="1940"/>
        <v>-1218414.3805649211</v>
      </c>
      <c r="BA131" s="15">
        <f t="shared" ca="1" si="1940"/>
        <v>-1226855.1628997547</v>
      </c>
      <c r="BB131" s="15">
        <f t="shared" ca="1" si="1940"/>
        <v>-1235354.4202555341</v>
      </c>
      <c r="BC131" s="15">
        <f t="shared" ca="1" si="1940"/>
        <v>-1243912.5577283674</v>
      </c>
      <c r="BD131" s="15">
        <f t="shared" ca="1" si="1940"/>
        <v>-1252529.9832207381</v>
      </c>
      <c r="BE131" s="15">
        <f t="shared" ca="1" si="1940"/>
        <v>-1261207.1074609475</v>
      </c>
      <c r="BF131" s="15">
        <f t="shared" ca="1" si="1940"/>
        <v>-1269944.3440226887</v>
      </c>
      <c r="BG131" s="15">
        <f t="shared" ca="1" si="1940"/>
        <v>-1278742.1093447614</v>
      </c>
      <c r="BH131" s="15">
        <f t="shared" ca="1" si="1940"/>
        <v>-1287600.8227509188</v>
      </c>
      <c r="BI131" s="15">
        <f t="shared" ca="1" si="1940"/>
        <v>-1296520.9064698538</v>
      </c>
      <c r="BJ131" s="15">
        <f t="shared" ca="1" si="1940"/>
        <v>-1305502.7856553234</v>
      </c>
      <c r="BK131" s="15">
        <f t="shared" ca="1" si="1940"/>
        <v>-1314546.8884064145</v>
      </c>
      <c r="BL131" s="15">
        <f t="shared" ca="1" si="1940"/>
        <v>-1323653.6457879441</v>
      </c>
      <c r="BM131" s="15">
        <f t="shared" ca="1" si="1940"/>
        <v>-1332823.491851009</v>
      </c>
      <c r="BN131" s="15">
        <f t="shared" ca="1" si="1940"/>
        <v>-1342056.8636536724</v>
      </c>
      <c r="BO131" s="15">
        <f t="shared" ca="1" si="1940"/>
        <v>-1351354.2012817934</v>
      </c>
      <c r="BP131" s="15">
        <f t="shared" ca="1" si="1940"/>
        <v>-1360715.9478700061</v>
      </c>
      <c r="BQ131" s="15">
        <f t="shared" ca="1" si="1940"/>
        <v>-1370142.549622837</v>
      </c>
      <c r="BR131" s="15">
        <f t="shared" ca="1" si="1940"/>
        <v>-1379634.4558359745</v>
      </c>
      <c r="BS131" s="15">
        <f t="shared" ca="1" si="1940"/>
        <v>-1389192.1189176834</v>
      </c>
      <c r="BT131" s="15">
        <f t="shared" ca="1" si="1940"/>
        <v>-1398815.9944103658</v>
      </c>
      <c r="BU131" s="15">
        <f t="shared" ca="1" si="1940"/>
        <v>-1408506.5410122764</v>
      </c>
      <c r="BV131" s="15">
        <f t="shared" ca="1" si="1940"/>
        <v>-1418264.2205993815</v>
      </c>
      <c r="BW131" s="15">
        <f t="shared" ca="1" si="1940"/>
        <v>-1428089.498247378</v>
      </c>
      <c r="BX131" s="15">
        <f t="shared" ref="BX131:CN131" ca="1" si="1941">SUM(BX45,BX52,BX59,BX66,BX73)</f>
        <v>-1437982.8422538559</v>
      </c>
      <c r="BY131" s="15">
        <f t="shared" ca="1" si="1941"/>
        <v>-1447944.7241606195</v>
      </c>
      <c r="BZ131" s="15">
        <f t="shared" ca="1" si="1941"/>
        <v>-1457975.618776164</v>
      </c>
      <c r="CA131" s="15">
        <f t="shared" ca="1" si="1941"/>
        <v>-1468076.0041983044</v>
      </c>
      <c r="CB131" s="15">
        <f t="shared" ca="1" si="1941"/>
        <v>-1478246.3618369631</v>
      </c>
      <c r="CC131" s="15">
        <f t="shared" ca="1" si="1941"/>
        <v>-1488487.1764371162</v>
      </c>
      <c r="CD131" s="15">
        <f t="shared" ca="1" si="1941"/>
        <v>-1498798.9361018962</v>
      </c>
      <c r="CE131" s="15">
        <f t="shared" ca="1" si="1941"/>
        <v>-1509182.1323158566</v>
      </c>
      <c r="CF131" s="15">
        <f t="shared" ca="1" si="1941"/>
        <v>-1519637.2599683979</v>
      </c>
      <c r="CG131" s="15">
        <f t="shared" ca="1" si="1941"/>
        <v>-1530164.8173773554</v>
      </c>
      <c r="CH131" s="15">
        <f t="shared" ca="1" si="1941"/>
        <v>-1540765.3063127487</v>
      </c>
      <c r="CI131" s="15">
        <f t="shared" ca="1" si="1941"/>
        <v>-1551439.2320206999</v>
      </c>
      <c r="CJ131" s="15">
        <f t="shared" ca="1" si="1941"/>
        <v>-1562187.1032475126</v>
      </c>
      <c r="CK131" s="15">
        <f t="shared" ca="1" si="1941"/>
        <v>-1573009.4322639205</v>
      </c>
      <c r="CL131" s="15">
        <f t="shared" ca="1" si="1941"/>
        <v>-1583906.7348895054</v>
      </c>
      <c r="CM131" s="15">
        <f t="shared" ca="1" si="1941"/>
        <v>-1594879.5305172794</v>
      </c>
      <c r="CN131" s="15">
        <f t="shared" ca="1" si="1941"/>
        <v>-17230772.795960445</v>
      </c>
    </row>
    <row r="132" spans="1:92" ht="12.75" customHeight="1" x14ac:dyDescent="0.3">
      <c r="D132" s="50" t="s">
        <v>184</v>
      </c>
      <c r="H132" s="16" t="s">
        <v>1</v>
      </c>
      <c r="J132" s="50">
        <f t="shared" ref="J132" ca="1" si="1942">SUM(J129:J131)</f>
        <v>0</v>
      </c>
      <c r="L132" s="50">
        <f t="shared" ref="L132" si="1943">SUM(L129:L131)</f>
        <v>0</v>
      </c>
      <c r="M132" s="50">
        <f t="shared" ref="M132" ca="1" si="1944">SUM(M129:M131)</f>
        <v>1000000</v>
      </c>
      <c r="N132" s="50">
        <f t="shared" ref="N132" ca="1" si="1945">SUM(N129:N131)</f>
        <v>3870090.2658089679</v>
      </c>
      <c r="O132" s="50">
        <f t="shared" ref="O132" ca="1" si="1946">SUM(O129:O131)</f>
        <v>5685110.3214559527</v>
      </c>
      <c r="P132" s="50">
        <f t="shared" ref="P132" ca="1" si="1947">SUM(P129:P131)</f>
        <v>7400114.2419711603</v>
      </c>
      <c r="Q132" s="50">
        <f t="shared" ref="Q132" ca="1" si="1948">SUM(Q129:Q131)</f>
        <v>7982155.2838547658</v>
      </c>
      <c r="R132" s="50">
        <f t="shared" ref="R132" ca="1" si="1949">SUM(R129:R131)</f>
        <v>8519917.9785837568</v>
      </c>
      <c r="S132" s="50">
        <f t="shared" ref="S132" ca="1" si="1950">SUM(S129:S131)</f>
        <v>9013095.5800326448</v>
      </c>
      <c r="T132" s="50">
        <f t="shared" ref="T132" ca="1" si="1951">SUM(T129:T131)</f>
        <v>9461379.2170375958</v>
      </c>
      <c r="U132" s="50">
        <f t="shared" ref="U132" ca="1" si="1952">SUM(U129:U131)</f>
        <v>9864457.8786748555</v>
      </c>
      <c r="V132" s="50">
        <f t="shared" ref="V132" ca="1" si="1953">SUM(V129:V131)</f>
        <v>10222018.399437172</v>
      </c>
      <c r="W132" s="50">
        <f t="shared" ref="W132" ca="1" si="1954">SUM(W129:W131)</f>
        <v>10533745.444307543</v>
      </c>
      <c r="X132" s="50">
        <f t="shared" ref="X132" ca="1" si="1955">SUM(X129:X131)</f>
        <v>10799321.493729547</v>
      </c>
      <c r="Y132" s="50">
        <f t="shared" ref="Y132" ca="1" si="1956">SUM(Y129:Y131)</f>
        <v>11018426.828473562</v>
      </c>
      <c r="Z132" s="50">
        <f t="shared" ref="Z132" ca="1" si="1957">SUM(Z129:Z131)</f>
        <v>11190739.514398135</v>
      </c>
      <c r="AA132" s="50">
        <f t="shared" ref="AA132" ca="1" si="1958">SUM(AA129:AA131)</f>
        <v>11357890.707016837</v>
      </c>
      <c r="AB132" s="50">
        <f t="shared" ref="AB132" ca="1" si="1959">SUM(AB129:AB131)</f>
        <v>11477598.676314617</v>
      </c>
      <c r="AC132" s="50">
        <f t="shared" ref="AC132" ca="1" si="1960">SUM(AC129:AC131)</f>
        <v>11592073.390266567</v>
      </c>
      <c r="AD132" s="50">
        <f t="shared" ref="AD132" ca="1" si="1961">SUM(AD129:AD131)</f>
        <v>11658445.26123213</v>
      </c>
      <c r="AE132" s="50">
        <f t="shared" ref="AE132" ca="1" si="1962">SUM(AE129:AE131)</f>
        <v>11676381.048210699</v>
      </c>
      <c r="AF132" s="50">
        <f t="shared" ref="AF132" ca="1" si="1963">SUM(AF129:AF131)</f>
        <v>11708914.160893545</v>
      </c>
      <c r="AG132" s="50">
        <f t="shared" ref="AG132" ca="1" si="1964">SUM(AG129:AG131)</f>
        <v>11692337.765836127</v>
      </c>
      <c r="AH132" s="50">
        <f t="shared" ref="AH132" ca="1" si="1965">SUM(AH129:AH131)</f>
        <v>11676311.648188705</v>
      </c>
      <c r="AI132" s="50">
        <f t="shared" ref="AI132" ca="1" si="1966">SUM(AI129:AI131)</f>
        <v>11731324.55754647</v>
      </c>
      <c r="AJ132" s="50">
        <f t="shared" ref="AJ132" ca="1" si="1967">SUM(AJ129:AJ131)</f>
        <v>11786895.395012807</v>
      </c>
      <c r="AK132" s="50">
        <f t="shared" ref="AK132" ca="1" si="1968">SUM(AK129:AK131)</f>
        <v>11868551.209339809</v>
      </c>
      <c r="AL132" s="50">
        <f t="shared" ref="AL132" ca="1" si="1969">SUM(AL129:AL131)</f>
        <v>11950772.708844284</v>
      </c>
      <c r="AM132" s="50">
        <f t="shared" ref="AM132" ca="1" si="1970">SUM(AM129:AM131)</f>
        <v>12033563.812410917</v>
      </c>
      <c r="AN132" s="50">
        <f t="shared" ref="AN132" ca="1" si="1971">SUM(AN129:AN131)</f>
        <v>12116928.466073163</v>
      </c>
      <c r="AO132" s="50">
        <f t="shared" ref="AO132" ca="1" si="1972">SUM(AO129:AO131)</f>
        <v>12200870.64320132</v>
      </c>
      <c r="AP132" s="50">
        <f t="shared" ref="AP132" ca="1" si="1973">SUM(AP129:AP131)</f>
        <v>12285394.344691921</v>
      </c>
      <c r="AQ132" s="50">
        <f t="shared" ref="AQ132" ca="1" si="1974">SUM(AQ129:AQ131)</f>
        <v>12370503.599158419</v>
      </c>
      <c r="AR132" s="50">
        <f t="shared" ref="AR132" ca="1" si="1975">SUM(AR129:AR131)</f>
        <v>12456202.463123206</v>
      </c>
      <c r="AS132" s="50">
        <f t="shared" ref="AS132" ca="1" si="1976">SUM(AS129:AS131)</f>
        <v>12542495.02121095</v>
      </c>
      <c r="AT132" s="50">
        <f t="shared" ref="AT132" ca="1" si="1977">SUM(AT129:AT131)</f>
        <v>12629385.386343287</v>
      </c>
      <c r="AU132" s="50">
        <f t="shared" ref="AU132" ca="1" si="1978">SUM(AU129:AU131)</f>
        <v>12716877.69993485</v>
      </c>
      <c r="AV132" s="50">
        <f t="shared" ref="AV132" ca="1" si="1979">SUM(AV129:AV131)</f>
        <v>12804976.13209065</v>
      </c>
      <c r="AW132" s="50">
        <f t="shared" ref="AW132" ca="1" si="1980">SUM(AW129:AW131)</f>
        <v>12893684.881804854</v>
      </c>
      <c r="AX132" s="50">
        <f t="shared" ref="AX132" ca="1" si="1981">SUM(AX129:AX131)</f>
        <v>12983008.177160898</v>
      </c>
      <c r="AY132" s="50">
        <f t="shared" ref="AY132" ca="1" si="1982">SUM(AY129:AY131)</f>
        <v>13072950.275533024</v>
      </c>
      <c r="AZ132" s="50">
        <f t="shared" ref="AZ132" ca="1" si="1983">SUM(AZ129:AZ131)</f>
        <v>13163515.463789187</v>
      </c>
      <c r="BA132" s="50">
        <f t="shared" ref="BA132" ca="1" si="1984">SUM(BA129:BA131)</f>
        <v>13254708.058495387</v>
      </c>
      <c r="BB132" s="50">
        <f t="shared" ref="BB132" ca="1" si="1985">SUM(BB129:BB131)</f>
        <v>13346532.406121399</v>
      </c>
      <c r="BC132" s="50">
        <f t="shared" ref="BC132" ca="1" si="1986">SUM(BC129:BC131)</f>
        <v>13438992.883247944</v>
      </c>
      <c r="BD132" s="50">
        <f t="shared" ref="BD132" ca="1" si="1987">SUM(BD129:BD131)</f>
        <v>13532093.896775281</v>
      </c>
      <c r="BE132" s="50">
        <f t="shared" ref="BE132" ca="1" si="1988">SUM(BE129:BE131)</f>
        <v>13625839.884133255</v>
      </c>
      <c r="BF132" s="50">
        <f t="shared" ref="BF132" ca="1" si="1989">SUM(BF129:BF131)</f>
        <v>13720235.313492795</v>
      </c>
      <c r="BG132" s="50">
        <f t="shared" ref="BG132" ca="1" si="1990">SUM(BG129:BG131)</f>
        <v>13815284.683978882</v>
      </c>
      <c r="BH132" s="50">
        <f t="shared" ref="BH132" ca="1" si="1991">SUM(BH129:BH131)</f>
        <v>13910992.525884984</v>
      </c>
      <c r="BI132" s="50">
        <f t="shared" ref="BI132" ca="1" si="1992">SUM(BI129:BI131)</f>
        <v>14007363.400888981</v>
      </c>
      <c r="BJ132" s="50">
        <f t="shared" ref="BJ132" ca="1" si="1993">SUM(BJ129:BJ131)</f>
        <v>14104401.902270589</v>
      </c>
      <c r="BK132" s="50">
        <f t="shared" ref="BK132" ca="1" si="1994">SUM(BK129:BK131)</f>
        <v>14202112.655130286</v>
      </c>
      <c r="BL132" s="50">
        <f t="shared" ref="BL132" ca="1" si="1995">SUM(BL129:BL131)</f>
        <v>14300500.316609759</v>
      </c>
      <c r="BM132" s="50">
        <f t="shared" ref="BM132" ca="1" si="1996">SUM(BM129:BM131)</f>
        <v>14399569.576113867</v>
      </c>
      <c r="BN132" s="50">
        <f t="shared" ref="BN132" ca="1" si="1997">SUM(BN129:BN131)</f>
        <v>14499325.155534159</v>
      </c>
      <c r="BO132" s="50">
        <f t="shared" ref="BO132" ca="1" si="1998">SUM(BO129:BO131)</f>
        <v>14599771.809473928</v>
      </c>
      <c r="BP132" s="50">
        <f t="shared" ref="BP132" ca="1" si="1999">SUM(BP129:BP131)</f>
        <v>14700914.325474825</v>
      </c>
      <c r="BQ132" s="50">
        <f t="shared" ref="BQ132" ca="1" si="2000">SUM(BQ129:BQ131)</f>
        <v>14802757.524245048</v>
      </c>
      <c r="BR132" s="50">
        <f t="shared" ref="BR132" ca="1" si="2001">SUM(BR129:BR131)</f>
        <v>14905306.259889111</v>
      </c>
      <c r="BS132" s="50">
        <f t="shared" ref="BS132" ca="1" si="2002">SUM(BS129:BS131)</f>
        <v>15008565.420139194</v>
      </c>
      <c r="BT132" s="50">
        <f t="shared" ref="BT132" ca="1" si="2003">SUM(BT129:BT131)</f>
        <v>15112539.926588116</v>
      </c>
      <c r="BU132" s="50">
        <f t="shared" ref="BU132" ca="1" si="2004">SUM(BU129:BU131)</f>
        <v>15217234.734923907</v>
      </c>
      <c r="BV132" s="50">
        <f t="shared" ref="BV132" ca="1" si="2005">SUM(BV129:BV131)</f>
        <v>15322654.835166002</v>
      </c>
      <c r="BW132" s="50">
        <f t="shared" ref="BW132" ca="1" si="2006">SUM(BW129:BW131)</f>
        <v>15428805.251903087</v>
      </c>
      <c r="BX132" s="50">
        <f t="shared" ref="BX132" ca="1" si="2007">SUM(BX129:BX131)</f>
        <v>15535691.044532578</v>
      </c>
      <c r="BY132" s="50">
        <f t="shared" ref="BY132" ca="1" si="2008">SUM(BY129:BY131)</f>
        <v>15643317.307501771</v>
      </c>
      <c r="BZ132" s="50">
        <f t="shared" ref="BZ132" ca="1" si="2009">SUM(BZ129:BZ131)</f>
        <v>15751689.170550644</v>
      </c>
      <c r="CA132" s="50">
        <f t="shared" ref="CA132" ca="1" si="2010">SUM(CA129:CA131)</f>
        <v>15860811.798956368</v>
      </c>
      <c r="CB132" s="50">
        <f t="shared" ref="CB132" ca="1" si="2011">SUM(CB129:CB131)</f>
        <v>15970690.393779486</v>
      </c>
      <c r="CC132" s="50">
        <f t="shared" ref="CC132" ca="1" si="2012">SUM(CC129:CC131)</f>
        <v>16081330.192111816</v>
      </c>
      <c r="CD132" s="50">
        <f t="shared" ref="CD132" ca="1" si="2013">SUM(CD129:CD131)</f>
        <v>16192736.467326058</v>
      </c>
      <c r="CE132" s="50">
        <f t="shared" ref="CE132" ca="1" si="2014">SUM(CE129:CE131)</f>
        <v>16304914.529327141</v>
      </c>
      <c r="CF132" s="50">
        <f t="shared" ref="CF132" ca="1" si="2015">SUM(CF129:CF131)</f>
        <v>16417869.724805305</v>
      </c>
      <c r="CG132" s="50">
        <f t="shared" ref="CG132" ca="1" si="2016">SUM(CG129:CG131)</f>
        <v>16531607.43749094</v>
      </c>
      <c r="CH132" s="50">
        <f t="shared" ref="CH132" ca="1" si="2017">SUM(CH129:CH131)</f>
        <v>16646133.08841118</v>
      </c>
      <c r="CI132" s="50">
        <f t="shared" ref="CI132" ca="1" si="2018">SUM(CI129:CI131)</f>
        <v>16761452.136148294</v>
      </c>
      <c r="CJ132" s="50">
        <f t="shared" ref="CJ132" ca="1" si="2019">SUM(CJ129:CJ131)</f>
        <v>16877570.077099849</v>
      </c>
      <c r="CK132" s="50">
        <f t="shared" ref="CK132" ca="1" si="2020">SUM(CK129:CK131)</f>
        <v>16994492.445740681</v>
      </c>
      <c r="CL132" s="50">
        <f t="shared" ref="CL132" ca="1" si="2021">SUM(CL129:CL131)</f>
        <v>17112224.814886689</v>
      </c>
      <c r="CM132" s="50">
        <f t="shared" ref="CM132" ca="1" si="2022">SUM(CM129:CM131)</f>
        <v>17230772.795960441</v>
      </c>
      <c r="CN132" s="50">
        <f t="shared" ref="CN132" ca="1" si="2023">SUM(CN129:CN131)</f>
        <v>0</v>
      </c>
    </row>
    <row r="133" spans="1:92" ht="12.75" customHeight="1" x14ac:dyDescent="0.3"/>
    <row r="134" spans="1:92" ht="12.75" customHeight="1" x14ac:dyDescent="0.3">
      <c r="C134" s="17" t="s">
        <v>190</v>
      </c>
      <c r="D134" s="15"/>
      <c r="H134" s="16"/>
    </row>
    <row r="135" spans="1:92" ht="12.75" customHeight="1" x14ac:dyDescent="0.3">
      <c r="D135" s="15" t="s">
        <v>181</v>
      </c>
      <c r="H135" s="16" t="s">
        <v>1</v>
      </c>
      <c r="J135" s="15"/>
      <c r="L135" s="15">
        <f t="shared" ref="L135:M135" si="2024">K138</f>
        <v>0</v>
      </c>
      <c r="M135" s="15">
        <f t="shared" si="2024"/>
        <v>0</v>
      </c>
      <c r="N135" s="15">
        <f t="shared" ref="N135:BY135" ca="1" si="2025">M138</f>
        <v>1000000</v>
      </c>
      <c r="O135" s="15">
        <f t="shared" ca="1" si="2025"/>
        <v>3820090.2658089679</v>
      </c>
      <c r="P135" s="15">
        <f t="shared" ca="1" si="2025"/>
        <v>5468405.2553245863</v>
      </c>
      <c r="Q135" s="15">
        <f t="shared" ca="1" si="2025"/>
        <v>6995220.0694555258</v>
      </c>
      <c r="R135" s="15">
        <f t="shared" ca="1" si="2025"/>
        <v>7340890.8190296087</v>
      </c>
      <c r="S135" s="15">
        <f t="shared" ca="1" si="2025"/>
        <v>7658936.9071602598</v>
      </c>
      <c r="T135" s="15">
        <f t="shared" ca="1" si="2025"/>
        <v>7952045.5421006726</v>
      </c>
      <c r="U135" s="15">
        <f t="shared" ca="1" si="2025"/>
        <v>8222662.1519338712</v>
      </c>
      <c r="V135" s="15">
        <f t="shared" ca="1" si="2025"/>
        <v>8473010.4089121092</v>
      </c>
      <c r="W135" s="15">
        <f t="shared" ca="1" si="2025"/>
        <v>8705110.83389806</v>
      </c>
      <c r="X135" s="15">
        <f t="shared" ca="1" si="2025"/>
        <v>8920798.0452782493</v>
      </c>
      <c r="Y135" s="15">
        <f t="shared" ca="1" si="2025"/>
        <v>9121736.7203530595</v>
      </c>
      <c r="Z135" s="15">
        <f t="shared" ca="1" si="2025"/>
        <v>9309436.339190796</v>
      </c>
      <c r="AA135" s="15">
        <f t="shared" ca="1" si="2025"/>
        <v>9485264.7815940678</v>
      </c>
      <c r="AB135" s="15">
        <f t="shared" ca="1" si="2025"/>
        <v>9650460.8474396728</v>
      </c>
      <c r="AC135" s="15">
        <f t="shared" ca="1" si="2025"/>
        <v>9806145.7694479041</v>
      </c>
      <c r="AD135" s="15">
        <f t="shared" ca="1" si="2025"/>
        <v>9953333.7856041826</v>
      </c>
      <c r="AE135" s="15">
        <f t="shared" ca="1" si="2025"/>
        <v>10092941.836153168</v>
      </c>
      <c r="AF135" s="15">
        <f t="shared" ca="1" si="2025"/>
        <v>10225798.447443102</v>
      </c>
      <c r="AG135" s="15">
        <f t="shared" ca="1" si="2025"/>
        <v>10352651.862022527</v>
      </c>
      <c r="AH135" s="15">
        <f t="shared" ca="1" si="2025"/>
        <v>10474177.471369633</v>
      </c>
      <c r="AI135" s="15">
        <f t="shared" ca="1" si="2025"/>
        <v>10590984.604536176</v>
      </c>
      <c r="AJ135" s="15">
        <f t="shared" ca="1" si="2025"/>
        <v>10703622.722869277</v>
      </c>
      <c r="AK135" s="15">
        <f t="shared" ca="1" si="2025"/>
        <v>10812587.067879766</v>
      </c>
      <c r="AL135" s="15">
        <f t="shared" ca="1" si="2025"/>
        <v>10918323.806289453</v>
      </c>
      <c r="AM135" s="15">
        <f t="shared" ca="1" si="2025"/>
        <v>11021234.713338355</v>
      </c>
      <c r="AN135" s="15">
        <f t="shared" ca="1" si="2025"/>
        <v>11121681.432585925</v>
      </c>
      <c r="AO135" s="15">
        <f t="shared" ca="1" si="2025"/>
        <v>11219989.347711885</v>
      </c>
      <c r="AP135" s="15">
        <f t="shared" ca="1" si="2025"/>
        <v>11316451.099222071</v>
      </c>
      <c r="AQ135" s="15">
        <f t="shared" ca="1" si="2025"/>
        <v>11411329.776498312</v>
      </c>
      <c r="AR135" s="15">
        <f t="shared" ca="1" si="2025"/>
        <v>11504861.813302087</v>
      </c>
      <c r="AS135" s="15">
        <f t="shared" ca="1" si="2025"/>
        <v>11597259.612649726</v>
      </c>
      <c r="AT135" s="15">
        <f t="shared" ca="1" si="2025"/>
        <v>11688713.924921157</v>
      </c>
      <c r="AU135" s="15">
        <f t="shared" ca="1" si="2025"/>
        <v>11779396.001141686</v>
      </c>
      <c r="AV135" s="15">
        <f t="shared" ca="1" si="2025"/>
        <v>11869459.541583309</v>
      </c>
      <c r="AW135" s="15">
        <f t="shared" ca="1" si="2025"/>
        <v>11959042.458163634</v>
      </c>
      <c r="AX135" s="15">
        <f t="shared" ca="1" si="2025"/>
        <v>12048268.467571665</v>
      </c>
      <c r="AY135" s="15">
        <f t="shared" ca="1" si="2025"/>
        <v>12137248.530614374</v>
      </c>
      <c r="AZ135" s="15">
        <f t="shared" ca="1" si="2025"/>
        <v>12226082.151950656</v>
      </c>
      <c r="BA135" s="15">
        <f t="shared" ca="1" si="2025"/>
        <v>12314858.553153481</v>
      </c>
      <c r="BB135" s="15">
        <f t="shared" ca="1" si="2025"/>
        <v>12403657.730911141</v>
      </c>
      <c r="BC135" s="15">
        <f t="shared" ca="1" si="2025"/>
        <v>12492551.411138101</v>
      </c>
      <c r="BD135" s="15">
        <f t="shared" ca="1" si="2025"/>
        <v>12581603.908809643</v>
      </c>
      <c r="BE135" s="15">
        <f t="shared" ca="1" si="2025"/>
        <v>12670872.90245619</v>
      </c>
      <c r="BF135" s="15">
        <f t="shared" ca="1" si="2025"/>
        <v>12760410.131447723</v>
      </c>
      <c r="BG135" s="15">
        <f t="shared" ca="1" si="2025"/>
        <v>12850262.023460753</v>
      </c>
      <c r="BH135" s="15">
        <f t="shared" ca="1" si="2025"/>
        <v>12940470.258844852</v>
      </c>
      <c r="BI135" s="15">
        <f t="shared" ca="1" si="2025"/>
        <v>13031072.277988171</v>
      </c>
      <c r="BJ135" s="15">
        <f t="shared" ca="1" si="2025"/>
        <v>13122101.737217199</v>
      </c>
      <c r="BK135" s="15">
        <f t="shared" ca="1" si="2025"/>
        <v>13213588.918251052</v>
      </c>
      <c r="BL135" s="15">
        <f t="shared" ca="1" si="2025"/>
        <v>13305561.095760936</v>
      </c>
      <c r="BM135" s="15">
        <f t="shared" ca="1" si="2025"/>
        <v>13398042.867157454</v>
      </c>
      <c r="BN135" s="15">
        <f t="shared" ca="1" si="2025"/>
        <v>13491056.448338712</v>
      </c>
      <c r="BO135" s="15">
        <f t="shared" ca="1" si="2025"/>
        <v>13584621.938777518</v>
      </c>
      <c r="BP135" s="15">
        <f t="shared" ca="1" si="2025"/>
        <v>13678757.559003452</v>
      </c>
      <c r="BQ135" s="15">
        <f t="shared" ca="1" si="2025"/>
        <v>13773479.86324257</v>
      </c>
      <c r="BR135" s="15">
        <f t="shared" ca="1" si="2025"/>
        <v>13868803.929711232</v>
      </c>
      <c r="BS135" s="15">
        <f t="shared" ca="1" si="2025"/>
        <v>13964743.530819012</v>
      </c>
      <c r="BT135" s="15">
        <f t="shared" ca="1" si="2025"/>
        <v>14061311.285316451</v>
      </c>
      <c r="BU135" s="15">
        <f t="shared" ca="1" si="2025"/>
        <v>14158518.794224698</v>
      </c>
      <c r="BV135" s="15">
        <f t="shared" ca="1" si="2025"/>
        <v>14256376.76220401</v>
      </c>
      <c r="BW135" s="15">
        <f t="shared" ca="1" si="2025"/>
        <v>14354895.105855031</v>
      </c>
      <c r="BX135" s="15">
        <f t="shared" ca="1" si="2025"/>
        <v>14454083.050299123</v>
      </c>
      <c r="BY135" s="15">
        <f t="shared" ca="1" si="2025"/>
        <v>14553949.215250421</v>
      </c>
      <c r="BZ135" s="15">
        <f t="shared" ref="BZ135:CN135" ca="1" si="2026">BY138</f>
        <v>14654501.691671558</v>
      </c>
      <c r="CA135" s="15">
        <f t="shared" ca="1" si="2026"/>
        <v>14755748.109995732</v>
      </c>
      <c r="CB135" s="15">
        <f t="shared" ca="1" si="2026"/>
        <v>14857695.700799206</v>
      </c>
      <c r="CC135" s="15">
        <f t="shared" ca="1" si="2026"/>
        <v>14960351.348719183</v>
      </c>
      <c r="CD135" s="15">
        <f t="shared" ca="1" si="2026"/>
        <v>15063721.640331566</v>
      </c>
      <c r="CE135" s="15">
        <f t="shared" ca="1" si="2026"/>
        <v>15167812.906630611</v>
      </c>
      <c r="CF135" s="15">
        <f t="shared" ca="1" si="2026"/>
        <v>15272631.260686908</v>
      </c>
      <c r="CG135" s="15">
        <f t="shared" ca="1" si="2026"/>
        <v>15378182.631001219</v>
      </c>
      <c r="CH135" s="15">
        <f t="shared" ca="1" si="2026"/>
        <v>15484472.791018466</v>
      </c>
      <c r="CI135" s="15">
        <f t="shared" ca="1" si="2026"/>
        <v>15591507.385218268</v>
      </c>
      <c r="CJ135" s="15">
        <f t="shared" ca="1" si="2026"/>
        <v>15699291.952155279</v>
      </c>
      <c r="CK135" s="15">
        <f t="shared" ca="1" si="2026"/>
        <v>15807831.944783788</v>
      </c>
      <c r="CL135" s="15">
        <f t="shared" ca="1" si="2026"/>
        <v>15917132.74836608</v>
      </c>
      <c r="CM135" s="15">
        <f t="shared" ca="1" si="2026"/>
        <v>16027199.69623263</v>
      </c>
      <c r="CN135" s="15">
        <f t="shared" ca="1" si="2026"/>
        <v>16138038.083634052</v>
      </c>
    </row>
    <row r="136" spans="1:92" ht="12.75" customHeight="1" x14ac:dyDescent="0.3">
      <c r="D136" s="15" t="s">
        <v>182</v>
      </c>
      <c r="H136" s="16" t="s">
        <v>1</v>
      </c>
      <c r="J136" s="58">
        <f>SUM(L136:CN136)</f>
        <v>108643621.39060706</v>
      </c>
      <c r="L136" s="78">
        <f t="shared" ref="L136:AQ136" si="2027">SUM(L81,L88,L95,L102,L109)</f>
        <v>0</v>
      </c>
      <c r="M136" s="78">
        <f t="shared" si="2027"/>
        <v>1000000</v>
      </c>
      <c r="N136" s="78">
        <f t="shared" si="2027"/>
        <v>2920090.2658089679</v>
      </c>
      <c r="O136" s="78">
        <f t="shared" si="2027"/>
        <v>2027806.6969018518</v>
      </c>
      <c r="P136" s="78">
        <f t="shared" si="2027"/>
        <v>2041854.6884708046</v>
      </c>
      <c r="Q136" s="78">
        <f t="shared" si="2027"/>
        <v>1027999.9999999998</v>
      </c>
      <c r="R136" s="78">
        <f t="shared" si="2027"/>
        <v>1035121.6528453855</v>
      </c>
      <c r="S136" s="78">
        <f t="shared" si="2027"/>
        <v>1042292.6422075516</v>
      </c>
      <c r="T136" s="78">
        <f t="shared" si="2027"/>
        <v>1049513.3098739933</v>
      </c>
      <c r="U136" s="78">
        <f t="shared" si="2027"/>
        <v>1056783.9999999995</v>
      </c>
      <c r="V136" s="78">
        <f t="shared" si="2027"/>
        <v>1064105.059125056</v>
      </c>
      <c r="W136" s="78">
        <f t="shared" si="2027"/>
        <v>1071476.8361893627</v>
      </c>
      <c r="X136" s="78">
        <f t="shared" si="2027"/>
        <v>1078899.6825504648</v>
      </c>
      <c r="Y136" s="78">
        <f t="shared" si="2027"/>
        <v>1086373.9519999993</v>
      </c>
      <c r="Z136" s="78">
        <f t="shared" si="2027"/>
        <v>1093900.0007805575</v>
      </c>
      <c r="AA136" s="78">
        <f t="shared" si="2027"/>
        <v>1101478.1876026648</v>
      </c>
      <c r="AB136" s="78">
        <f t="shared" si="2027"/>
        <v>1109108.8736618778</v>
      </c>
      <c r="AC136" s="78">
        <f t="shared" si="2027"/>
        <v>1116792.4226559992</v>
      </c>
      <c r="AD136" s="78">
        <f t="shared" si="2027"/>
        <v>1124529.2008024128</v>
      </c>
      <c r="AE136" s="78">
        <f t="shared" si="2027"/>
        <v>1132319.5768555391</v>
      </c>
      <c r="AF136" s="78">
        <f t="shared" si="2027"/>
        <v>1140163.92212441</v>
      </c>
      <c r="AG136" s="78">
        <f t="shared" si="2027"/>
        <v>1148062.6104903666</v>
      </c>
      <c r="AH136" s="78">
        <f t="shared" si="2027"/>
        <v>1156016.01842488</v>
      </c>
      <c r="AI136" s="78">
        <f t="shared" si="2027"/>
        <v>1164024.5250074938</v>
      </c>
      <c r="AJ136" s="78">
        <f t="shared" si="2027"/>
        <v>1172088.511943893</v>
      </c>
      <c r="AK136" s="78">
        <f t="shared" si="2027"/>
        <v>1180208.3635840965</v>
      </c>
      <c r="AL136" s="78">
        <f t="shared" si="2027"/>
        <v>1188384.4669407762</v>
      </c>
      <c r="AM136" s="78">
        <f t="shared" si="2027"/>
        <v>1196617.2117077033</v>
      </c>
      <c r="AN136" s="78">
        <f t="shared" si="2027"/>
        <v>1204906.9902783216</v>
      </c>
      <c r="AO136" s="78">
        <f t="shared" si="2027"/>
        <v>1213254.1977644509</v>
      </c>
      <c r="AP136" s="78">
        <f t="shared" si="2027"/>
        <v>1221659.2320151175</v>
      </c>
      <c r="AQ136" s="78">
        <f t="shared" si="2027"/>
        <v>1230122.4936355187</v>
      </c>
      <c r="AR136" s="78">
        <f t="shared" ref="AR136:BW136" si="2028">SUM(AR81,AR88,AR95,AR102,AR109)</f>
        <v>1238644.3860061143</v>
      </c>
      <c r="AS136" s="78">
        <f t="shared" si="2028"/>
        <v>1247225.3153018551</v>
      </c>
      <c r="AT136" s="78">
        <f t="shared" si="2028"/>
        <v>1255865.6905115405</v>
      </c>
      <c r="AU136" s="78">
        <f t="shared" si="2028"/>
        <v>1264565.9234573126</v>
      </c>
      <c r="AV136" s="78">
        <f t="shared" si="2028"/>
        <v>1273326.428814285</v>
      </c>
      <c r="AW136" s="78">
        <f t="shared" si="2028"/>
        <v>1282147.6241303065</v>
      </c>
      <c r="AX136" s="78">
        <f t="shared" si="2028"/>
        <v>1291029.9298458633</v>
      </c>
      <c r="AY136" s="78">
        <f t="shared" si="2028"/>
        <v>1299973.769314117</v>
      </c>
      <c r="AZ136" s="78">
        <f t="shared" si="2028"/>
        <v>1308979.5688210847</v>
      </c>
      <c r="BA136" s="78">
        <f t="shared" si="2028"/>
        <v>1318047.7576059548</v>
      </c>
      <c r="BB136" s="78">
        <f t="shared" si="2028"/>
        <v>1327178.7678815469</v>
      </c>
      <c r="BC136" s="78">
        <f t="shared" si="2028"/>
        <v>1336373.034854912</v>
      </c>
      <c r="BD136" s="78">
        <f t="shared" si="2028"/>
        <v>1345630.9967480747</v>
      </c>
      <c r="BE136" s="78">
        <f t="shared" si="2028"/>
        <v>1354953.0948189211</v>
      </c>
      <c r="BF136" s="78">
        <f t="shared" si="2028"/>
        <v>1364339.7733822297</v>
      </c>
      <c r="BG136" s="78">
        <f t="shared" si="2028"/>
        <v>1373791.479830849</v>
      </c>
      <c r="BH136" s="78">
        <f t="shared" si="2028"/>
        <v>1383308.6646570202</v>
      </c>
      <c r="BI136" s="78">
        <f t="shared" si="2028"/>
        <v>1392891.7814738504</v>
      </c>
      <c r="BJ136" s="78">
        <f t="shared" si="2028"/>
        <v>1402541.2870369318</v>
      </c>
      <c r="BK136" s="78">
        <f t="shared" si="2028"/>
        <v>1412257.6412661122</v>
      </c>
      <c r="BL136" s="78">
        <f t="shared" si="2028"/>
        <v>1422041.3072674163</v>
      </c>
      <c r="BM136" s="78">
        <f t="shared" si="2028"/>
        <v>1431892.7513551177</v>
      </c>
      <c r="BN136" s="78">
        <f t="shared" si="2028"/>
        <v>1441812.4430739654</v>
      </c>
      <c r="BO136" s="78">
        <f t="shared" si="2028"/>
        <v>1451800.8552215628</v>
      </c>
      <c r="BP136" s="78">
        <f t="shared" si="2028"/>
        <v>1461858.4638709035</v>
      </c>
      <c r="BQ136" s="78">
        <f t="shared" si="2028"/>
        <v>1471985.7483930606</v>
      </c>
      <c r="BR136" s="78">
        <f t="shared" si="2028"/>
        <v>1482183.1914800361</v>
      </c>
      <c r="BS136" s="78">
        <f t="shared" si="2028"/>
        <v>1492451.2791677664</v>
      </c>
      <c r="BT136" s="78">
        <f t="shared" si="2028"/>
        <v>1502790.5008592885</v>
      </c>
      <c r="BU136" s="78">
        <f t="shared" si="2028"/>
        <v>1513201.3493480661</v>
      </c>
      <c r="BV136" s="78">
        <f t="shared" si="2028"/>
        <v>1523684.3208414768</v>
      </c>
      <c r="BW136" s="78">
        <f t="shared" si="2028"/>
        <v>1534239.9149844635</v>
      </c>
      <c r="BX136" s="78">
        <f t="shared" ref="BX136:CN136" si="2029">SUM(BX81,BX88,BX95,BX102,BX109)</f>
        <v>1544868.6348833481</v>
      </c>
      <c r="BY136" s="78">
        <f t="shared" si="2029"/>
        <v>1555570.9871298117</v>
      </c>
      <c r="BZ136" s="78">
        <f t="shared" si="2029"/>
        <v>1566347.4818250379</v>
      </c>
      <c r="CA136" s="78">
        <f t="shared" si="2029"/>
        <v>1577198.6326040281</v>
      </c>
      <c r="CB136" s="78">
        <f t="shared" si="2029"/>
        <v>1588124.9566600816</v>
      </c>
      <c r="CC136" s="78">
        <f t="shared" si="2029"/>
        <v>1599126.9747694458</v>
      </c>
      <c r="CD136" s="78">
        <f t="shared" si="2029"/>
        <v>1610205.2113161385</v>
      </c>
      <c r="CE136" s="78">
        <f t="shared" si="2029"/>
        <v>1621360.1943169406</v>
      </c>
      <c r="CF136" s="78">
        <f t="shared" si="2029"/>
        <v>1632592.4554465637</v>
      </c>
      <c r="CG136" s="78">
        <f t="shared" si="2029"/>
        <v>1643902.53006299</v>
      </c>
      <c r="CH136" s="78">
        <f t="shared" si="2029"/>
        <v>1655290.9572329898</v>
      </c>
      <c r="CI136" s="78">
        <f t="shared" si="2029"/>
        <v>1666758.2797578145</v>
      </c>
      <c r="CJ136" s="78">
        <f t="shared" si="2029"/>
        <v>1678305.0441990667</v>
      </c>
      <c r="CK136" s="78">
        <f t="shared" si="2029"/>
        <v>1689931.8009047529</v>
      </c>
      <c r="CL136" s="78">
        <f t="shared" si="2029"/>
        <v>1701639.104035513</v>
      </c>
      <c r="CM136" s="78">
        <f t="shared" si="2029"/>
        <v>1713427.5115910326</v>
      </c>
      <c r="CN136" s="78">
        <f t="shared" si="2029"/>
        <v>0</v>
      </c>
    </row>
    <row r="137" spans="1:92" ht="12.75" customHeight="1" x14ac:dyDescent="0.3">
      <c r="D137" s="15" t="s">
        <v>183</v>
      </c>
      <c r="H137" s="16" t="s">
        <v>1</v>
      </c>
      <c r="J137" s="58">
        <f ca="1">SUM(L137:CN137)</f>
        <v>-108643621.3906071</v>
      </c>
      <c r="L137" s="15">
        <f t="shared" ref="L137:AQ137" si="2030">SUM(L82,L89,L96,L103,L110)</f>
        <v>0</v>
      </c>
      <c r="M137" s="15">
        <f t="shared" ca="1" si="2030"/>
        <v>0</v>
      </c>
      <c r="N137" s="15">
        <f t="shared" ca="1" si="2030"/>
        <v>-100000</v>
      </c>
      <c r="O137" s="15">
        <f t="shared" ca="1" si="2030"/>
        <v>-379491.70738623384</v>
      </c>
      <c r="P137" s="15">
        <f t="shared" ca="1" si="2030"/>
        <v>-515039.87433986494</v>
      </c>
      <c r="Q137" s="15">
        <f t="shared" ca="1" si="2030"/>
        <v>-682329.25042591675</v>
      </c>
      <c r="R137" s="15">
        <f t="shared" ca="1" si="2030"/>
        <v>-717075.56471473398</v>
      </c>
      <c r="S137" s="15">
        <f t="shared" ca="1" si="2030"/>
        <v>-749184.00726713915</v>
      </c>
      <c r="T137" s="15">
        <f t="shared" ca="1" si="2030"/>
        <v>-778896.70004079456</v>
      </c>
      <c r="U137" s="15">
        <f t="shared" ca="1" si="2030"/>
        <v>-806435.74302176153</v>
      </c>
      <c r="V137" s="15">
        <f t="shared" ca="1" si="2030"/>
        <v>-832004.63413910614</v>
      </c>
      <c r="W137" s="15">
        <f t="shared" ca="1" si="2030"/>
        <v>-855789.62480917317</v>
      </c>
      <c r="X137" s="15">
        <f t="shared" ca="1" si="2030"/>
        <v>-877961.00747565599</v>
      </c>
      <c r="Y137" s="15">
        <f t="shared" ca="1" si="2030"/>
        <v>-898674.33316226304</v>
      </c>
      <c r="Z137" s="15">
        <f t="shared" ca="1" si="2030"/>
        <v>-918071.55837728619</v>
      </c>
      <c r="AA137" s="15">
        <f t="shared" ca="1" si="2030"/>
        <v>-936282.12175706029</v>
      </c>
      <c r="AB137" s="15">
        <f t="shared" ca="1" si="2030"/>
        <v>-953423.95165364642</v>
      </c>
      <c r="AC137" s="15">
        <f t="shared" ca="1" si="2030"/>
        <v>-969604.40649972204</v>
      </c>
      <c r="AD137" s="15">
        <f t="shared" ca="1" si="2030"/>
        <v>-984921.1502534271</v>
      </c>
      <c r="AE137" s="15">
        <f t="shared" ca="1" si="2030"/>
        <v>-999462.96556560451</v>
      </c>
      <c r="AF137" s="15">
        <f t="shared" ca="1" si="2030"/>
        <v>-1013310.5075449847</v>
      </c>
      <c r="AG137" s="15">
        <f t="shared" ca="1" si="2030"/>
        <v>-1026537.0011432605</v>
      </c>
      <c r="AH137" s="15">
        <f t="shared" ca="1" si="2030"/>
        <v>-1039208.8852583377</v>
      </c>
      <c r="AI137" s="15">
        <f t="shared" ca="1" si="2030"/>
        <v>-1051386.4066743916</v>
      </c>
      <c r="AJ137" s="15">
        <f t="shared" ca="1" si="2030"/>
        <v>-1063124.1669334038</v>
      </c>
      <c r="AK137" s="15">
        <f t="shared" ca="1" si="2030"/>
        <v>-1074471.6251744104</v>
      </c>
      <c r="AL137" s="15">
        <f t="shared" ca="1" si="2030"/>
        <v>-1085473.5598918733</v>
      </c>
      <c r="AM137" s="15">
        <f t="shared" ca="1" si="2030"/>
        <v>-1096170.4924601344</v>
      </c>
      <c r="AN137" s="15">
        <f t="shared" ca="1" si="2030"/>
        <v>-1106599.0751523613</v>
      </c>
      <c r="AO137" s="15">
        <f t="shared" ca="1" si="2030"/>
        <v>-1116792.4462542655</v>
      </c>
      <c r="AP137" s="15">
        <f t="shared" ca="1" si="2030"/>
        <v>-1126780.5547388771</v>
      </c>
      <c r="AQ137" s="15">
        <f t="shared" ca="1" si="2030"/>
        <v>-1136590.4568317446</v>
      </c>
      <c r="AR137" s="15">
        <f t="shared" ref="AR137:BW137" ca="1" si="2031">SUM(AR82,AR89,AR96,AR103,AR110)</f>
        <v>-1146246.5866584752</v>
      </c>
      <c r="AS137" s="15">
        <f t="shared" ca="1" si="2031"/>
        <v>-1155771.0030304256</v>
      </c>
      <c r="AT137" s="15">
        <f t="shared" ca="1" si="2031"/>
        <v>-1165183.6142910114</v>
      </c>
      <c r="AU137" s="15">
        <f t="shared" ca="1" si="2031"/>
        <v>-1174502.3830156911</v>
      </c>
      <c r="AV137" s="15">
        <f t="shared" ca="1" si="2031"/>
        <v>-1183743.5122339593</v>
      </c>
      <c r="AW137" s="15">
        <f t="shared" ca="1" si="2031"/>
        <v>-1192921.6147222759</v>
      </c>
      <c r="AX137" s="15">
        <f t="shared" ca="1" si="2031"/>
        <v>-1202049.8668031541</v>
      </c>
      <c r="AY137" s="15">
        <f t="shared" ca="1" si="2031"/>
        <v>-1211140.1479778371</v>
      </c>
      <c r="AZ137" s="15">
        <f t="shared" ca="1" si="2031"/>
        <v>-1220203.1676182593</v>
      </c>
      <c r="BA137" s="15">
        <f t="shared" ca="1" si="2031"/>
        <v>-1229248.5798482955</v>
      </c>
      <c r="BB137" s="15">
        <f t="shared" ca="1" si="2031"/>
        <v>-1238285.0876545871</v>
      </c>
      <c r="BC137" s="15">
        <f t="shared" ca="1" si="2031"/>
        <v>-1247320.5371833686</v>
      </c>
      <c r="BD137" s="15">
        <f t="shared" ca="1" si="2031"/>
        <v>-1256362.0031015275</v>
      </c>
      <c r="BE137" s="15">
        <f t="shared" ca="1" si="2031"/>
        <v>-1265415.8658273886</v>
      </c>
      <c r="BF137" s="15">
        <f t="shared" ca="1" si="2031"/>
        <v>-1274487.8813692005</v>
      </c>
      <c r="BG137" s="15">
        <f t="shared" ca="1" si="2031"/>
        <v>-1283583.2444467517</v>
      </c>
      <c r="BH137" s="15">
        <f t="shared" ca="1" si="2031"/>
        <v>-1292706.6455137024</v>
      </c>
      <c r="BI137" s="15">
        <f t="shared" ca="1" si="2031"/>
        <v>-1301862.322244822</v>
      </c>
      <c r="BJ137" s="15">
        <f t="shared" ca="1" si="2031"/>
        <v>-1311054.1060030777</v>
      </c>
      <c r="BK137" s="15">
        <f t="shared" ca="1" si="2031"/>
        <v>-1320285.4637562286</v>
      </c>
      <c r="BL137" s="15">
        <f t="shared" ca="1" si="2031"/>
        <v>-1329559.535870899</v>
      </c>
      <c r="BM137" s="15">
        <f t="shared" ca="1" si="2031"/>
        <v>-1338879.170173859</v>
      </c>
      <c r="BN137" s="15">
        <f t="shared" ca="1" si="2031"/>
        <v>-1348246.9526351606</v>
      </c>
      <c r="BO137" s="15">
        <f t="shared" ca="1" si="2031"/>
        <v>-1357665.234995628</v>
      </c>
      <c r="BP137" s="15">
        <f t="shared" ca="1" si="2031"/>
        <v>-1367136.1596317845</v>
      </c>
      <c r="BQ137" s="15">
        <f t="shared" ca="1" si="2031"/>
        <v>-1376661.681924399</v>
      </c>
      <c r="BR137" s="15">
        <f t="shared" ca="1" si="2031"/>
        <v>-1386243.5903722562</v>
      </c>
      <c r="BS137" s="15">
        <f t="shared" ca="1" si="2031"/>
        <v>-1395883.5246703266</v>
      </c>
      <c r="BT137" s="15">
        <f t="shared" ca="1" si="2031"/>
        <v>-1405582.9919510419</v>
      </c>
      <c r="BU137" s="15">
        <f t="shared" ca="1" si="2031"/>
        <v>-1415343.3813687554</v>
      </c>
      <c r="BV137" s="15">
        <f t="shared" ca="1" si="2031"/>
        <v>-1425165.977190455</v>
      </c>
      <c r="BW137" s="15">
        <f t="shared" ca="1" si="2031"/>
        <v>-1435051.9705403715</v>
      </c>
      <c r="BX137" s="15">
        <f t="shared" ref="BX137:CN137" ca="1" si="2032">SUM(BX82,BX89,BX96,BX103,BX110)</f>
        <v>-1445002.4699320493</v>
      </c>
      <c r="BY137" s="15">
        <f t="shared" ca="1" si="2032"/>
        <v>-1455018.5107086753</v>
      </c>
      <c r="BZ137" s="15">
        <f t="shared" ca="1" si="2032"/>
        <v>-1465101.063500864</v>
      </c>
      <c r="CA137" s="15">
        <f t="shared" ca="1" si="2032"/>
        <v>-1475251.0418005527</v>
      </c>
      <c r="CB137" s="15">
        <f t="shared" ca="1" si="2032"/>
        <v>-1485469.3087401057</v>
      </c>
      <c r="CC137" s="15">
        <f t="shared" ca="1" si="2032"/>
        <v>-1495756.6831570612</v>
      </c>
      <c r="CD137" s="15">
        <f t="shared" ca="1" si="2032"/>
        <v>-1506113.9450170931</v>
      </c>
      <c r="CE137" s="15">
        <f t="shared" ca="1" si="2032"/>
        <v>-1516541.8402606444</v>
      </c>
      <c r="CF137" s="15">
        <f t="shared" ca="1" si="2032"/>
        <v>-1527041.0851322531</v>
      </c>
      <c r="CG137" s="15">
        <f t="shared" ca="1" si="2032"/>
        <v>-1537612.3700457423</v>
      </c>
      <c r="CH137" s="15">
        <f t="shared" ca="1" si="2032"/>
        <v>-1548256.363033188</v>
      </c>
      <c r="CI137" s="15">
        <f t="shared" ca="1" si="2032"/>
        <v>-1558973.712820803</v>
      </c>
      <c r="CJ137" s="15">
        <f t="shared" ca="1" si="2032"/>
        <v>-1569765.0515705561</v>
      </c>
      <c r="CK137" s="15">
        <f t="shared" ca="1" si="2032"/>
        <v>-1580630.9973224632</v>
      </c>
      <c r="CL137" s="15">
        <f t="shared" ca="1" si="2032"/>
        <v>-1591572.1561689612</v>
      </c>
      <c r="CM137" s="15">
        <f t="shared" ca="1" si="2032"/>
        <v>-1602589.1241896111</v>
      </c>
      <c r="CN137" s="15">
        <f t="shared" ca="1" si="2032"/>
        <v>-16138038.083634047</v>
      </c>
    </row>
    <row r="138" spans="1:92" ht="12.75" customHeight="1" x14ac:dyDescent="0.3">
      <c r="D138" s="50" t="s">
        <v>184</v>
      </c>
      <c r="H138" s="16" t="s">
        <v>1</v>
      </c>
      <c r="J138" s="50">
        <f t="shared" ref="J138" ca="1" si="2033">SUM(J135:J137)</f>
        <v>0</v>
      </c>
      <c r="L138" s="50">
        <f t="shared" ref="L138" si="2034">SUM(L135:L137)</f>
        <v>0</v>
      </c>
      <c r="M138" s="50">
        <f t="shared" ref="M138" ca="1" si="2035">SUM(M135:M137)</f>
        <v>1000000</v>
      </c>
      <c r="N138" s="50">
        <f t="shared" ref="N138" ca="1" si="2036">SUM(N135:N137)</f>
        <v>3820090.2658089679</v>
      </c>
      <c r="O138" s="50">
        <f t="shared" ref="O138" ca="1" si="2037">SUM(O135:O137)</f>
        <v>5468405.2553245863</v>
      </c>
      <c r="P138" s="50">
        <f t="shared" ref="P138" ca="1" si="2038">SUM(P135:P137)</f>
        <v>6995220.0694555258</v>
      </c>
      <c r="Q138" s="50">
        <f t="shared" ref="Q138" ca="1" si="2039">SUM(Q135:Q137)</f>
        <v>7340890.8190296087</v>
      </c>
      <c r="R138" s="50">
        <f t="shared" ref="R138" ca="1" si="2040">SUM(R135:R137)</f>
        <v>7658936.9071602598</v>
      </c>
      <c r="S138" s="50">
        <f t="shared" ref="S138" ca="1" si="2041">SUM(S135:S137)</f>
        <v>7952045.5421006726</v>
      </c>
      <c r="T138" s="50">
        <f t="shared" ref="T138" ca="1" si="2042">SUM(T135:T137)</f>
        <v>8222662.1519338712</v>
      </c>
      <c r="U138" s="50">
        <f t="shared" ref="U138" ca="1" si="2043">SUM(U135:U137)</f>
        <v>8473010.4089121092</v>
      </c>
      <c r="V138" s="50">
        <f t="shared" ref="V138" ca="1" si="2044">SUM(V135:V137)</f>
        <v>8705110.83389806</v>
      </c>
      <c r="W138" s="50">
        <f t="shared" ref="W138" ca="1" si="2045">SUM(W135:W137)</f>
        <v>8920798.0452782493</v>
      </c>
      <c r="X138" s="50">
        <f t="shared" ref="X138" ca="1" si="2046">SUM(X135:X137)</f>
        <v>9121736.7203530595</v>
      </c>
      <c r="Y138" s="50">
        <f t="shared" ref="Y138" ca="1" si="2047">SUM(Y135:Y137)</f>
        <v>9309436.339190796</v>
      </c>
      <c r="Z138" s="50">
        <f t="shared" ref="Z138" ca="1" si="2048">SUM(Z135:Z137)</f>
        <v>9485264.7815940678</v>
      </c>
      <c r="AA138" s="50">
        <f t="shared" ref="AA138" ca="1" si="2049">SUM(AA135:AA137)</f>
        <v>9650460.8474396728</v>
      </c>
      <c r="AB138" s="50">
        <f t="shared" ref="AB138" ca="1" si="2050">SUM(AB135:AB137)</f>
        <v>9806145.7694479041</v>
      </c>
      <c r="AC138" s="50">
        <f t="shared" ref="AC138" ca="1" si="2051">SUM(AC135:AC137)</f>
        <v>9953333.7856041826</v>
      </c>
      <c r="AD138" s="50">
        <f t="shared" ref="AD138" ca="1" si="2052">SUM(AD135:AD137)</f>
        <v>10092941.836153168</v>
      </c>
      <c r="AE138" s="50">
        <f t="shared" ref="AE138" ca="1" si="2053">SUM(AE135:AE137)</f>
        <v>10225798.447443102</v>
      </c>
      <c r="AF138" s="50">
        <f t="shared" ref="AF138" ca="1" si="2054">SUM(AF135:AF137)</f>
        <v>10352651.862022527</v>
      </c>
      <c r="AG138" s="50">
        <f t="shared" ref="AG138" ca="1" si="2055">SUM(AG135:AG137)</f>
        <v>10474177.471369633</v>
      </c>
      <c r="AH138" s="50">
        <f t="shared" ref="AH138" ca="1" si="2056">SUM(AH135:AH137)</f>
        <v>10590984.604536176</v>
      </c>
      <c r="AI138" s="50">
        <f t="shared" ref="AI138" ca="1" si="2057">SUM(AI135:AI137)</f>
        <v>10703622.722869277</v>
      </c>
      <c r="AJ138" s="50">
        <f t="shared" ref="AJ138" ca="1" si="2058">SUM(AJ135:AJ137)</f>
        <v>10812587.067879766</v>
      </c>
      <c r="AK138" s="50">
        <f t="shared" ref="AK138" ca="1" si="2059">SUM(AK135:AK137)</f>
        <v>10918323.806289453</v>
      </c>
      <c r="AL138" s="50">
        <f t="shared" ref="AL138" ca="1" si="2060">SUM(AL135:AL137)</f>
        <v>11021234.713338355</v>
      </c>
      <c r="AM138" s="50">
        <f t="shared" ref="AM138" ca="1" si="2061">SUM(AM135:AM137)</f>
        <v>11121681.432585925</v>
      </c>
      <c r="AN138" s="50">
        <f t="shared" ref="AN138" ca="1" si="2062">SUM(AN135:AN137)</f>
        <v>11219989.347711885</v>
      </c>
      <c r="AO138" s="50">
        <f t="shared" ref="AO138" ca="1" si="2063">SUM(AO135:AO137)</f>
        <v>11316451.099222071</v>
      </c>
      <c r="AP138" s="50">
        <f t="shared" ref="AP138" ca="1" si="2064">SUM(AP135:AP137)</f>
        <v>11411329.776498312</v>
      </c>
      <c r="AQ138" s="50">
        <f t="shared" ref="AQ138" ca="1" si="2065">SUM(AQ135:AQ137)</f>
        <v>11504861.813302087</v>
      </c>
      <c r="AR138" s="50">
        <f t="shared" ref="AR138" ca="1" si="2066">SUM(AR135:AR137)</f>
        <v>11597259.612649726</v>
      </c>
      <c r="AS138" s="50">
        <f t="shared" ref="AS138" ca="1" si="2067">SUM(AS135:AS137)</f>
        <v>11688713.924921157</v>
      </c>
      <c r="AT138" s="50">
        <f t="shared" ref="AT138" ca="1" si="2068">SUM(AT135:AT137)</f>
        <v>11779396.001141686</v>
      </c>
      <c r="AU138" s="50">
        <f t="shared" ref="AU138" ca="1" si="2069">SUM(AU135:AU137)</f>
        <v>11869459.541583309</v>
      </c>
      <c r="AV138" s="50">
        <f t="shared" ref="AV138" ca="1" si="2070">SUM(AV135:AV137)</f>
        <v>11959042.458163634</v>
      </c>
      <c r="AW138" s="50">
        <f t="shared" ref="AW138" ca="1" si="2071">SUM(AW135:AW137)</f>
        <v>12048268.467571665</v>
      </c>
      <c r="AX138" s="50">
        <f t="shared" ref="AX138" ca="1" si="2072">SUM(AX135:AX137)</f>
        <v>12137248.530614374</v>
      </c>
      <c r="AY138" s="50">
        <f t="shared" ref="AY138" ca="1" si="2073">SUM(AY135:AY137)</f>
        <v>12226082.151950656</v>
      </c>
      <c r="AZ138" s="50">
        <f t="shared" ref="AZ138" ca="1" si="2074">SUM(AZ135:AZ137)</f>
        <v>12314858.553153481</v>
      </c>
      <c r="BA138" s="50">
        <f t="shared" ref="BA138" ca="1" si="2075">SUM(BA135:BA137)</f>
        <v>12403657.730911141</v>
      </c>
      <c r="BB138" s="50">
        <f t="shared" ref="BB138" ca="1" si="2076">SUM(BB135:BB137)</f>
        <v>12492551.411138101</v>
      </c>
      <c r="BC138" s="50">
        <f t="shared" ref="BC138" ca="1" si="2077">SUM(BC135:BC137)</f>
        <v>12581603.908809643</v>
      </c>
      <c r="BD138" s="50">
        <f t="shared" ref="BD138" ca="1" si="2078">SUM(BD135:BD137)</f>
        <v>12670872.90245619</v>
      </c>
      <c r="BE138" s="50">
        <f t="shared" ref="BE138" ca="1" si="2079">SUM(BE135:BE137)</f>
        <v>12760410.131447723</v>
      </c>
      <c r="BF138" s="50">
        <f t="shared" ref="BF138" ca="1" si="2080">SUM(BF135:BF137)</f>
        <v>12850262.023460753</v>
      </c>
      <c r="BG138" s="50">
        <f t="shared" ref="BG138" ca="1" si="2081">SUM(BG135:BG137)</f>
        <v>12940470.258844852</v>
      </c>
      <c r="BH138" s="50">
        <f t="shared" ref="BH138" ca="1" si="2082">SUM(BH135:BH137)</f>
        <v>13031072.277988171</v>
      </c>
      <c r="BI138" s="50">
        <f t="shared" ref="BI138" ca="1" si="2083">SUM(BI135:BI137)</f>
        <v>13122101.737217199</v>
      </c>
      <c r="BJ138" s="50">
        <f t="shared" ref="BJ138" ca="1" si="2084">SUM(BJ135:BJ137)</f>
        <v>13213588.918251052</v>
      </c>
      <c r="BK138" s="50">
        <f t="shared" ref="BK138" ca="1" si="2085">SUM(BK135:BK137)</f>
        <v>13305561.095760936</v>
      </c>
      <c r="BL138" s="50">
        <f t="shared" ref="BL138" ca="1" si="2086">SUM(BL135:BL137)</f>
        <v>13398042.867157454</v>
      </c>
      <c r="BM138" s="50">
        <f t="shared" ref="BM138" ca="1" si="2087">SUM(BM135:BM137)</f>
        <v>13491056.448338712</v>
      </c>
      <c r="BN138" s="50">
        <f t="shared" ref="BN138" ca="1" si="2088">SUM(BN135:BN137)</f>
        <v>13584621.938777518</v>
      </c>
      <c r="BO138" s="50">
        <f t="shared" ref="BO138" ca="1" si="2089">SUM(BO135:BO137)</f>
        <v>13678757.559003452</v>
      </c>
      <c r="BP138" s="50">
        <f t="shared" ref="BP138" ca="1" si="2090">SUM(BP135:BP137)</f>
        <v>13773479.86324257</v>
      </c>
      <c r="BQ138" s="50">
        <f t="shared" ref="BQ138" ca="1" si="2091">SUM(BQ135:BQ137)</f>
        <v>13868803.929711232</v>
      </c>
      <c r="BR138" s="50">
        <f t="shared" ref="BR138" ca="1" si="2092">SUM(BR135:BR137)</f>
        <v>13964743.530819012</v>
      </c>
      <c r="BS138" s="50">
        <f t="shared" ref="BS138" ca="1" si="2093">SUM(BS135:BS137)</f>
        <v>14061311.285316451</v>
      </c>
      <c r="BT138" s="50">
        <f t="shared" ref="BT138" ca="1" si="2094">SUM(BT135:BT137)</f>
        <v>14158518.794224698</v>
      </c>
      <c r="BU138" s="50">
        <f t="shared" ref="BU138" ca="1" si="2095">SUM(BU135:BU137)</f>
        <v>14256376.76220401</v>
      </c>
      <c r="BV138" s="50">
        <f t="shared" ref="BV138" ca="1" si="2096">SUM(BV135:BV137)</f>
        <v>14354895.105855031</v>
      </c>
      <c r="BW138" s="50">
        <f t="shared" ref="BW138" ca="1" si="2097">SUM(BW135:BW137)</f>
        <v>14454083.050299123</v>
      </c>
      <c r="BX138" s="50">
        <f t="shared" ref="BX138" ca="1" si="2098">SUM(BX135:BX137)</f>
        <v>14553949.215250421</v>
      </c>
      <c r="BY138" s="50">
        <f t="shared" ref="BY138" ca="1" si="2099">SUM(BY135:BY137)</f>
        <v>14654501.691671558</v>
      </c>
      <c r="BZ138" s="50">
        <f t="shared" ref="BZ138" ca="1" si="2100">SUM(BZ135:BZ137)</f>
        <v>14755748.109995732</v>
      </c>
      <c r="CA138" s="50">
        <f t="shared" ref="CA138" ca="1" si="2101">SUM(CA135:CA137)</f>
        <v>14857695.700799206</v>
      </c>
      <c r="CB138" s="50">
        <f t="shared" ref="CB138" ca="1" si="2102">SUM(CB135:CB137)</f>
        <v>14960351.348719183</v>
      </c>
      <c r="CC138" s="50">
        <f t="shared" ref="CC138" ca="1" si="2103">SUM(CC135:CC137)</f>
        <v>15063721.640331566</v>
      </c>
      <c r="CD138" s="50">
        <f t="shared" ref="CD138" ca="1" si="2104">SUM(CD135:CD137)</f>
        <v>15167812.906630611</v>
      </c>
      <c r="CE138" s="50">
        <f t="shared" ref="CE138" ca="1" si="2105">SUM(CE135:CE137)</f>
        <v>15272631.260686908</v>
      </c>
      <c r="CF138" s="50">
        <f t="shared" ref="CF138" ca="1" si="2106">SUM(CF135:CF137)</f>
        <v>15378182.631001219</v>
      </c>
      <c r="CG138" s="50">
        <f t="shared" ref="CG138" ca="1" si="2107">SUM(CG135:CG137)</f>
        <v>15484472.791018466</v>
      </c>
      <c r="CH138" s="50">
        <f t="shared" ref="CH138" ca="1" si="2108">SUM(CH135:CH137)</f>
        <v>15591507.385218268</v>
      </c>
      <c r="CI138" s="50">
        <f t="shared" ref="CI138" ca="1" si="2109">SUM(CI135:CI137)</f>
        <v>15699291.952155279</v>
      </c>
      <c r="CJ138" s="50">
        <f t="shared" ref="CJ138" ca="1" si="2110">SUM(CJ135:CJ137)</f>
        <v>15807831.944783788</v>
      </c>
      <c r="CK138" s="50">
        <f t="shared" ref="CK138" ca="1" si="2111">SUM(CK135:CK137)</f>
        <v>15917132.74836608</v>
      </c>
      <c r="CL138" s="50">
        <f t="shared" ref="CL138" ca="1" si="2112">SUM(CL135:CL137)</f>
        <v>16027199.69623263</v>
      </c>
      <c r="CM138" s="50">
        <f t="shared" ref="CM138" ca="1" si="2113">SUM(CM135:CM137)</f>
        <v>16138038.083634052</v>
      </c>
      <c r="CN138" s="50">
        <f t="shared" ref="CN138" ca="1" si="2114">SUM(CN135:CN137)</f>
        <v>0</v>
      </c>
    </row>
    <row r="139" spans="1:92" ht="12.75" customHeight="1" x14ac:dyDescent="0.3"/>
    <row r="140" spans="1:92" ht="13.2" x14ac:dyDescent="0.25">
      <c r="A140" s="14"/>
      <c r="B140" s="14"/>
      <c r="C140" s="14" t="s">
        <v>101</v>
      </c>
      <c r="D140" s="20"/>
      <c r="E140" s="14"/>
      <c r="F140" s="14"/>
      <c r="G140" s="14"/>
      <c r="H140" s="57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</row>
    <row r="141" spans="1:92" ht="12.75" customHeight="1" x14ac:dyDescent="0.3"/>
    <row r="142" spans="1:92" ht="12.75" customHeight="1" x14ac:dyDescent="0.3"/>
    <row r="143" spans="1:92" ht="12.75" customHeight="1" x14ac:dyDescent="0.3"/>
    <row r="144" spans="1:92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</sheetData>
  <pageMargins left="0.7" right="0.7" top="0.75" bottom="0.75" header="0.3" footer="0.3"/>
  <pageSetup paperSize="9" orientation="portrait" verticalDpi="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166"/>
  <sheetViews>
    <sheetView showGridLines="0" zoomScaleNormal="100" workbookViewId="0">
      <pane xSplit="10" ySplit="7" topLeftCell="CH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21" activeCellId="2" sqref="D16 D19 D21"/>
    </sheetView>
  </sheetViews>
  <sheetFormatPr defaultColWidth="9.109375" defaultRowHeight="14.4" x14ac:dyDescent="0.3"/>
  <cols>
    <col min="1" max="1" width="7.33203125" style="1" customWidth="1"/>
    <col min="2" max="2" width="3.6640625" style="1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9.6640625" customWidth="1"/>
    <col min="10" max="10" width="14.6640625" style="1" customWidth="1"/>
    <col min="11" max="92" width="12.6640625" style="1" customWidth="1"/>
    <col min="93" max="16384" width="9.109375" style="1"/>
  </cols>
  <sheetData>
    <row r="1" spans="1:92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ht="18" customHeight="1" x14ac:dyDescent="0.4">
      <c r="A3" s="63">
        <f>CapexDA!A3+1</f>
        <v>4</v>
      </c>
      <c r="B3" s="64"/>
      <c r="C3" s="64" t="s">
        <v>194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x14ac:dyDescent="0.3">
      <c r="D4" s="8"/>
      <c r="E4" s="9"/>
    </row>
    <row r="5" spans="1:92" x14ac:dyDescent="0.3">
      <c r="D5" s="11"/>
    </row>
    <row r="6" spans="1:92" ht="15" customHeight="1" x14ac:dyDescent="0.3">
      <c r="D6" s="12"/>
      <c r="E6" s="2" t="s">
        <v>47</v>
      </c>
      <c r="L6" s="71">
        <f>Ass!$I$12</f>
        <v>41639</v>
      </c>
      <c r="M6" s="13">
        <f>L7+1</f>
        <v>41640</v>
      </c>
      <c r="N6" s="13">
        <f t="shared" ref="N6:BY6" si="0">M7+1</f>
        <v>41730</v>
      </c>
      <c r="O6" s="13">
        <f t="shared" si="0"/>
        <v>41821</v>
      </c>
      <c r="P6" s="13">
        <f t="shared" si="0"/>
        <v>41913</v>
      </c>
      <c r="Q6" s="13">
        <f t="shared" si="0"/>
        <v>42005</v>
      </c>
      <c r="R6" s="13">
        <f t="shared" si="0"/>
        <v>42095</v>
      </c>
      <c r="S6" s="13">
        <f t="shared" si="0"/>
        <v>42186</v>
      </c>
      <c r="T6" s="13">
        <f t="shared" si="0"/>
        <v>42278</v>
      </c>
      <c r="U6" s="13">
        <f t="shared" si="0"/>
        <v>42370</v>
      </c>
      <c r="V6" s="13">
        <f t="shared" si="0"/>
        <v>42461</v>
      </c>
      <c r="W6" s="13">
        <f t="shared" si="0"/>
        <v>42552</v>
      </c>
      <c r="X6" s="13">
        <f t="shared" si="0"/>
        <v>42644</v>
      </c>
      <c r="Y6" s="13">
        <f t="shared" si="0"/>
        <v>42736</v>
      </c>
      <c r="Z6" s="13">
        <f t="shared" si="0"/>
        <v>42826</v>
      </c>
      <c r="AA6" s="13">
        <f t="shared" si="0"/>
        <v>42917</v>
      </c>
      <c r="AB6" s="13">
        <f t="shared" si="0"/>
        <v>43009</v>
      </c>
      <c r="AC6" s="13">
        <f t="shared" si="0"/>
        <v>43101</v>
      </c>
      <c r="AD6" s="13">
        <f t="shared" si="0"/>
        <v>43191</v>
      </c>
      <c r="AE6" s="13">
        <f t="shared" si="0"/>
        <v>43282</v>
      </c>
      <c r="AF6" s="13">
        <f t="shared" si="0"/>
        <v>43374</v>
      </c>
      <c r="AG6" s="13">
        <f t="shared" si="0"/>
        <v>43466</v>
      </c>
      <c r="AH6" s="13">
        <f t="shared" si="0"/>
        <v>43556</v>
      </c>
      <c r="AI6" s="13">
        <f t="shared" si="0"/>
        <v>43647</v>
      </c>
      <c r="AJ6" s="13">
        <f t="shared" si="0"/>
        <v>43739</v>
      </c>
      <c r="AK6" s="13">
        <f t="shared" si="0"/>
        <v>43831</v>
      </c>
      <c r="AL6" s="13">
        <f t="shared" si="0"/>
        <v>43922</v>
      </c>
      <c r="AM6" s="13">
        <f t="shared" si="0"/>
        <v>44013</v>
      </c>
      <c r="AN6" s="13">
        <f t="shared" si="0"/>
        <v>44105</v>
      </c>
      <c r="AO6" s="13">
        <f t="shared" si="0"/>
        <v>44197</v>
      </c>
      <c r="AP6" s="13">
        <f t="shared" si="0"/>
        <v>44287</v>
      </c>
      <c r="AQ6" s="13">
        <f t="shared" si="0"/>
        <v>44378</v>
      </c>
      <c r="AR6" s="13">
        <f t="shared" si="0"/>
        <v>44470</v>
      </c>
      <c r="AS6" s="13">
        <f t="shared" si="0"/>
        <v>44562</v>
      </c>
      <c r="AT6" s="13">
        <f t="shared" si="0"/>
        <v>44652</v>
      </c>
      <c r="AU6" s="13">
        <f t="shared" si="0"/>
        <v>44743</v>
      </c>
      <c r="AV6" s="13">
        <f t="shared" si="0"/>
        <v>44835</v>
      </c>
      <c r="AW6" s="13">
        <f t="shared" si="0"/>
        <v>44927</v>
      </c>
      <c r="AX6" s="13">
        <f t="shared" si="0"/>
        <v>45017</v>
      </c>
      <c r="AY6" s="13">
        <f t="shared" si="0"/>
        <v>45108</v>
      </c>
      <c r="AZ6" s="13">
        <f t="shared" si="0"/>
        <v>45200</v>
      </c>
      <c r="BA6" s="13">
        <f t="shared" si="0"/>
        <v>45292</v>
      </c>
      <c r="BB6" s="13">
        <f t="shared" si="0"/>
        <v>45383</v>
      </c>
      <c r="BC6" s="13">
        <f t="shared" si="0"/>
        <v>45474</v>
      </c>
      <c r="BD6" s="13">
        <f t="shared" si="0"/>
        <v>45566</v>
      </c>
      <c r="BE6" s="13">
        <f t="shared" si="0"/>
        <v>45658</v>
      </c>
      <c r="BF6" s="13">
        <f t="shared" si="0"/>
        <v>45748</v>
      </c>
      <c r="BG6" s="13">
        <f t="shared" si="0"/>
        <v>45839</v>
      </c>
      <c r="BH6" s="13">
        <f t="shared" si="0"/>
        <v>45931</v>
      </c>
      <c r="BI6" s="13">
        <f t="shared" si="0"/>
        <v>46023</v>
      </c>
      <c r="BJ6" s="13">
        <f t="shared" si="0"/>
        <v>46113</v>
      </c>
      <c r="BK6" s="13">
        <f t="shared" si="0"/>
        <v>46204</v>
      </c>
      <c r="BL6" s="13">
        <f t="shared" si="0"/>
        <v>46296</v>
      </c>
      <c r="BM6" s="13">
        <f t="shared" si="0"/>
        <v>46388</v>
      </c>
      <c r="BN6" s="13">
        <f t="shared" si="0"/>
        <v>46478</v>
      </c>
      <c r="BO6" s="13">
        <f t="shared" si="0"/>
        <v>46569</v>
      </c>
      <c r="BP6" s="13">
        <f t="shared" si="0"/>
        <v>46661</v>
      </c>
      <c r="BQ6" s="13">
        <f t="shared" si="0"/>
        <v>46753</v>
      </c>
      <c r="BR6" s="13">
        <f t="shared" si="0"/>
        <v>46844</v>
      </c>
      <c r="BS6" s="13">
        <f t="shared" si="0"/>
        <v>46935</v>
      </c>
      <c r="BT6" s="13">
        <f t="shared" si="0"/>
        <v>47027</v>
      </c>
      <c r="BU6" s="13">
        <f t="shared" si="0"/>
        <v>47119</v>
      </c>
      <c r="BV6" s="13">
        <f t="shared" si="0"/>
        <v>47209</v>
      </c>
      <c r="BW6" s="13">
        <f t="shared" si="0"/>
        <v>47300</v>
      </c>
      <c r="BX6" s="13">
        <f t="shared" si="0"/>
        <v>47392</v>
      </c>
      <c r="BY6" s="13">
        <f t="shared" si="0"/>
        <v>47484</v>
      </c>
      <c r="BZ6" s="13">
        <f t="shared" ref="BZ6:CN6" si="1">BY7+1</f>
        <v>47574</v>
      </c>
      <c r="CA6" s="13">
        <f t="shared" si="1"/>
        <v>47665</v>
      </c>
      <c r="CB6" s="13">
        <f t="shared" si="1"/>
        <v>47757</v>
      </c>
      <c r="CC6" s="13">
        <f t="shared" si="1"/>
        <v>47849</v>
      </c>
      <c r="CD6" s="13">
        <f t="shared" si="1"/>
        <v>47939</v>
      </c>
      <c r="CE6" s="13">
        <f t="shared" si="1"/>
        <v>48030</v>
      </c>
      <c r="CF6" s="13">
        <f t="shared" si="1"/>
        <v>48122</v>
      </c>
      <c r="CG6" s="13">
        <f t="shared" si="1"/>
        <v>48214</v>
      </c>
      <c r="CH6" s="13">
        <f t="shared" si="1"/>
        <v>48305</v>
      </c>
      <c r="CI6" s="13">
        <f t="shared" si="1"/>
        <v>48396</v>
      </c>
      <c r="CJ6" s="13">
        <f t="shared" si="1"/>
        <v>48488</v>
      </c>
      <c r="CK6" s="13">
        <f t="shared" si="1"/>
        <v>48580</v>
      </c>
      <c r="CL6" s="13">
        <f t="shared" si="1"/>
        <v>48670</v>
      </c>
      <c r="CM6" s="13">
        <f t="shared" si="1"/>
        <v>48761</v>
      </c>
      <c r="CN6" s="13">
        <f t="shared" si="1"/>
        <v>48853</v>
      </c>
    </row>
    <row r="7" spans="1:92" ht="15" customHeight="1" x14ac:dyDescent="0.3">
      <c r="D7" s="12"/>
      <c r="E7" s="2" t="s">
        <v>48</v>
      </c>
      <c r="H7" s="10" t="s">
        <v>49</v>
      </c>
      <c r="J7" s="1" t="s">
        <v>50</v>
      </c>
      <c r="L7" s="71">
        <f>Ass!$I$12</f>
        <v>41639</v>
      </c>
      <c r="M7" s="13">
        <f>EOMONTH(L7,3)</f>
        <v>41729</v>
      </c>
      <c r="N7" s="13">
        <f t="shared" ref="N7:BY7" si="2">EOMONTH(M7,3)</f>
        <v>41820</v>
      </c>
      <c r="O7" s="13">
        <f t="shared" si="2"/>
        <v>41912</v>
      </c>
      <c r="P7" s="13">
        <f t="shared" si="2"/>
        <v>42004</v>
      </c>
      <c r="Q7" s="13">
        <f t="shared" si="2"/>
        <v>42094</v>
      </c>
      <c r="R7" s="13">
        <f t="shared" si="2"/>
        <v>42185</v>
      </c>
      <c r="S7" s="13">
        <f t="shared" si="2"/>
        <v>42277</v>
      </c>
      <c r="T7" s="13">
        <f t="shared" si="2"/>
        <v>42369</v>
      </c>
      <c r="U7" s="13">
        <f t="shared" si="2"/>
        <v>42460</v>
      </c>
      <c r="V7" s="13">
        <f t="shared" si="2"/>
        <v>42551</v>
      </c>
      <c r="W7" s="13">
        <f t="shared" si="2"/>
        <v>42643</v>
      </c>
      <c r="X7" s="13">
        <f t="shared" si="2"/>
        <v>42735</v>
      </c>
      <c r="Y7" s="13">
        <f t="shared" si="2"/>
        <v>42825</v>
      </c>
      <c r="Z7" s="13">
        <f t="shared" si="2"/>
        <v>42916</v>
      </c>
      <c r="AA7" s="13">
        <f t="shared" si="2"/>
        <v>43008</v>
      </c>
      <c r="AB7" s="13">
        <f t="shared" si="2"/>
        <v>43100</v>
      </c>
      <c r="AC7" s="13">
        <f t="shared" si="2"/>
        <v>43190</v>
      </c>
      <c r="AD7" s="13">
        <f t="shared" si="2"/>
        <v>43281</v>
      </c>
      <c r="AE7" s="13">
        <f t="shared" si="2"/>
        <v>43373</v>
      </c>
      <c r="AF7" s="13">
        <f t="shared" si="2"/>
        <v>43465</v>
      </c>
      <c r="AG7" s="13">
        <f t="shared" si="2"/>
        <v>43555</v>
      </c>
      <c r="AH7" s="13">
        <f t="shared" si="2"/>
        <v>43646</v>
      </c>
      <c r="AI7" s="13">
        <f t="shared" si="2"/>
        <v>43738</v>
      </c>
      <c r="AJ7" s="13">
        <f t="shared" si="2"/>
        <v>43830</v>
      </c>
      <c r="AK7" s="13">
        <f t="shared" si="2"/>
        <v>43921</v>
      </c>
      <c r="AL7" s="13">
        <f t="shared" si="2"/>
        <v>44012</v>
      </c>
      <c r="AM7" s="13">
        <f t="shared" si="2"/>
        <v>44104</v>
      </c>
      <c r="AN7" s="13">
        <f t="shared" si="2"/>
        <v>44196</v>
      </c>
      <c r="AO7" s="13">
        <f t="shared" si="2"/>
        <v>44286</v>
      </c>
      <c r="AP7" s="13">
        <f t="shared" si="2"/>
        <v>44377</v>
      </c>
      <c r="AQ7" s="13">
        <f t="shared" si="2"/>
        <v>44469</v>
      </c>
      <c r="AR7" s="13">
        <f t="shared" si="2"/>
        <v>44561</v>
      </c>
      <c r="AS7" s="13">
        <f t="shared" si="2"/>
        <v>44651</v>
      </c>
      <c r="AT7" s="13">
        <f t="shared" si="2"/>
        <v>44742</v>
      </c>
      <c r="AU7" s="13">
        <f t="shared" si="2"/>
        <v>44834</v>
      </c>
      <c r="AV7" s="13">
        <f t="shared" si="2"/>
        <v>44926</v>
      </c>
      <c r="AW7" s="13">
        <f t="shared" si="2"/>
        <v>45016</v>
      </c>
      <c r="AX7" s="13">
        <f t="shared" si="2"/>
        <v>45107</v>
      </c>
      <c r="AY7" s="13">
        <f t="shared" si="2"/>
        <v>45199</v>
      </c>
      <c r="AZ7" s="13">
        <f t="shared" si="2"/>
        <v>45291</v>
      </c>
      <c r="BA7" s="13">
        <f t="shared" si="2"/>
        <v>45382</v>
      </c>
      <c r="BB7" s="13">
        <f t="shared" si="2"/>
        <v>45473</v>
      </c>
      <c r="BC7" s="13">
        <f t="shared" si="2"/>
        <v>45565</v>
      </c>
      <c r="BD7" s="13">
        <f t="shared" si="2"/>
        <v>45657</v>
      </c>
      <c r="BE7" s="13">
        <f t="shared" si="2"/>
        <v>45747</v>
      </c>
      <c r="BF7" s="13">
        <f t="shared" si="2"/>
        <v>45838</v>
      </c>
      <c r="BG7" s="13">
        <f t="shared" si="2"/>
        <v>45930</v>
      </c>
      <c r="BH7" s="13">
        <f t="shared" si="2"/>
        <v>46022</v>
      </c>
      <c r="BI7" s="13">
        <f t="shared" si="2"/>
        <v>46112</v>
      </c>
      <c r="BJ7" s="13">
        <f t="shared" si="2"/>
        <v>46203</v>
      </c>
      <c r="BK7" s="13">
        <f t="shared" si="2"/>
        <v>46295</v>
      </c>
      <c r="BL7" s="13">
        <f t="shared" si="2"/>
        <v>46387</v>
      </c>
      <c r="BM7" s="13">
        <f t="shared" si="2"/>
        <v>46477</v>
      </c>
      <c r="BN7" s="13">
        <f t="shared" si="2"/>
        <v>46568</v>
      </c>
      <c r="BO7" s="13">
        <f t="shared" si="2"/>
        <v>46660</v>
      </c>
      <c r="BP7" s="13">
        <f t="shared" si="2"/>
        <v>46752</v>
      </c>
      <c r="BQ7" s="13">
        <f t="shared" si="2"/>
        <v>46843</v>
      </c>
      <c r="BR7" s="13">
        <f t="shared" si="2"/>
        <v>46934</v>
      </c>
      <c r="BS7" s="13">
        <f t="shared" si="2"/>
        <v>47026</v>
      </c>
      <c r="BT7" s="13">
        <f t="shared" si="2"/>
        <v>47118</v>
      </c>
      <c r="BU7" s="13">
        <f t="shared" si="2"/>
        <v>47208</v>
      </c>
      <c r="BV7" s="13">
        <f t="shared" si="2"/>
        <v>47299</v>
      </c>
      <c r="BW7" s="13">
        <f t="shared" si="2"/>
        <v>47391</v>
      </c>
      <c r="BX7" s="13">
        <f t="shared" si="2"/>
        <v>47483</v>
      </c>
      <c r="BY7" s="13">
        <f t="shared" si="2"/>
        <v>47573</v>
      </c>
      <c r="BZ7" s="13">
        <f t="shared" ref="BZ7:CN7" si="3">EOMONTH(BY7,3)</f>
        <v>47664</v>
      </c>
      <c r="CA7" s="13">
        <f t="shared" si="3"/>
        <v>47756</v>
      </c>
      <c r="CB7" s="13">
        <f t="shared" si="3"/>
        <v>47848</v>
      </c>
      <c r="CC7" s="13">
        <f t="shared" si="3"/>
        <v>47938</v>
      </c>
      <c r="CD7" s="13">
        <f t="shared" si="3"/>
        <v>48029</v>
      </c>
      <c r="CE7" s="13">
        <f t="shared" si="3"/>
        <v>48121</v>
      </c>
      <c r="CF7" s="13">
        <f t="shared" si="3"/>
        <v>48213</v>
      </c>
      <c r="CG7" s="13">
        <f t="shared" si="3"/>
        <v>48304</v>
      </c>
      <c r="CH7" s="13">
        <f t="shared" si="3"/>
        <v>48395</v>
      </c>
      <c r="CI7" s="13">
        <f t="shared" si="3"/>
        <v>48487</v>
      </c>
      <c r="CJ7" s="13">
        <f t="shared" si="3"/>
        <v>48579</v>
      </c>
      <c r="CK7" s="13">
        <f t="shared" si="3"/>
        <v>48669</v>
      </c>
      <c r="CL7" s="13">
        <f t="shared" si="3"/>
        <v>48760</v>
      </c>
      <c r="CM7" s="13">
        <f t="shared" si="3"/>
        <v>48852</v>
      </c>
      <c r="CN7" s="13">
        <f t="shared" si="3"/>
        <v>48944</v>
      </c>
    </row>
    <row r="8" spans="1:92" x14ac:dyDescent="0.3">
      <c r="C8" s="8"/>
    </row>
    <row r="9" spans="1:92" ht="13.2" x14ac:dyDescent="0.25">
      <c r="A9" s="14">
        <f>MAX(A$3:A8)+0.01</f>
        <v>4.01</v>
      </c>
      <c r="B9" s="14"/>
      <c r="C9" s="14" t="s">
        <v>87</v>
      </c>
      <c r="D9" s="20"/>
      <c r="E9" s="14"/>
      <c r="F9" s="14"/>
      <c r="G9" s="14"/>
      <c r="H9" s="5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ht="12.75" customHeight="1" x14ac:dyDescent="0.3"/>
    <row r="11" spans="1:92" ht="12.75" customHeight="1" x14ac:dyDescent="0.3">
      <c r="C11" s="17" t="s">
        <v>196</v>
      </c>
      <c r="D11" s="15"/>
      <c r="H11" s="16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92" ht="12.75" customHeight="1" x14ac:dyDescent="0.3">
      <c r="D12" s="75" t="s">
        <v>181</v>
      </c>
      <c r="H12" s="16" t="s">
        <v>1</v>
      </c>
      <c r="J12" s="108">
        <f>Ass!I148</f>
        <v>120000000</v>
      </c>
      <c r="L12" s="15">
        <f t="shared" ref="L12:BW12" si="4">K16</f>
        <v>0</v>
      </c>
      <c r="M12" s="15">
        <f t="shared" si="4"/>
        <v>120000000</v>
      </c>
      <c r="N12" s="15">
        <f t="shared" si="4"/>
        <v>114414176.44983999</v>
      </c>
      <c r="O12" s="15">
        <f t="shared" ca="1" si="4"/>
        <v>110331673.65984476</v>
      </c>
      <c r="P12" s="15">
        <f t="shared" ca="1" si="4"/>
        <v>104998739.65975566</v>
      </c>
      <c r="Q12" s="15">
        <f t="shared" ca="1" si="4"/>
        <v>99767192.424407929</v>
      </c>
      <c r="R12" s="15">
        <f t="shared" ca="1" si="4"/>
        <v>93862072.91063267</v>
      </c>
      <c r="S12" s="15">
        <f t="shared" ca="1" si="4"/>
        <v>87722830.925713629</v>
      </c>
      <c r="T12" s="15">
        <f t="shared" ca="1" si="4"/>
        <v>81183014.654860407</v>
      </c>
      <c r="U12" s="15">
        <f t="shared" ca="1" si="4"/>
        <v>74763691.916916639</v>
      </c>
      <c r="V12" s="15">
        <f t="shared" ca="1" si="4"/>
        <v>68495390.441011339</v>
      </c>
      <c r="W12" s="15">
        <f t="shared" ca="1" si="4"/>
        <v>62184586.307228103</v>
      </c>
      <c r="X12" s="15">
        <f t="shared" ca="1" si="4"/>
        <v>60000000</v>
      </c>
      <c r="Y12" s="15">
        <f t="shared" ca="1" si="4"/>
        <v>59000000</v>
      </c>
      <c r="Z12" s="15">
        <f t="shared" ca="1" si="4"/>
        <v>58000000</v>
      </c>
      <c r="AA12" s="15">
        <f t="shared" ca="1" si="4"/>
        <v>57000000</v>
      </c>
      <c r="AB12" s="15">
        <f t="shared" ca="1" si="4"/>
        <v>56000000</v>
      </c>
      <c r="AC12" s="15">
        <f t="shared" ca="1" si="4"/>
        <v>55000000</v>
      </c>
      <c r="AD12" s="15">
        <f t="shared" ca="1" si="4"/>
        <v>54000000</v>
      </c>
      <c r="AE12" s="15">
        <f t="shared" ca="1" si="4"/>
        <v>53000000</v>
      </c>
      <c r="AF12" s="15">
        <f t="shared" ca="1" si="4"/>
        <v>52000000</v>
      </c>
      <c r="AG12" s="15">
        <f t="shared" ca="1" si="4"/>
        <v>51000000</v>
      </c>
      <c r="AH12" s="15">
        <f t="shared" ca="1" si="4"/>
        <v>50000000</v>
      </c>
      <c r="AI12" s="15">
        <f t="shared" ca="1" si="4"/>
        <v>49000000</v>
      </c>
      <c r="AJ12" s="15">
        <f t="shared" ca="1" si="4"/>
        <v>48000000</v>
      </c>
      <c r="AK12" s="15">
        <f t="shared" ca="1" si="4"/>
        <v>47000000</v>
      </c>
      <c r="AL12" s="15">
        <f t="shared" ca="1" si="4"/>
        <v>46000000</v>
      </c>
      <c r="AM12" s="15">
        <f t="shared" ca="1" si="4"/>
        <v>45000000</v>
      </c>
      <c r="AN12" s="15">
        <f t="shared" ca="1" si="4"/>
        <v>44000000</v>
      </c>
      <c r="AO12" s="15">
        <f t="shared" ca="1" si="4"/>
        <v>43000000</v>
      </c>
      <c r="AP12" s="15">
        <f t="shared" ca="1" si="4"/>
        <v>42000000</v>
      </c>
      <c r="AQ12" s="15">
        <f t="shared" ca="1" si="4"/>
        <v>41000000</v>
      </c>
      <c r="AR12" s="15">
        <f t="shared" ca="1" si="4"/>
        <v>40000000</v>
      </c>
      <c r="AS12" s="15">
        <f t="shared" ca="1" si="4"/>
        <v>39000000</v>
      </c>
      <c r="AT12" s="15">
        <f t="shared" ca="1" si="4"/>
        <v>38000000</v>
      </c>
      <c r="AU12" s="15">
        <f t="shared" ca="1" si="4"/>
        <v>37000000</v>
      </c>
      <c r="AV12" s="15">
        <f t="shared" ca="1" si="4"/>
        <v>36000000</v>
      </c>
      <c r="AW12" s="15">
        <f t="shared" ca="1" si="4"/>
        <v>35000000</v>
      </c>
      <c r="AX12" s="15">
        <f t="shared" ca="1" si="4"/>
        <v>34000000</v>
      </c>
      <c r="AY12" s="15">
        <f t="shared" ca="1" si="4"/>
        <v>33000000</v>
      </c>
      <c r="AZ12" s="15">
        <f t="shared" ca="1" si="4"/>
        <v>32000000</v>
      </c>
      <c r="BA12" s="15">
        <f t="shared" ca="1" si="4"/>
        <v>31000000</v>
      </c>
      <c r="BB12" s="15">
        <f t="shared" ca="1" si="4"/>
        <v>30000000</v>
      </c>
      <c r="BC12" s="15">
        <f t="shared" ca="1" si="4"/>
        <v>29000000</v>
      </c>
      <c r="BD12" s="15">
        <f t="shared" ca="1" si="4"/>
        <v>28000000</v>
      </c>
      <c r="BE12" s="15">
        <f t="shared" ca="1" si="4"/>
        <v>27000000</v>
      </c>
      <c r="BF12" s="15">
        <f t="shared" ca="1" si="4"/>
        <v>26000000</v>
      </c>
      <c r="BG12" s="15">
        <f t="shared" ca="1" si="4"/>
        <v>25000000</v>
      </c>
      <c r="BH12" s="15">
        <f t="shared" ca="1" si="4"/>
        <v>24000000</v>
      </c>
      <c r="BI12" s="15">
        <f t="shared" ca="1" si="4"/>
        <v>23000000</v>
      </c>
      <c r="BJ12" s="15">
        <f t="shared" ca="1" si="4"/>
        <v>22000000</v>
      </c>
      <c r="BK12" s="15">
        <f t="shared" ca="1" si="4"/>
        <v>21000000</v>
      </c>
      <c r="BL12" s="15">
        <f t="shared" ca="1" si="4"/>
        <v>20000000</v>
      </c>
      <c r="BM12" s="15">
        <f t="shared" ca="1" si="4"/>
        <v>19000000</v>
      </c>
      <c r="BN12" s="15">
        <f t="shared" ca="1" si="4"/>
        <v>18000000</v>
      </c>
      <c r="BO12" s="15">
        <f t="shared" ca="1" si="4"/>
        <v>17000000</v>
      </c>
      <c r="BP12" s="15">
        <f t="shared" ca="1" si="4"/>
        <v>16000000</v>
      </c>
      <c r="BQ12" s="15">
        <f t="shared" ca="1" si="4"/>
        <v>15000000</v>
      </c>
      <c r="BR12" s="15">
        <f t="shared" ca="1" si="4"/>
        <v>14000000</v>
      </c>
      <c r="BS12" s="15">
        <f t="shared" ca="1" si="4"/>
        <v>13000000</v>
      </c>
      <c r="BT12" s="15">
        <f t="shared" ca="1" si="4"/>
        <v>12000000</v>
      </c>
      <c r="BU12" s="15">
        <f t="shared" ca="1" si="4"/>
        <v>11000000</v>
      </c>
      <c r="BV12" s="15">
        <f t="shared" ca="1" si="4"/>
        <v>10000000</v>
      </c>
      <c r="BW12" s="15">
        <f t="shared" ca="1" si="4"/>
        <v>9000000</v>
      </c>
      <c r="BX12" s="15">
        <f t="shared" ref="BX12:CN12" ca="1" si="5">BW16</f>
        <v>8000000</v>
      </c>
      <c r="BY12" s="15">
        <f t="shared" ca="1" si="5"/>
        <v>7000000</v>
      </c>
      <c r="BZ12" s="15">
        <f t="shared" ca="1" si="5"/>
        <v>6000000</v>
      </c>
      <c r="CA12" s="15">
        <f t="shared" ca="1" si="5"/>
        <v>5000000</v>
      </c>
      <c r="CB12" s="15">
        <f t="shared" ca="1" si="5"/>
        <v>4000000</v>
      </c>
      <c r="CC12" s="15">
        <f t="shared" ca="1" si="5"/>
        <v>3000000</v>
      </c>
      <c r="CD12" s="15">
        <f t="shared" ca="1" si="5"/>
        <v>2000000</v>
      </c>
      <c r="CE12" s="15">
        <f t="shared" ca="1" si="5"/>
        <v>1000000</v>
      </c>
      <c r="CF12" s="15">
        <f t="shared" ca="1" si="5"/>
        <v>0</v>
      </c>
      <c r="CG12" s="15">
        <f t="shared" ca="1" si="5"/>
        <v>0</v>
      </c>
      <c r="CH12" s="15">
        <f t="shared" ca="1" si="5"/>
        <v>0</v>
      </c>
      <c r="CI12" s="15">
        <f t="shared" ca="1" si="5"/>
        <v>0</v>
      </c>
      <c r="CJ12" s="15">
        <f t="shared" ca="1" si="5"/>
        <v>0</v>
      </c>
      <c r="CK12" s="15">
        <f t="shared" ca="1" si="5"/>
        <v>0</v>
      </c>
      <c r="CL12" s="15">
        <f t="shared" ca="1" si="5"/>
        <v>0</v>
      </c>
      <c r="CM12" s="15">
        <f t="shared" ca="1" si="5"/>
        <v>0</v>
      </c>
      <c r="CN12" s="15">
        <f t="shared" ca="1" si="5"/>
        <v>0</v>
      </c>
    </row>
    <row r="13" spans="1:92" ht="12.75" customHeight="1" x14ac:dyDescent="0.3">
      <c r="D13" s="75" t="s">
        <v>195</v>
      </c>
      <c r="H13" s="16" t="s">
        <v>1</v>
      </c>
      <c r="J13" s="58">
        <f>SUM(L13:CN13)</f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4">
        <v>0</v>
      </c>
      <c r="BX13" s="24">
        <v>0</v>
      </c>
      <c r="BY13" s="24">
        <v>0</v>
      </c>
      <c r="BZ13" s="24">
        <v>0</v>
      </c>
      <c r="CA13" s="24">
        <v>0</v>
      </c>
      <c r="CB13" s="24">
        <v>0</v>
      </c>
      <c r="CC13" s="24">
        <v>0</v>
      </c>
      <c r="CD13" s="24">
        <v>0</v>
      </c>
      <c r="CE13" s="24">
        <v>0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</row>
    <row r="14" spans="1:92" ht="12.75" customHeight="1" x14ac:dyDescent="0.3">
      <c r="D14" s="75" t="s">
        <v>200</v>
      </c>
      <c r="H14" s="16"/>
      <c r="J14" s="58">
        <f ca="1">SUM(L14:CN14)</f>
        <v>-71000000</v>
      </c>
      <c r="L14" s="15">
        <f>-MIN(SUM(L12:L13),Ass!$I$120)</f>
        <v>0</v>
      </c>
      <c r="M14" s="15">
        <f>-MIN(SUM(M12:M13),Ass!$I$120)</f>
        <v>-1000000</v>
      </c>
      <c r="N14" s="15">
        <f>-MIN(SUM(N12:N13),Ass!$I$120)</f>
        <v>-1000000</v>
      </c>
      <c r="O14" s="15">
        <f ca="1">-MIN(SUM(O12:O13),Ass!$I$120)</f>
        <v>-1000000</v>
      </c>
      <c r="P14" s="15">
        <f ca="1">-MIN(SUM(P12:P13),Ass!$I$120)</f>
        <v>-1000000</v>
      </c>
      <c r="Q14" s="15">
        <f ca="1">-MIN(SUM(Q12:Q13),Ass!$I$120)</f>
        <v>-1000000</v>
      </c>
      <c r="R14" s="15">
        <f ca="1">-MIN(SUM(R12:R13),Ass!$I$120)</f>
        <v>-1000000</v>
      </c>
      <c r="S14" s="15">
        <f ca="1">-MIN(SUM(S12:S13),Ass!$I$120)</f>
        <v>-1000000</v>
      </c>
      <c r="T14" s="15">
        <f ca="1">-MIN(SUM(T12:T13),Ass!$I$120)</f>
        <v>-1000000</v>
      </c>
      <c r="U14" s="15">
        <f ca="1">-MIN(SUM(U12:U13),Ass!$I$120)</f>
        <v>-1000000</v>
      </c>
      <c r="V14" s="15">
        <f ca="1">-MIN(SUM(V12:V13),Ass!$I$120)</f>
        <v>-1000000</v>
      </c>
      <c r="W14" s="15">
        <f ca="1">-MIN(SUM(W12:W13),Ass!$I$120)</f>
        <v>-1000000</v>
      </c>
      <c r="X14" s="15">
        <f ca="1">-MIN(SUM(X12:X13),Ass!$I$120)</f>
        <v>-1000000</v>
      </c>
      <c r="Y14" s="15">
        <f ca="1">-MIN(SUM(Y12:Y13),Ass!$I$120)</f>
        <v>-1000000</v>
      </c>
      <c r="Z14" s="15">
        <f ca="1">-MIN(SUM(Z12:Z13),Ass!$I$120)</f>
        <v>-1000000</v>
      </c>
      <c r="AA14" s="15">
        <f ca="1">-MIN(SUM(AA12:AA13),Ass!$I$120)</f>
        <v>-1000000</v>
      </c>
      <c r="AB14" s="15">
        <f ca="1">-MIN(SUM(AB12:AB13),Ass!$I$120)</f>
        <v>-1000000</v>
      </c>
      <c r="AC14" s="15">
        <f ca="1">-MIN(SUM(AC12:AC13),Ass!$I$120)</f>
        <v>-1000000</v>
      </c>
      <c r="AD14" s="15">
        <f ca="1">-MIN(SUM(AD12:AD13),Ass!$I$120)</f>
        <v>-1000000</v>
      </c>
      <c r="AE14" s="15">
        <f ca="1">-MIN(SUM(AE12:AE13),Ass!$I$120)</f>
        <v>-1000000</v>
      </c>
      <c r="AF14" s="15">
        <f ca="1">-MIN(SUM(AF12:AF13),Ass!$I$120)</f>
        <v>-1000000</v>
      </c>
      <c r="AG14" s="15">
        <f ca="1">-MIN(SUM(AG12:AG13),Ass!$I$120)</f>
        <v>-1000000</v>
      </c>
      <c r="AH14" s="15">
        <f ca="1">-MIN(SUM(AH12:AH13),Ass!$I$120)</f>
        <v>-1000000</v>
      </c>
      <c r="AI14" s="15">
        <f ca="1">-MIN(SUM(AI12:AI13),Ass!$I$120)</f>
        <v>-1000000</v>
      </c>
      <c r="AJ14" s="15">
        <f ca="1">-MIN(SUM(AJ12:AJ13),Ass!$I$120)</f>
        <v>-1000000</v>
      </c>
      <c r="AK14" s="15">
        <f ca="1">-MIN(SUM(AK12:AK13),Ass!$I$120)</f>
        <v>-1000000</v>
      </c>
      <c r="AL14" s="15">
        <f ca="1">-MIN(SUM(AL12:AL13),Ass!$I$120)</f>
        <v>-1000000</v>
      </c>
      <c r="AM14" s="15">
        <f ca="1">-MIN(SUM(AM12:AM13),Ass!$I$120)</f>
        <v>-1000000</v>
      </c>
      <c r="AN14" s="15">
        <f ca="1">-MIN(SUM(AN12:AN13),Ass!$I$120)</f>
        <v>-1000000</v>
      </c>
      <c r="AO14" s="15">
        <f ca="1">-MIN(SUM(AO12:AO13),Ass!$I$120)</f>
        <v>-1000000</v>
      </c>
      <c r="AP14" s="15">
        <f ca="1">-MIN(SUM(AP12:AP13),Ass!$I$120)</f>
        <v>-1000000</v>
      </c>
      <c r="AQ14" s="15">
        <f ca="1">-MIN(SUM(AQ12:AQ13),Ass!$I$120)</f>
        <v>-1000000</v>
      </c>
      <c r="AR14" s="15">
        <f ca="1">-MIN(SUM(AR12:AR13),Ass!$I$120)</f>
        <v>-1000000</v>
      </c>
      <c r="AS14" s="15">
        <f ca="1">-MIN(SUM(AS12:AS13),Ass!$I$120)</f>
        <v>-1000000</v>
      </c>
      <c r="AT14" s="15">
        <f ca="1">-MIN(SUM(AT12:AT13),Ass!$I$120)</f>
        <v>-1000000</v>
      </c>
      <c r="AU14" s="15">
        <f ca="1">-MIN(SUM(AU12:AU13),Ass!$I$120)</f>
        <v>-1000000</v>
      </c>
      <c r="AV14" s="15">
        <f ca="1">-MIN(SUM(AV12:AV13),Ass!$I$120)</f>
        <v>-1000000</v>
      </c>
      <c r="AW14" s="15">
        <f ca="1">-MIN(SUM(AW12:AW13),Ass!$I$120)</f>
        <v>-1000000</v>
      </c>
      <c r="AX14" s="15">
        <f ca="1">-MIN(SUM(AX12:AX13),Ass!$I$120)</f>
        <v>-1000000</v>
      </c>
      <c r="AY14" s="15">
        <f ca="1">-MIN(SUM(AY12:AY13),Ass!$I$120)</f>
        <v>-1000000</v>
      </c>
      <c r="AZ14" s="15">
        <f ca="1">-MIN(SUM(AZ12:AZ13),Ass!$I$120)</f>
        <v>-1000000</v>
      </c>
      <c r="BA14" s="15">
        <f ca="1">-MIN(SUM(BA12:BA13),Ass!$I$120)</f>
        <v>-1000000</v>
      </c>
      <c r="BB14" s="15">
        <f ca="1">-MIN(SUM(BB12:BB13),Ass!$I$120)</f>
        <v>-1000000</v>
      </c>
      <c r="BC14" s="15">
        <f ca="1">-MIN(SUM(BC12:BC13),Ass!$I$120)</f>
        <v>-1000000</v>
      </c>
      <c r="BD14" s="15">
        <f ca="1">-MIN(SUM(BD12:BD13),Ass!$I$120)</f>
        <v>-1000000</v>
      </c>
      <c r="BE14" s="15">
        <f ca="1">-MIN(SUM(BE12:BE13),Ass!$I$120)</f>
        <v>-1000000</v>
      </c>
      <c r="BF14" s="15">
        <f ca="1">-MIN(SUM(BF12:BF13),Ass!$I$120)</f>
        <v>-1000000</v>
      </c>
      <c r="BG14" s="15">
        <f ca="1">-MIN(SUM(BG12:BG13),Ass!$I$120)</f>
        <v>-1000000</v>
      </c>
      <c r="BH14" s="15">
        <f ca="1">-MIN(SUM(BH12:BH13),Ass!$I$120)</f>
        <v>-1000000</v>
      </c>
      <c r="BI14" s="15">
        <f ca="1">-MIN(SUM(BI12:BI13),Ass!$I$120)</f>
        <v>-1000000</v>
      </c>
      <c r="BJ14" s="15">
        <f ca="1">-MIN(SUM(BJ12:BJ13),Ass!$I$120)</f>
        <v>-1000000</v>
      </c>
      <c r="BK14" s="15">
        <f ca="1">-MIN(SUM(BK12:BK13),Ass!$I$120)</f>
        <v>-1000000</v>
      </c>
      <c r="BL14" s="15">
        <f ca="1">-MIN(SUM(BL12:BL13),Ass!$I$120)</f>
        <v>-1000000</v>
      </c>
      <c r="BM14" s="15">
        <f ca="1">-MIN(SUM(BM12:BM13),Ass!$I$120)</f>
        <v>-1000000</v>
      </c>
      <c r="BN14" s="15">
        <f ca="1">-MIN(SUM(BN12:BN13),Ass!$I$120)</f>
        <v>-1000000</v>
      </c>
      <c r="BO14" s="15">
        <f ca="1">-MIN(SUM(BO12:BO13),Ass!$I$120)</f>
        <v>-1000000</v>
      </c>
      <c r="BP14" s="15">
        <f ca="1">-MIN(SUM(BP12:BP13),Ass!$I$120)</f>
        <v>-1000000</v>
      </c>
      <c r="BQ14" s="15">
        <f ca="1">-MIN(SUM(BQ12:BQ13),Ass!$I$120)</f>
        <v>-1000000</v>
      </c>
      <c r="BR14" s="15">
        <f ca="1">-MIN(SUM(BR12:BR13),Ass!$I$120)</f>
        <v>-1000000</v>
      </c>
      <c r="BS14" s="15">
        <f ca="1">-MIN(SUM(BS12:BS13),Ass!$I$120)</f>
        <v>-1000000</v>
      </c>
      <c r="BT14" s="15">
        <f ca="1">-MIN(SUM(BT12:BT13),Ass!$I$120)</f>
        <v>-1000000</v>
      </c>
      <c r="BU14" s="15">
        <f ca="1">-MIN(SUM(BU12:BU13),Ass!$I$120)</f>
        <v>-1000000</v>
      </c>
      <c r="BV14" s="15">
        <f ca="1">-MIN(SUM(BV12:BV13),Ass!$I$120)</f>
        <v>-1000000</v>
      </c>
      <c r="BW14" s="15">
        <f ca="1">-MIN(SUM(BW12:BW13),Ass!$I$120)</f>
        <v>-1000000</v>
      </c>
      <c r="BX14" s="15">
        <f ca="1">-MIN(SUM(BX12:BX13),Ass!$I$120)</f>
        <v>-1000000</v>
      </c>
      <c r="BY14" s="15">
        <f ca="1">-MIN(SUM(BY12:BY13),Ass!$I$120)</f>
        <v>-1000000</v>
      </c>
      <c r="BZ14" s="15">
        <f ca="1">-MIN(SUM(BZ12:BZ13),Ass!$I$120)</f>
        <v>-1000000</v>
      </c>
      <c r="CA14" s="15">
        <f ca="1">-MIN(SUM(CA12:CA13),Ass!$I$120)</f>
        <v>-1000000</v>
      </c>
      <c r="CB14" s="15">
        <f ca="1">-MIN(SUM(CB12:CB13),Ass!$I$120)</f>
        <v>-1000000</v>
      </c>
      <c r="CC14" s="15">
        <f ca="1">-MIN(SUM(CC12:CC13),Ass!$I$120)</f>
        <v>-1000000</v>
      </c>
      <c r="CD14" s="15">
        <f ca="1">-MIN(SUM(CD12:CD13),Ass!$I$120)</f>
        <v>-1000000</v>
      </c>
      <c r="CE14" s="15">
        <f ca="1">-MIN(SUM(CE12:CE13),Ass!$I$120)</f>
        <v>-1000000</v>
      </c>
      <c r="CF14" s="15">
        <f ca="1">-MIN(SUM(CF12:CF13),Ass!$I$120)</f>
        <v>0</v>
      </c>
      <c r="CG14" s="15">
        <f ca="1">-MIN(SUM(CG12:CG13),Ass!$I$120)</f>
        <v>0</v>
      </c>
      <c r="CH14" s="15">
        <f ca="1">-MIN(SUM(CH12:CH13),Ass!$I$120)</f>
        <v>0</v>
      </c>
      <c r="CI14" s="15">
        <f ca="1">-MIN(SUM(CI12:CI13),Ass!$I$120)</f>
        <v>0</v>
      </c>
      <c r="CJ14" s="15">
        <f ca="1">-MIN(SUM(CJ12:CJ13),Ass!$I$120)</f>
        <v>0</v>
      </c>
      <c r="CK14" s="15">
        <f ca="1">-MIN(SUM(CK12:CK13),Ass!$I$120)</f>
        <v>0</v>
      </c>
      <c r="CL14" s="15">
        <f ca="1">-MIN(SUM(CL12:CL13),Ass!$I$120)</f>
        <v>0</v>
      </c>
      <c r="CM14" s="15">
        <f ca="1">-MIN(SUM(CM12:CM13),Ass!$I$120)</f>
        <v>0</v>
      </c>
      <c r="CN14" s="15">
        <f ca="1">-MIN(SUM(CN12:CN13),Ass!$I$120)</f>
        <v>0</v>
      </c>
    </row>
    <row r="15" spans="1:92" ht="12.75" customHeight="1" x14ac:dyDescent="0.3">
      <c r="D15" s="75" t="s">
        <v>201</v>
      </c>
      <c r="H15" s="16" t="s">
        <v>1</v>
      </c>
      <c r="J15" s="58">
        <f ca="1">SUM(L15:CN15)</f>
        <v>-48999999.999999978</v>
      </c>
      <c r="L15" s="15">
        <f t="shared" ref="L15:AQ15" si="6">-L25*L23</f>
        <v>0</v>
      </c>
      <c r="M15" s="15">
        <f t="shared" si="6"/>
        <v>-4585823.550160002</v>
      </c>
      <c r="N15" s="15">
        <f t="shared" ca="1" si="6"/>
        <v>-3082502.7899952391</v>
      </c>
      <c r="O15" s="15">
        <f t="shared" ca="1" si="6"/>
        <v>-4332934.0000890885</v>
      </c>
      <c r="P15" s="15">
        <f t="shared" ca="1" si="6"/>
        <v>-4231547.2353477404</v>
      </c>
      <c r="Q15" s="15">
        <f t="shared" ca="1" si="6"/>
        <v>-4905119.5137752574</v>
      </c>
      <c r="R15" s="15">
        <f t="shared" ca="1" si="6"/>
        <v>-5139241.9849190423</v>
      </c>
      <c r="S15" s="15">
        <f t="shared" ca="1" si="6"/>
        <v>-5539816.2708532149</v>
      </c>
      <c r="T15" s="15">
        <f t="shared" ca="1" si="6"/>
        <v>-5419322.7379437629</v>
      </c>
      <c r="U15" s="15">
        <f t="shared" ca="1" si="6"/>
        <v>-5268301.4759052936</v>
      </c>
      <c r="V15" s="15">
        <f t="shared" ca="1" si="6"/>
        <v>-5310804.1337832389</v>
      </c>
      <c r="W15" s="15">
        <f t="shared" ca="1" si="6"/>
        <v>-1184586.3072281033</v>
      </c>
      <c r="X15" s="15">
        <f t="shared" ca="1" si="6"/>
        <v>0</v>
      </c>
      <c r="Y15" s="15">
        <f t="shared" ca="1" si="6"/>
        <v>0</v>
      </c>
      <c r="Z15" s="15">
        <f t="shared" ca="1" si="6"/>
        <v>0</v>
      </c>
      <c r="AA15" s="15">
        <f t="shared" ca="1" si="6"/>
        <v>0</v>
      </c>
      <c r="AB15" s="15">
        <f t="shared" ca="1" si="6"/>
        <v>0</v>
      </c>
      <c r="AC15" s="15">
        <f t="shared" ca="1" si="6"/>
        <v>0</v>
      </c>
      <c r="AD15" s="15">
        <f t="shared" ca="1" si="6"/>
        <v>0</v>
      </c>
      <c r="AE15" s="15">
        <f t="shared" ca="1" si="6"/>
        <v>0</v>
      </c>
      <c r="AF15" s="15">
        <f t="shared" ca="1" si="6"/>
        <v>0</v>
      </c>
      <c r="AG15" s="15">
        <f t="shared" ca="1" si="6"/>
        <v>0</v>
      </c>
      <c r="AH15" s="15">
        <f t="shared" ca="1" si="6"/>
        <v>0</v>
      </c>
      <c r="AI15" s="15">
        <f t="shared" ca="1" si="6"/>
        <v>0</v>
      </c>
      <c r="AJ15" s="15">
        <f t="shared" ca="1" si="6"/>
        <v>0</v>
      </c>
      <c r="AK15" s="15">
        <f t="shared" ca="1" si="6"/>
        <v>0</v>
      </c>
      <c r="AL15" s="15">
        <f t="shared" ca="1" si="6"/>
        <v>0</v>
      </c>
      <c r="AM15" s="15">
        <f t="shared" ca="1" si="6"/>
        <v>0</v>
      </c>
      <c r="AN15" s="15">
        <f t="shared" ca="1" si="6"/>
        <v>0</v>
      </c>
      <c r="AO15" s="15">
        <f t="shared" ca="1" si="6"/>
        <v>0</v>
      </c>
      <c r="AP15" s="15">
        <f t="shared" ca="1" si="6"/>
        <v>0</v>
      </c>
      <c r="AQ15" s="15">
        <f t="shared" ca="1" si="6"/>
        <v>0</v>
      </c>
      <c r="AR15" s="15">
        <f t="shared" ref="AR15:BW15" ca="1" si="7">-AR25*AR23</f>
        <v>0</v>
      </c>
      <c r="AS15" s="15">
        <f t="shared" ca="1" si="7"/>
        <v>0</v>
      </c>
      <c r="AT15" s="15">
        <f t="shared" ca="1" si="7"/>
        <v>0</v>
      </c>
      <c r="AU15" s="15">
        <f t="shared" ca="1" si="7"/>
        <v>0</v>
      </c>
      <c r="AV15" s="15">
        <f t="shared" ca="1" si="7"/>
        <v>0</v>
      </c>
      <c r="AW15" s="15">
        <f t="shared" ca="1" si="7"/>
        <v>0</v>
      </c>
      <c r="AX15" s="15">
        <f t="shared" ca="1" si="7"/>
        <v>0</v>
      </c>
      <c r="AY15" s="15">
        <f t="shared" ca="1" si="7"/>
        <v>0</v>
      </c>
      <c r="AZ15" s="15">
        <f t="shared" ca="1" si="7"/>
        <v>0</v>
      </c>
      <c r="BA15" s="15">
        <f t="shared" ca="1" si="7"/>
        <v>0</v>
      </c>
      <c r="BB15" s="15">
        <f t="shared" ca="1" si="7"/>
        <v>0</v>
      </c>
      <c r="BC15" s="15">
        <f t="shared" ca="1" si="7"/>
        <v>0</v>
      </c>
      <c r="BD15" s="15">
        <f t="shared" ca="1" si="7"/>
        <v>0</v>
      </c>
      <c r="BE15" s="15">
        <f t="shared" ca="1" si="7"/>
        <v>0</v>
      </c>
      <c r="BF15" s="15">
        <f t="shared" ca="1" si="7"/>
        <v>0</v>
      </c>
      <c r="BG15" s="15">
        <f t="shared" ca="1" si="7"/>
        <v>0</v>
      </c>
      <c r="BH15" s="15">
        <f t="shared" ca="1" si="7"/>
        <v>0</v>
      </c>
      <c r="BI15" s="15">
        <f t="shared" ca="1" si="7"/>
        <v>0</v>
      </c>
      <c r="BJ15" s="15">
        <f t="shared" ca="1" si="7"/>
        <v>0</v>
      </c>
      <c r="BK15" s="15">
        <f t="shared" ca="1" si="7"/>
        <v>0</v>
      </c>
      <c r="BL15" s="15">
        <f t="shared" ca="1" si="7"/>
        <v>0</v>
      </c>
      <c r="BM15" s="15">
        <f t="shared" ca="1" si="7"/>
        <v>0</v>
      </c>
      <c r="BN15" s="15">
        <f t="shared" ca="1" si="7"/>
        <v>0</v>
      </c>
      <c r="BO15" s="15">
        <f t="shared" ca="1" si="7"/>
        <v>0</v>
      </c>
      <c r="BP15" s="15">
        <f t="shared" ca="1" si="7"/>
        <v>0</v>
      </c>
      <c r="BQ15" s="15">
        <f t="shared" ca="1" si="7"/>
        <v>0</v>
      </c>
      <c r="BR15" s="15">
        <f t="shared" ca="1" si="7"/>
        <v>0</v>
      </c>
      <c r="BS15" s="15">
        <f t="shared" ca="1" si="7"/>
        <v>0</v>
      </c>
      <c r="BT15" s="15">
        <f t="shared" ca="1" si="7"/>
        <v>0</v>
      </c>
      <c r="BU15" s="15">
        <f t="shared" ca="1" si="7"/>
        <v>0</v>
      </c>
      <c r="BV15" s="15">
        <f t="shared" ca="1" si="7"/>
        <v>0</v>
      </c>
      <c r="BW15" s="15">
        <f t="shared" ca="1" si="7"/>
        <v>0</v>
      </c>
      <c r="BX15" s="15">
        <f t="shared" ref="BX15:CN15" ca="1" si="8">-BX25*BX23</f>
        <v>0</v>
      </c>
      <c r="BY15" s="15">
        <f t="shared" ca="1" si="8"/>
        <v>0</v>
      </c>
      <c r="BZ15" s="15">
        <f t="shared" ca="1" si="8"/>
        <v>0</v>
      </c>
      <c r="CA15" s="15">
        <f t="shared" ca="1" si="8"/>
        <v>0</v>
      </c>
      <c r="CB15" s="15">
        <f t="shared" ca="1" si="8"/>
        <v>0</v>
      </c>
      <c r="CC15" s="15">
        <f t="shared" ca="1" si="8"/>
        <v>0</v>
      </c>
      <c r="CD15" s="15">
        <f t="shared" ca="1" si="8"/>
        <v>0</v>
      </c>
      <c r="CE15" s="15">
        <f t="shared" ca="1" si="8"/>
        <v>0</v>
      </c>
      <c r="CF15" s="15">
        <f t="shared" ca="1" si="8"/>
        <v>0</v>
      </c>
      <c r="CG15" s="15">
        <f t="shared" ca="1" si="8"/>
        <v>0</v>
      </c>
      <c r="CH15" s="15">
        <f t="shared" ca="1" si="8"/>
        <v>0</v>
      </c>
      <c r="CI15" s="15">
        <f t="shared" ca="1" si="8"/>
        <v>0</v>
      </c>
      <c r="CJ15" s="15">
        <f t="shared" ca="1" si="8"/>
        <v>0</v>
      </c>
      <c r="CK15" s="15">
        <f t="shared" ca="1" si="8"/>
        <v>0</v>
      </c>
      <c r="CL15" s="15">
        <f t="shared" ca="1" si="8"/>
        <v>0</v>
      </c>
      <c r="CM15" s="15">
        <f t="shared" ca="1" si="8"/>
        <v>0</v>
      </c>
      <c r="CN15" s="15">
        <f t="shared" ca="1" si="8"/>
        <v>0</v>
      </c>
    </row>
    <row r="16" spans="1:92" ht="12.75" customHeight="1" x14ac:dyDescent="0.3">
      <c r="D16" s="50" t="s">
        <v>184</v>
      </c>
      <c r="H16" s="16" t="s">
        <v>1</v>
      </c>
      <c r="J16" s="50">
        <f ca="1">IF(J$7=Ass!$I$12,Ass!$I$148,SUM(J12:J15))</f>
        <v>0</v>
      </c>
      <c r="L16" s="50">
        <f>IF(L$7=Ass!$I$12,Ass!$I$148,SUM(L12:L15))</f>
        <v>120000000</v>
      </c>
      <c r="M16" s="50">
        <f>IF(M$7=Ass!$I$12,Ass!$I$148,SUM(M12:M15))</f>
        <v>114414176.44983999</v>
      </c>
      <c r="N16" s="50">
        <f ca="1">IF(N$7=Ass!$I$12,Ass!$I$148,SUM(N12:N15))</f>
        <v>110331673.65984476</v>
      </c>
      <c r="O16" s="50">
        <f ca="1">IF(O$7=Ass!$I$12,Ass!$I$148,SUM(O12:O15))</f>
        <v>104998739.65975566</v>
      </c>
      <c r="P16" s="50">
        <f ca="1">IF(P$7=Ass!$I$12,Ass!$I$148,SUM(P12:P15))</f>
        <v>99767192.424407929</v>
      </c>
      <c r="Q16" s="50">
        <f ca="1">IF(Q$7=Ass!$I$12,Ass!$I$148,SUM(Q12:Q15))</f>
        <v>93862072.91063267</v>
      </c>
      <c r="R16" s="50">
        <f ca="1">IF(R$7=Ass!$I$12,Ass!$I$148,SUM(R12:R15))</f>
        <v>87722830.925713629</v>
      </c>
      <c r="S16" s="50">
        <f ca="1">IF(S$7=Ass!$I$12,Ass!$I$148,SUM(S12:S15))</f>
        <v>81183014.654860407</v>
      </c>
      <c r="T16" s="50">
        <f ca="1">IF(T$7=Ass!$I$12,Ass!$I$148,SUM(T12:T15))</f>
        <v>74763691.916916639</v>
      </c>
      <c r="U16" s="50">
        <f ca="1">IF(U$7=Ass!$I$12,Ass!$I$148,SUM(U12:U15))</f>
        <v>68495390.441011339</v>
      </c>
      <c r="V16" s="50">
        <f ca="1">IF(V$7=Ass!$I$12,Ass!$I$148,SUM(V12:V15))</f>
        <v>62184586.307228103</v>
      </c>
      <c r="W16" s="50">
        <f ca="1">IF(W$7=Ass!$I$12,Ass!$I$148,SUM(W12:W15))</f>
        <v>60000000</v>
      </c>
      <c r="X16" s="50">
        <f ca="1">IF(X$7=Ass!$I$12,Ass!$I$148,SUM(X12:X15))</f>
        <v>59000000</v>
      </c>
      <c r="Y16" s="50">
        <f ca="1">IF(Y$7=Ass!$I$12,Ass!$I$148,SUM(Y12:Y15))</f>
        <v>58000000</v>
      </c>
      <c r="Z16" s="50">
        <f ca="1">IF(Z$7=Ass!$I$12,Ass!$I$148,SUM(Z12:Z15))</f>
        <v>57000000</v>
      </c>
      <c r="AA16" s="50">
        <f ca="1">IF(AA$7=Ass!$I$12,Ass!$I$148,SUM(AA12:AA15))</f>
        <v>56000000</v>
      </c>
      <c r="AB16" s="50">
        <f ca="1">IF(AB$7=Ass!$I$12,Ass!$I$148,SUM(AB12:AB15))</f>
        <v>55000000</v>
      </c>
      <c r="AC16" s="50">
        <f ca="1">IF(AC$7=Ass!$I$12,Ass!$I$148,SUM(AC12:AC15))</f>
        <v>54000000</v>
      </c>
      <c r="AD16" s="50">
        <f ca="1">IF(AD$7=Ass!$I$12,Ass!$I$148,SUM(AD12:AD15))</f>
        <v>53000000</v>
      </c>
      <c r="AE16" s="50">
        <f ca="1">IF(AE$7=Ass!$I$12,Ass!$I$148,SUM(AE12:AE15))</f>
        <v>52000000</v>
      </c>
      <c r="AF16" s="50">
        <f ca="1">IF(AF$7=Ass!$I$12,Ass!$I$148,SUM(AF12:AF15))</f>
        <v>51000000</v>
      </c>
      <c r="AG16" s="50">
        <f ca="1">IF(AG$7=Ass!$I$12,Ass!$I$148,SUM(AG12:AG15))</f>
        <v>50000000</v>
      </c>
      <c r="AH16" s="50">
        <f ca="1">IF(AH$7=Ass!$I$12,Ass!$I$148,SUM(AH12:AH15))</f>
        <v>49000000</v>
      </c>
      <c r="AI16" s="50">
        <f ca="1">IF(AI$7=Ass!$I$12,Ass!$I$148,SUM(AI12:AI15))</f>
        <v>48000000</v>
      </c>
      <c r="AJ16" s="50">
        <f ca="1">IF(AJ$7=Ass!$I$12,Ass!$I$148,SUM(AJ12:AJ15))</f>
        <v>47000000</v>
      </c>
      <c r="AK16" s="50">
        <f ca="1">IF(AK$7=Ass!$I$12,Ass!$I$148,SUM(AK12:AK15))</f>
        <v>46000000</v>
      </c>
      <c r="AL16" s="50">
        <f ca="1">IF(AL$7=Ass!$I$12,Ass!$I$148,SUM(AL12:AL15))</f>
        <v>45000000</v>
      </c>
      <c r="AM16" s="50">
        <f ca="1">IF(AM$7=Ass!$I$12,Ass!$I$148,SUM(AM12:AM15))</f>
        <v>44000000</v>
      </c>
      <c r="AN16" s="50">
        <f ca="1">IF(AN$7=Ass!$I$12,Ass!$I$148,SUM(AN12:AN15))</f>
        <v>43000000</v>
      </c>
      <c r="AO16" s="50">
        <f ca="1">IF(AO$7=Ass!$I$12,Ass!$I$148,SUM(AO12:AO15))</f>
        <v>42000000</v>
      </c>
      <c r="AP16" s="50">
        <f ca="1">IF(AP$7=Ass!$I$12,Ass!$I$148,SUM(AP12:AP15))</f>
        <v>41000000</v>
      </c>
      <c r="AQ16" s="50">
        <f ca="1">IF(AQ$7=Ass!$I$12,Ass!$I$148,SUM(AQ12:AQ15))</f>
        <v>40000000</v>
      </c>
      <c r="AR16" s="50">
        <f ca="1">IF(AR$7=Ass!$I$12,Ass!$I$148,SUM(AR12:AR15))</f>
        <v>39000000</v>
      </c>
      <c r="AS16" s="50">
        <f ca="1">IF(AS$7=Ass!$I$12,Ass!$I$148,SUM(AS12:AS15))</f>
        <v>38000000</v>
      </c>
      <c r="AT16" s="50">
        <f ca="1">IF(AT$7=Ass!$I$12,Ass!$I$148,SUM(AT12:AT15))</f>
        <v>37000000</v>
      </c>
      <c r="AU16" s="50">
        <f ca="1">IF(AU$7=Ass!$I$12,Ass!$I$148,SUM(AU12:AU15))</f>
        <v>36000000</v>
      </c>
      <c r="AV16" s="50">
        <f ca="1">IF(AV$7=Ass!$I$12,Ass!$I$148,SUM(AV12:AV15))</f>
        <v>35000000</v>
      </c>
      <c r="AW16" s="50">
        <f ca="1">IF(AW$7=Ass!$I$12,Ass!$I$148,SUM(AW12:AW15))</f>
        <v>34000000</v>
      </c>
      <c r="AX16" s="50">
        <f ca="1">IF(AX$7=Ass!$I$12,Ass!$I$148,SUM(AX12:AX15))</f>
        <v>33000000</v>
      </c>
      <c r="AY16" s="50">
        <f ca="1">IF(AY$7=Ass!$I$12,Ass!$I$148,SUM(AY12:AY15))</f>
        <v>32000000</v>
      </c>
      <c r="AZ16" s="50">
        <f ca="1">IF(AZ$7=Ass!$I$12,Ass!$I$148,SUM(AZ12:AZ15))</f>
        <v>31000000</v>
      </c>
      <c r="BA16" s="50">
        <f ca="1">IF(BA$7=Ass!$I$12,Ass!$I$148,SUM(BA12:BA15))</f>
        <v>30000000</v>
      </c>
      <c r="BB16" s="50">
        <f ca="1">IF(BB$7=Ass!$I$12,Ass!$I$148,SUM(BB12:BB15))</f>
        <v>29000000</v>
      </c>
      <c r="BC16" s="50">
        <f ca="1">IF(BC$7=Ass!$I$12,Ass!$I$148,SUM(BC12:BC15))</f>
        <v>28000000</v>
      </c>
      <c r="BD16" s="50">
        <f ca="1">IF(BD$7=Ass!$I$12,Ass!$I$148,SUM(BD12:BD15))</f>
        <v>27000000</v>
      </c>
      <c r="BE16" s="50">
        <f ca="1">IF(BE$7=Ass!$I$12,Ass!$I$148,SUM(BE12:BE15))</f>
        <v>26000000</v>
      </c>
      <c r="BF16" s="50">
        <f ca="1">IF(BF$7=Ass!$I$12,Ass!$I$148,SUM(BF12:BF15))</f>
        <v>25000000</v>
      </c>
      <c r="BG16" s="50">
        <f ca="1">IF(BG$7=Ass!$I$12,Ass!$I$148,SUM(BG12:BG15))</f>
        <v>24000000</v>
      </c>
      <c r="BH16" s="50">
        <f ca="1">IF(BH$7=Ass!$I$12,Ass!$I$148,SUM(BH12:BH15))</f>
        <v>23000000</v>
      </c>
      <c r="BI16" s="50">
        <f ca="1">IF(BI$7=Ass!$I$12,Ass!$I$148,SUM(BI12:BI15))</f>
        <v>22000000</v>
      </c>
      <c r="BJ16" s="50">
        <f ca="1">IF(BJ$7=Ass!$I$12,Ass!$I$148,SUM(BJ12:BJ15))</f>
        <v>21000000</v>
      </c>
      <c r="BK16" s="50">
        <f ca="1">IF(BK$7=Ass!$I$12,Ass!$I$148,SUM(BK12:BK15))</f>
        <v>20000000</v>
      </c>
      <c r="BL16" s="50">
        <f ca="1">IF(BL$7=Ass!$I$12,Ass!$I$148,SUM(BL12:BL15))</f>
        <v>19000000</v>
      </c>
      <c r="BM16" s="50">
        <f ca="1">IF(BM$7=Ass!$I$12,Ass!$I$148,SUM(BM12:BM15))</f>
        <v>18000000</v>
      </c>
      <c r="BN16" s="50">
        <f ca="1">IF(BN$7=Ass!$I$12,Ass!$I$148,SUM(BN12:BN15))</f>
        <v>17000000</v>
      </c>
      <c r="BO16" s="50">
        <f ca="1">IF(BO$7=Ass!$I$12,Ass!$I$148,SUM(BO12:BO15))</f>
        <v>16000000</v>
      </c>
      <c r="BP16" s="50">
        <f ca="1">IF(BP$7=Ass!$I$12,Ass!$I$148,SUM(BP12:BP15))</f>
        <v>15000000</v>
      </c>
      <c r="BQ16" s="50">
        <f ca="1">IF(BQ$7=Ass!$I$12,Ass!$I$148,SUM(BQ12:BQ15))</f>
        <v>14000000</v>
      </c>
      <c r="BR16" s="50">
        <f ca="1">IF(BR$7=Ass!$I$12,Ass!$I$148,SUM(BR12:BR15))</f>
        <v>13000000</v>
      </c>
      <c r="BS16" s="50">
        <f ca="1">IF(BS$7=Ass!$I$12,Ass!$I$148,SUM(BS12:BS15))</f>
        <v>12000000</v>
      </c>
      <c r="BT16" s="50">
        <f ca="1">IF(BT$7=Ass!$I$12,Ass!$I$148,SUM(BT12:BT15))</f>
        <v>11000000</v>
      </c>
      <c r="BU16" s="50">
        <f ca="1">IF(BU$7=Ass!$I$12,Ass!$I$148,SUM(BU12:BU15))</f>
        <v>10000000</v>
      </c>
      <c r="BV16" s="50">
        <f ca="1">IF(BV$7=Ass!$I$12,Ass!$I$148,SUM(BV12:BV15))</f>
        <v>9000000</v>
      </c>
      <c r="BW16" s="50">
        <f ca="1">IF(BW$7=Ass!$I$12,Ass!$I$148,SUM(BW12:BW15))</f>
        <v>8000000</v>
      </c>
      <c r="BX16" s="50">
        <f ca="1">IF(BX$7=Ass!$I$12,Ass!$I$148,SUM(BX12:BX15))</f>
        <v>7000000</v>
      </c>
      <c r="BY16" s="50">
        <f ca="1">IF(BY$7=Ass!$I$12,Ass!$I$148,SUM(BY12:BY15))</f>
        <v>6000000</v>
      </c>
      <c r="BZ16" s="50">
        <f ca="1">IF(BZ$7=Ass!$I$12,Ass!$I$148,SUM(BZ12:BZ15))</f>
        <v>5000000</v>
      </c>
      <c r="CA16" s="50">
        <f ca="1">IF(CA$7=Ass!$I$12,Ass!$I$148,SUM(CA12:CA15))</f>
        <v>4000000</v>
      </c>
      <c r="CB16" s="50">
        <f ca="1">IF(CB$7=Ass!$I$12,Ass!$I$148,SUM(CB12:CB15))</f>
        <v>3000000</v>
      </c>
      <c r="CC16" s="50">
        <f ca="1">IF(CC$7=Ass!$I$12,Ass!$I$148,SUM(CC12:CC15))</f>
        <v>2000000</v>
      </c>
      <c r="CD16" s="50">
        <f ca="1">IF(CD$7=Ass!$I$12,Ass!$I$148,SUM(CD12:CD15))</f>
        <v>1000000</v>
      </c>
      <c r="CE16" s="50">
        <f ca="1">IF(CE$7=Ass!$I$12,Ass!$I$148,SUM(CE12:CE15))</f>
        <v>0</v>
      </c>
      <c r="CF16" s="50">
        <f ca="1">IF(CF$7=Ass!$I$12,Ass!$I$148,SUM(CF12:CF15))</f>
        <v>0</v>
      </c>
      <c r="CG16" s="50">
        <f ca="1">IF(CG$7=Ass!$I$12,Ass!$I$148,SUM(CG12:CG15))</f>
        <v>0</v>
      </c>
      <c r="CH16" s="50">
        <f ca="1">IF(CH$7=Ass!$I$12,Ass!$I$148,SUM(CH12:CH15))</f>
        <v>0</v>
      </c>
      <c r="CI16" s="50">
        <f ca="1">IF(CI$7=Ass!$I$12,Ass!$I$148,SUM(CI12:CI15))</f>
        <v>0</v>
      </c>
      <c r="CJ16" s="50">
        <f ca="1">IF(CJ$7=Ass!$I$12,Ass!$I$148,SUM(CJ12:CJ15))</f>
        <v>0</v>
      </c>
      <c r="CK16" s="50">
        <f ca="1">IF(CK$7=Ass!$I$12,Ass!$I$148,SUM(CK12:CK15))</f>
        <v>0</v>
      </c>
      <c r="CL16" s="50">
        <f ca="1">IF(CL$7=Ass!$I$12,Ass!$I$148,SUM(CL12:CL15))</f>
        <v>0</v>
      </c>
      <c r="CM16" s="50">
        <f ca="1">IF(CM$7=Ass!$I$12,Ass!$I$148,SUM(CM12:CM15))</f>
        <v>0</v>
      </c>
      <c r="CN16" s="50">
        <f ca="1">IF(CN$7=Ass!$I$12,Ass!$I$148,SUM(CN12:CN15))</f>
        <v>0</v>
      </c>
    </row>
    <row r="17" spans="1:92" ht="12.75" customHeight="1" x14ac:dyDescent="0.3"/>
    <row r="18" spans="1:92" ht="12.75" customHeight="1" x14ac:dyDescent="0.3">
      <c r="D18" s="15" t="s">
        <v>88</v>
      </c>
      <c r="H18" s="16" t="s">
        <v>199</v>
      </c>
      <c r="L18" s="55">
        <f>SUMIF(Ass!$I$115:$P$115,L$7,Ass!$I$116:$P$116)+(L$7&gt;Ass!$P$115)*Ass!$Q$116</f>
        <v>0</v>
      </c>
      <c r="M18" s="55">
        <f>SUMIF(Ass!$I$115:$P$115,M$7,Ass!$I$116:$P$116)+(M$7&gt;Ass!$P$115)*Ass!$Q$116</f>
        <v>0.02</v>
      </c>
      <c r="N18" s="55">
        <f>SUMIF(Ass!$I$115:$P$115,N$7,Ass!$I$116:$P$116)+(N$7&gt;Ass!$P$115)*Ass!$Q$116</f>
        <v>2.1000000000000001E-2</v>
      </c>
      <c r="O18" s="55">
        <f>SUMIF(Ass!$I$115:$P$115,O$7,Ass!$I$116:$P$116)+(O$7&gt;Ass!$P$115)*Ass!$Q$116</f>
        <v>2.2000000000000002E-2</v>
      </c>
      <c r="P18" s="55">
        <f>SUMIF(Ass!$I$115:$P$115,P$7,Ass!$I$116:$P$116)+(P$7&gt;Ass!$P$115)*Ass!$Q$116</f>
        <v>2.3000000000000003E-2</v>
      </c>
      <c r="Q18" s="55">
        <f>SUMIF(Ass!$I$115:$P$115,Q$7,Ass!$I$116:$P$116)+(Q$7&gt;Ass!$P$115)*Ass!$Q$116</f>
        <v>2.4000000000000004E-2</v>
      </c>
      <c r="R18" s="55">
        <f>SUMIF(Ass!$I$115:$P$115,R$7,Ass!$I$116:$P$116)+(R$7&gt;Ass!$P$115)*Ass!$Q$116</f>
        <v>2.5000000000000005E-2</v>
      </c>
      <c r="S18" s="55">
        <f>SUMIF(Ass!$I$115:$P$115,S$7,Ass!$I$116:$P$116)+(S$7&gt;Ass!$P$115)*Ass!$Q$116</f>
        <v>2.6000000000000006E-2</v>
      </c>
      <c r="T18" s="55">
        <f>SUMIF(Ass!$I$115:$P$115,T$7,Ass!$I$116:$P$116)+(T$7&gt;Ass!$P$115)*Ass!$Q$116</f>
        <v>2.7000000000000007E-2</v>
      </c>
      <c r="U18" s="55">
        <f>SUMIF(Ass!$I$115:$P$115,U$7,Ass!$I$116:$P$116)+(U$7&gt;Ass!$P$115)*Ass!$Q$116</f>
        <v>2.7E-2</v>
      </c>
      <c r="V18" s="55">
        <f>SUMIF(Ass!$I$115:$P$115,V$7,Ass!$I$116:$P$116)+(V$7&gt;Ass!$P$115)*Ass!$Q$116</f>
        <v>2.7E-2</v>
      </c>
      <c r="W18" s="55">
        <f>SUMIF(Ass!$I$115:$P$115,W$7,Ass!$I$116:$P$116)+(W$7&gt;Ass!$P$115)*Ass!$Q$116</f>
        <v>2.7E-2</v>
      </c>
      <c r="X18" s="55">
        <f>SUMIF(Ass!$I$115:$P$115,X$7,Ass!$I$116:$P$116)+(X$7&gt;Ass!$P$115)*Ass!$Q$116</f>
        <v>2.7E-2</v>
      </c>
      <c r="Y18" s="55">
        <f>SUMIF(Ass!$I$115:$P$115,Y$7,Ass!$I$116:$P$116)+(Y$7&gt;Ass!$P$115)*Ass!$Q$116</f>
        <v>2.7E-2</v>
      </c>
      <c r="Z18" s="55">
        <f>SUMIF(Ass!$I$115:$P$115,Z$7,Ass!$I$116:$P$116)+(Z$7&gt;Ass!$P$115)*Ass!$Q$116</f>
        <v>2.7E-2</v>
      </c>
      <c r="AA18" s="55">
        <f>SUMIF(Ass!$I$115:$P$115,AA$7,Ass!$I$116:$P$116)+(AA$7&gt;Ass!$P$115)*Ass!$Q$116</f>
        <v>2.7E-2</v>
      </c>
      <c r="AB18" s="55">
        <f>SUMIF(Ass!$I$115:$P$115,AB$7,Ass!$I$116:$P$116)+(AB$7&gt;Ass!$P$115)*Ass!$Q$116</f>
        <v>2.7E-2</v>
      </c>
      <c r="AC18" s="55">
        <f>SUMIF(Ass!$I$115:$P$115,AC$7,Ass!$I$116:$P$116)+(AC$7&gt;Ass!$P$115)*Ass!$Q$116</f>
        <v>2.7E-2</v>
      </c>
      <c r="AD18" s="55">
        <f>SUMIF(Ass!$I$115:$P$115,AD$7,Ass!$I$116:$P$116)+(AD$7&gt;Ass!$P$115)*Ass!$Q$116</f>
        <v>2.7E-2</v>
      </c>
      <c r="AE18" s="55">
        <f>SUMIF(Ass!$I$115:$P$115,AE$7,Ass!$I$116:$P$116)+(AE$7&gt;Ass!$P$115)*Ass!$Q$116</f>
        <v>2.7E-2</v>
      </c>
      <c r="AF18" s="55">
        <f>SUMIF(Ass!$I$115:$P$115,AF$7,Ass!$I$116:$P$116)+(AF$7&gt;Ass!$P$115)*Ass!$Q$116</f>
        <v>2.7E-2</v>
      </c>
      <c r="AG18" s="55">
        <f>SUMIF(Ass!$I$115:$P$115,AG$7,Ass!$I$116:$P$116)+(AG$7&gt;Ass!$P$115)*Ass!$Q$116</f>
        <v>2.7E-2</v>
      </c>
      <c r="AH18" s="55">
        <f>SUMIF(Ass!$I$115:$P$115,AH$7,Ass!$I$116:$P$116)+(AH$7&gt;Ass!$P$115)*Ass!$Q$116</f>
        <v>2.7E-2</v>
      </c>
      <c r="AI18" s="55">
        <f>SUMIF(Ass!$I$115:$P$115,AI$7,Ass!$I$116:$P$116)+(AI$7&gt;Ass!$P$115)*Ass!$Q$116</f>
        <v>2.7E-2</v>
      </c>
      <c r="AJ18" s="55">
        <f>SUMIF(Ass!$I$115:$P$115,AJ$7,Ass!$I$116:$P$116)+(AJ$7&gt;Ass!$P$115)*Ass!$Q$116</f>
        <v>2.7E-2</v>
      </c>
      <c r="AK18" s="55">
        <f>SUMIF(Ass!$I$115:$P$115,AK$7,Ass!$I$116:$P$116)+(AK$7&gt;Ass!$P$115)*Ass!$Q$116</f>
        <v>2.7E-2</v>
      </c>
      <c r="AL18" s="55">
        <f>SUMIF(Ass!$I$115:$P$115,AL$7,Ass!$I$116:$P$116)+(AL$7&gt;Ass!$P$115)*Ass!$Q$116</f>
        <v>2.7E-2</v>
      </c>
      <c r="AM18" s="55">
        <f>SUMIF(Ass!$I$115:$P$115,AM$7,Ass!$I$116:$P$116)+(AM$7&gt;Ass!$P$115)*Ass!$Q$116</f>
        <v>2.7E-2</v>
      </c>
      <c r="AN18" s="55">
        <f>SUMIF(Ass!$I$115:$P$115,AN$7,Ass!$I$116:$P$116)+(AN$7&gt;Ass!$P$115)*Ass!$Q$116</f>
        <v>2.7E-2</v>
      </c>
      <c r="AO18" s="55">
        <f>SUMIF(Ass!$I$115:$P$115,AO$7,Ass!$I$116:$P$116)+(AO$7&gt;Ass!$P$115)*Ass!$Q$116</f>
        <v>2.7E-2</v>
      </c>
      <c r="AP18" s="55">
        <f>SUMIF(Ass!$I$115:$P$115,AP$7,Ass!$I$116:$P$116)+(AP$7&gt;Ass!$P$115)*Ass!$Q$116</f>
        <v>2.7E-2</v>
      </c>
      <c r="AQ18" s="55">
        <f>SUMIF(Ass!$I$115:$P$115,AQ$7,Ass!$I$116:$P$116)+(AQ$7&gt;Ass!$P$115)*Ass!$Q$116</f>
        <v>2.7E-2</v>
      </c>
      <c r="AR18" s="55">
        <f>SUMIF(Ass!$I$115:$P$115,AR$7,Ass!$I$116:$P$116)+(AR$7&gt;Ass!$P$115)*Ass!$Q$116</f>
        <v>2.7E-2</v>
      </c>
      <c r="AS18" s="55">
        <f>SUMIF(Ass!$I$115:$P$115,AS$7,Ass!$I$116:$P$116)+(AS$7&gt;Ass!$P$115)*Ass!$Q$116</f>
        <v>2.7E-2</v>
      </c>
      <c r="AT18" s="55">
        <f>SUMIF(Ass!$I$115:$P$115,AT$7,Ass!$I$116:$P$116)+(AT$7&gt;Ass!$P$115)*Ass!$Q$116</f>
        <v>2.7E-2</v>
      </c>
      <c r="AU18" s="55">
        <f>SUMIF(Ass!$I$115:$P$115,AU$7,Ass!$I$116:$P$116)+(AU$7&gt;Ass!$P$115)*Ass!$Q$116</f>
        <v>2.7E-2</v>
      </c>
      <c r="AV18" s="55">
        <f>SUMIF(Ass!$I$115:$P$115,AV$7,Ass!$I$116:$P$116)+(AV$7&gt;Ass!$P$115)*Ass!$Q$116</f>
        <v>2.7E-2</v>
      </c>
      <c r="AW18" s="55">
        <f>SUMIF(Ass!$I$115:$P$115,AW$7,Ass!$I$116:$P$116)+(AW$7&gt;Ass!$P$115)*Ass!$Q$116</f>
        <v>2.7E-2</v>
      </c>
      <c r="AX18" s="55">
        <f>SUMIF(Ass!$I$115:$P$115,AX$7,Ass!$I$116:$P$116)+(AX$7&gt;Ass!$P$115)*Ass!$Q$116</f>
        <v>2.7E-2</v>
      </c>
      <c r="AY18" s="55">
        <f>SUMIF(Ass!$I$115:$P$115,AY$7,Ass!$I$116:$P$116)+(AY$7&gt;Ass!$P$115)*Ass!$Q$116</f>
        <v>2.7E-2</v>
      </c>
      <c r="AZ18" s="55">
        <f>SUMIF(Ass!$I$115:$P$115,AZ$7,Ass!$I$116:$P$116)+(AZ$7&gt;Ass!$P$115)*Ass!$Q$116</f>
        <v>2.7E-2</v>
      </c>
      <c r="BA18" s="55">
        <f>SUMIF(Ass!$I$115:$P$115,BA$7,Ass!$I$116:$P$116)+(BA$7&gt;Ass!$P$115)*Ass!$Q$116</f>
        <v>2.7E-2</v>
      </c>
      <c r="BB18" s="55">
        <f>SUMIF(Ass!$I$115:$P$115,BB$7,Ass!$I$116:$P$116)+(BB$7&gt;Ass!$P$115)*Ass!$Q$116</f>
        <v>2.7E-2</v>
      </c>
      <c r="BC18" s="55">
        <f>SUMIF(Ass!$I$115:$P$115,BC$7,Ass!$I$116:$P$116)+(BC$7&gt;Ass!$P$115)*Ass!$Q$116</f>
        <v>2.7E-2</v>
      </c>
      <c r="BD18" s="55">
        <f>SUMIF(Ass!$I$115:$P$115,BD$7,Ass!$I$116:$P$116)+(BD$7&gt;Ass!$P$115)*Ass!$Q$116</f>
        <v>2.7E-2</v>
      </c>
      <c r="BE18" s="55">
        <f>SUMIF(Ass!$I$115:$P$115,BE$7,Ass!$I$116:$P$116)+(BE$7&gt;Ass!$P$115)*Ass!$Q$116</f>
        <v>2.7E-2</v>
      </c>
      <c r="BF18" s="55">
        <f>SUMIF(Ass!$I$115:$P$115,BF$7,Ass!$I$116:$P$116)+(BF$7&gt;Ass!$P$115)*Ass!$Q$116</f>
        <v>2.7E-2</v>
      </c>
      <c r="BG18" s="55">
        <f>SUMIF(Ass!$I$115:$P$115,BG$7,Ass!$I$116:$P$116)+(BG$7&gt;Ass!$P$115)*Ass!$Q$116</f>
        <v>2.7E-2</v>
      </c>
      <c r="BH18" s="55">
        <f>SUMIF(Ass!$I$115:$P$115,BH$7,Ass!$I$116:$P$116)+(BH$7&gt;Ass!$P$115)*Ass!$Q$116</f>
        <v>2.7E-2</v>
      </c>
      <c r="BI18" s="55">
        <f>SUMIF(Ass!$I$115:$P$115,BI$7,Ass!$I$116:$P$116)+(BI$7&gt;Ass!$P$115)*Ass!$Q$116</f>
        <v>2.7E-2</v>
      </c>
      <c r="BJ18" s="55">
        <f>SUMIF(Ass!$I$115:$P$115,BJ$7,Ass!$I$116:$P$116)+(BJ$7&gt;Ass!$P$115)*Ass!$Q$116</f>
        <v>2.7E-2</v>
      </c>
      <c r="BK18" s="55">
        <f>SUMIF(Ass!$I$115:$P$115,BK$7,Ass!$I$116:$P$116)+(BK$7&gt;Ass!$P$115)*Ass!$Q$116</f>
        <v>2.7E-2</v>
      </c>
      <c r="BL18" s="55">
        <f>SUMIF(Ass!$I$115:$P$115,BL$7,Ass!$I$116:$P$116)+(BL$7&gt;Ass!$P$115)*Ass!$Q$116</f>
        <v>2.7E-2</v>
      </c>
      <c r="BM18" s="55">
        <f>SUMIF(Ass!$I$115:$P$115,BM$7,Ass!$I$116:$P$116)+(BM$7&gt;Ass!$P$115)*Ass!$Q$116</f>
        <v>2.7E-2</v>
      </c>
      <c r="BN18" s="55">
        <f>SUMIF(Ass!$I$115:$P$115,BN$7,Ass!$I$116:$P$116)+(BN$7&gt;Ass!$P$115)*Ass!$Q$116</f>
        <v>2.7E-2</v>
      </c>
      <c r="BO18" s="55">
        <f>SUMIF(Ass!$I$115:$P$115,BO$7,Ass!$I$116:$P$116)+(BO$7&gt;Ass!$P$115)*Ass!$Q$116</f>
        <v>2.7E-2</v>
      </c>
      <c r="BP18" s="55">
        <f>SUMIF(Ass!$I$115:$P$115,BP$7,Ass!$I$116:$P$116)+(BP$7&gt;Ass!$P$115)*Ass!$Q$116</f>
        <v>2.7E-2</v>
      </c>
      <c r="BQ18" s="55">
        <f>SUMIF(Ass!$I$115:$P$115,BQ$7,Ass!$I$116:$P$116)+(BQ$7&gt;Ass!$P$115)*Ass!$Q$116</f>
        <v>2.7E-2</v>
      </c>
      <c r="BR18" s="55">
        <f>SUMIF(Ass!$I$115:$P$115,BR$7,Ass!$I$116:$P$116)+(BR$7&gt;Ass!$P$115)*Ass!$Q$116</f>
        <v>2.7E-2</v>
      </c>
      <c r="BS18" s="55">
        <f>SUMIF(Ass!$I$115:$P$115,BS$7,Ass!$I$116:$P$116)+(BS$7&gt;Ass!$P$115)*Ass!$Q$116</f>
        <v>2.7E-2</v>
      </c>
      <c r="BT18" s="55">
        <f>SUMIF(Ass!$I$115:$P$115,BT$7,Ass!$I$116:$P$116)+(BT$7&gt;Ass!$P$115)*Ass!$Q$116</f>
        <v>2.7E-2</v>
      </c>
      <c r="BU18" s="55">
        <f>SUMIF(Ass!$I$115:$P$115,BU$7,Ass!$I$116:$P$116)+(BU$7&gt;Ass!$P$115)*Ass!$Q$116</f>
        <v>2.7E-2</v>
      </c>
      <c r="BV18" s="55">
        <f>SUMIF(Ass!$I$115:$P$115,BV$7,Ass!$I$116:$P$116)+(BV$7&gt;Ass!$P$115)*Ass!$Q$116</f>
        <v>2.7E-2</v>
      </c>
      <c r="BW18" s="55">
        <f>SUMIF(Ass!$I$115:$P$115,BW$7,Ass!$I$116:$P$116)+(BW$7&gt;Ass!$P$115)*Ass!$Q$116</f>
        <v>2.7E-2</v>
      </c>
      <c r="BX18" s="55">
        <f>SUMIF(Ass!$I$115:$P$115,BX$7,Ass!$I$116:$P$116)+(BX$7&gt;Ass!$P$115)*Ass!$Q$116</f>
        <v>2.7E-2</v>
      </c>
      <c r="BY18" s="55">
        <f>SUMIF(Ass!$I$115:$P$115,BY$7,Ass!$I$116:$P$116)+(BY$7&gt;Ass!$P$115)*Ass!$Q$116</f>
        <v>2.7E-2</v>
      </c>
      <c r="BZ18" s="55">
        <f>SUMIF(Ass!$I$115:$P$115,BZ$7,Ass!$I$116:$P$116)+(BZ$7&gt;Ass!$P$115)*Ass!$Q$116</f>
        <v>2.7E-2</v>
      </c>
      <c r="CA18" s="55">
        <f>SUMIF(Ass!$I$115:$P$115,CA$7,Ass!$I$116:$P$116)+(CA$7&gt;Ass!$P$115)*Ass!$Q$116</f>
        <v>2.7E-2</v>
      </c>
      <c r="CB18" s="55">
        <f>SUMIF(Ass!$I$115:$P$115,CB$7,Ass!$I$116:$P$116)+(CB$7&gt;Ass!$P$115)*Ass!$Q$116</f>
        <v>2.7E-2</v>
      </c>
      <c r="CC18" s="55">
        <f>SUMIF(Ass!$I$115:$P$115,CC$7,Ass!$I$116:$P$116)+(CC$7&gt;Ass!$P$115)*Ass!$Q$116</f>
        <v>2.7E-2</v>
      </c>
      <c r="CD18" s="55">
        <f>SUMIF(Ass!$I$115:$P$115,CD$7,Ass!$I$116:$P$116)+(CD$7&gt;Ass!$P$115)*Ass!$Q$116</f>
        <v>2.7E-2</v>
      </c>
      <c r="CE18" s="55">
        <f>SUMIF(Ass!$I$115:$P$115,CE$7,Ass!$I$116:$P$116)+(CE$7&gt;Ass!$P$115)*Ass!$Q$116</f>
        <v>2.7E-2</v>
      </c>
      <c r="CF18" s="55">
        <f>SUMIF(Ass!$I$115:$P$115,CF$7,Ass!$I$116:$P$116)+(CF$7&gt;Ass!$P$115)*Ass!$Q$116</f>
        <v>2.7E-2</v>
      </c>
      <c r="CG18" s="55">
        <f>SUMIF(Ass!$I$115:$P$115,CG$7,Ass!$I$116:$P$116)+(CG$7&gt;Ass!$P$115)*Ass!$Q$116</f>
        <v>2.7E-2</v>
      </c>
      <c r="CH18" s="55">
        <f>SUMIF(Ass!$I$115:$P$115,CH$7,Ass!$I$116:$P$116)+(CH$7&gt;Ass!$P$115)*Ass!$Q$116</f>
        <v>2.7E-2</v>
      </c>
      <c r="CI18" s="55">
        <f>SUMIF(Ass!$I$115:$P$115,CI$7,Ass!$I$116:$P$116)+(CI$7&gt;Ass!$P$115)*Ass!$Q$116</f>
        <v>2.7E-2</v>
      </c>
      <c r="CJ18" s="55">
        <f>SUMIF(Ass!$I$115:$P$115,CJ$7,Ass!$I$116:$P$116)+(CJ$7&gt;Ass!$P$115)*Ass!$Q$116</f>
        <v>2.7E-2</v>
      </c>
      <c r="CK18" s="55">
        <f>SUMIF(Ass!$I$115:$P$115,CK$7,Ass!$I$116:$P$116)+(CK$7&gt;Ass!$P$115)*Ass!$Q$116</f>
        <v>2.7E-2</v>
      </c>
      <c r="CL18" s="55">
        <f>SUMIF(Ass!$I$115:$P$115,CL$7,Ass!$I$116:$P$116)+(CL$7&gt;Ass!$P$115)*Ass!$Q$116</f>
        <v>2.7E-2</v>
      </c>
      <c r="CM18" s="55">
        <f>SUMIF(Ass!$I$115:$P$115,CM$7,Ass!$I$116:$P$116)+(CM$7&gt;Ass!$P$115)*Ass!$Q$116</f>
        <v>2.7E-2</v>
      </c>
      <c r="CN18" s="55">
        <f>SUMIF(Ass!$I$115:$P$115,CN$7,Ass!$I$116:$P$116)+(CN$7&gt;Ass!$P$115)*Ass!$Q$116</f>
        <v>2.7E-2</v>
      </c>
    </row>
    <row r="19" spans="1:92" ht="12.75" customHeight="1" x14ac:dyDescent="0.3">
      <c r="D19" s="15" t="s">
        <v>198</v>
      </c>
      <c r="H19" s="16" t="s">
        <v>199</v>
      </c>
      <c r="L19" s="89">
        <f>L18+Ass!$I$119</f>
        <v>0.03</v>
      </c>
      <c r="M19" s="89">
        <f>M18+Ass!$I$119</f>
        <v>0.05</v>
      </c>
      <c r="N19" s="90">
        <f>N18+Ass!$I$119</f>
        <v>5.1000000000000004E-2</v>
      </c>
      <c r="O19" s="90">
        <f>O18+Ass!$I$119</f>
        <v>5.2000000000000005E-2</v>
      </c>
      <c r="P19" s="90">
        <f>P18+Ass!$I$119</f>
        <v>5.3000000000000005E-2</v>
      </c>
      <c r="Q19" s="90">
        <f>Q18+Ass!$I$119</f>
        <v>5.4000000000000006E-2</v>
      </c>
      <c r="R19" s="90">
        <f>R18+Ass!$I$119</f>
        <v>5.5000000000000007E-2</v>
      </c>
      <c r="S19" s="90">
        <f>S18+Ass!$I$119</f>
        <v>5.6000000000000008E-2</v>
      </c>
      <c r="T19" s="90">
        <f>T18+Ass!$I$119</f>
        <v>5.7000000000000009E-2</v>
      </c>
      <c r="U19" s="90">
        <f>U18+Ass!$I$119</f>
        <v>5.6999999999999995E-2</v>
      </c>
      <c r="V19" s="90">
        <f>V18+Ass!$I$119</f>
        <v>5.6999999999999995E-2</v>
      </c>
      <c r="W19" s="90">
        <f>W18+Ass!$I$119</f>
        <v>5.6999999999999995E-2</v>
      </c>
      <c r="X19" s="90">
        <f>X18+Ass!$I$119</f>
        <v>5.6999999999999995E-2</v>
      </c>
      <c r="Y19" s="90">
        <f>Y18+Ass!$I$119</f>
        <v>5.6999999999999995E-2</v>
      </c>
      <c r="Z19" s="90">
        <f>Z18+Ass!$I$119</f>
        <v>5.6999999999999995E-2</v>
      </c>
      <c r="AA19" s="90">
        <f>AA18+Ass!$I$119</f>
        <v>5.6999999999999995E-2</v>
      </c>
      <c r="AB19" s="90">
        <f>AB18+Ass!$I$119</f>
        <v>5.6999999999999995E-2</v>
      </c>
      <c r="AC19" s="90">
        <f>AC18+Ass!$I$119</f>
        <v>5.6999999999999995E-2</v>
      </c>
      <c r="AD19" s="90">
        <f>AD18+Ass!$I$119</f>
        <v>5.6999999999999995E-2</v>
      </c>
      <c r="AE19" s="90">
        <f>AE18+Ass!$I$119</f>
        <v>5.6999999999999995E-2</v>
      </c>
      <c r="AF19" s="90">
        <f>AF18+Ass!$I$119</f>
        <v>5.6999999999999995E-2</v>
      </c>
      <c r="AG19" s="90">
        <f>AG18+Ass!$I$119</f>
        <v>5.6999999999999995E-2</v>
      </c>
      <c r="AH19" s="90">
        <f>AH18+Ass!$I$119</f>
        <v>5.6999999999999995E-2</v>
      </c>
      <c r="AI19" s="90">
        <f>AI18+Ass!$I$119</f>
        <v>5.6999999999999995E-2</v>
      </c>
      <c r="AJ19" s="90">
        <f>AJ18+Ass!$I$119</f>
        <v>5.6999999999999995E-2</v>
      </c>
      <c r="AK19" s="90">
        <f>AK18+Ass!$I$119</f>
        <v>5.6999999999999995E-2</v>
      </c>
      <c r="AL19" s="90">
        <f>AL18+Ass!$I$119</f>
        <v>5.6999999999999995E-2</v>
      </c>
      <c r="AM19" s="90">
        <f>AM18+Ass!$I$119</f>
        <v>5.6999999999999995E-2</v>
      </c>
      <c r="AN19" s="90">
        <f>AN18+Ass!$I$119</f>
        <v>5.6999999999999995E-2</v>
      </c>
      <c r="AO19" s="90">
        <f>AO18+Ass!$I$119</f>
        <v>5.6999999999999995E-2</v>
      </c>
      <c r="AP19" s="90">
        <f>AP18+Ass!$I$119</f>
        <v>5.6999999999999995E-2</v>
      </c>
      <c r="AQ19" s="90">
        <f>AQ18+Ass!$I$119</f>
        <v>5.6999999999999995E-2</v>
      </c>
      <c r="AR19" s="90">
        <f>AR18+Ass!$I$119</f>
        <v>5.6999999999999995E-2</v>
      </c>
      <c r="AS19" s="90">
        <f>AS18+Ass!$I$119</f>
        <v>5.6999999999999995E-2</v>
      </c>
      <c r="AT19" s="90">
        <f>AT18+Ass!$I$119</f>
        <v>5.6999999999999995E-2</v>
      </c>
      <c r="AU19" s="90">
        <f>AU18+Ass!$I$119</f>
        <v>5.6999999999999995E-2</v>
      </c>
      <c r="AV19" s="90">
        <f>AV18+Ass!$I$119</f>
        <v>5.6999999999999995E-2</v>
      </c>
      <c r="AW19" s="90">
        <f>AW18+Ass!$I$119</f>
        <v>5.6999999999999995E-2</v>
      </c>
      <c r="AX19" s="90">
        <f>AX18+Ass!$I$119</f>
        <v>5.6999999999999995E-2</v>
      </c>
      <c r="AY19" s="90">
        <f>AY18+Ass!$I$119</f>
        <v>5.6999999999999995E-2</v>
      </c>
      <c r="AZ19" s="90">
        <f>AZ18+Ass!$I$119</f>
        <v>5.6999999999999995E-2</v>
      </c>
      <c r="BA19" s="90">
        <f>BA18+Ass!$I$119</f>
        <v>5.6999999999999995E-2</v>
      </c>
      <c r="BB19" s="90">
        <f>BB18+Ass!$I$119</f>
        <v>5.6999999999999995E-2</v>
      </c>
      <c r="BC19" s="90">
        <f>BC18+Ass!$I$119</f>
        <v>5.6999999999999995E-2</v>
      </c>
      <c r="BD19" s="90">
        <f>BD18+Ass!$I$119</f>
        <v>5.6999999999999995E-2</v>
      </c>
      <c r="BE19" s="90">
        <f>BE18+Ass!$I$119</f>
        <v>5.6999999999999995E-2</v>
      </c>
      <c r="BF19" s="90">
        <f>BF18+Ass!$I$119</f>
        <v>5.6999999999999995E-2</v>
      </c>
      <c r="BG19" s="90">
        <f>BG18+Ass!$I$119</f>
        <v>5.6999999999999995E-2</v>
      </c>
      <c r="BH19" s="90">
        <f>BH18+Ass!$I$119</f>
        <v>5.6999999999999995E-2</v>
      </c>
      <c r="BI19" s="90">
        <f>BI18+Ass!$I$119</f>
        <v>5.6999999999999995E-2</v>
      </c>
      <c r="BJ19" s="90">
        <f>BJ18+Ass!$I$119</f>
        <v>5.6999999999999995E-2</v>
      </c>
      <c r="BK19" s="90">
        <f>BK18+Ass!$I$119</f>
        <v>5.6999999999999995E-2</v>
      </c>
      <c r="BL19" s="90">
        <f>BL18+Ass!$I$119</f>
        <v>5.6999999999999995E-2</v>
      </c>
      <c r="BM19" s="90">
        <f>BM18+Ass!$I$119</f>
        <v>5.6999999999999995E-2</v>
      </c>
      <c r="BN19" s="90">
        <f>BN18+Ass!$I$119</f>
        <v>5.6999999999999995E-2</v>
      </c>
      <c r="BO19" s="90">
        <f>BO18+Ass!$I$119</f>
        <v>5.6999999999999995E-2</v>
      </c>
      <c r="BP19" s="90">
        <f>BP18+Ass!$I$119</f>
        <v>5.6999999999999995E-2</v>
      </c>
      <c r="BQ19" s="90">
        <f>BQ18+Ass!$I$119</f>
        <v>5.6999999999999995E-2</v>
      </c>
      <c r="BR19" s="90">
        <f>BR18+Ass!$I$119</f>
        <v>5.6999999999999995E-2</v>
      </c>
      <c r="BS19" s="90">
        <f>BS18+Ass!$I$119</f>
        <v>5.6999999999999995E-2</v>
      </c>
      <c r="BT19" s="90">
        <f>BT18+Ass!$I$119</f>
        <v>5.6999999999999995E-2</v>
      </c>
      <c r="BU19" s="90">
        <f>BU18+Ass!$I$119</f>
        <v>5.6999999999999995E-2</v>
      </c>
      <c r="BV19" s="90">
        <f>BV18+Ass!$I$119</f>
        <v>5.6999999999999995E-2</v>
      </c>
      <c r="BW19" s="90">
        <f>BW18+Ass!$I$119</f>
        <v>5.6999999999999995E-2</v>
      </c>
      <c r="BX19" s="90">
        <f>BX18+Ass!$I$119</f>
        <v>5.6999999999999995E-2</v>
      </c>
      <c r="BY19" s="90">
        <f>BY18+Ass!$I$119</f>
        <v>5.6999999999999995E-2</v>
      </c>
      <c r="BZ19" s="90">
        <f>BZ18+Ass!$I$119</f>
        <v>5.6999999999999995E-2</v>
      </c>
      <c r="CA19" s="90">
        <f>CA18+Ass!$I$119</f>
        <v>5.6999999999999995E-2</v>
      </c>
      <c r="CB19" s="90">
        <f>CB18+Ass!$I$119</f>
        <v>5.6999999999999995E-2</v>
      </c>
      <c r="CC19" s="90">
        <f>CC18+Ass!$I$119</f>
        <v>5.6999999999999995E-2</v>
      </c>
      <c r="CD19" s="90">
        <f>CD18+Ass!$I$119</f>
        <v>5.6999999999999995E-2</v>
      </c>
      <c r="CE19" s="90">
        <f>CE18+Ass!$I$119</f>
        <v>5.6999999999999995E-2</v>
      </c>
      <c r="CF19" s="90">
        <f>CF18+Ass!$I$119</f>
        <v>5.6999999999999995E-2</v>
      </c>
      <c r="CG19" s="90">
        <f>CG18+Ass!$I$119</f>
        <v>5.6999999999999995E-2</v>
      </c>
      <c r="CH19" s="90">
        <f>CH18+Ass!$I$119</f>
        <v>5.6999999999999995E-2</v>
      </c>
      <c r="CI19" s="90">
        <f>CI18+Ass!$I$119</f>
        <v>5.6999999999999995E-2</v>
      </c>
      <c r="CJ19" s="90">
        <f>CJ18+Ass!$I$119</f>
        <v>5.6999999999999995E-2</v>
      </c>
      <c r="CK19" s="90">
        <f>CK18+Ass!$I$119</f>
        <v>5.6999999999999995E-2</v>
      </c>
      <c r="CL19" s="90">
        <f>CL18+Ass!$I$119</f>
        <v>5.6999999999999995E-2</v>
      </c>
      <c r="CM19" s="90">
        <f>CM18+Ass!$I$119</f>
        <v>5.6999999999999995E-2</v>
      </c>
      <c r="CN19" s="90">
        <f>CN18+Ass!$I$119</f>
        <v>5.6999999999999995E-2</v>
      </c>
    </row>
    <row r="20" spans="1:92" ht="12.75" customHeight="1" x14ac:dyDescent="0.3">
      <c r="D20" s="15"/>
    </row>
    <row r="21" spans="1:92" ht="12.75" customHeight="1" x14ac:dyDescent="0.3">
      <c r="D21" s="15" t="s">
        <v>197</v>
      </c>
      <c r="H21" s="16" t="s">
        <v>1</v>
      </c>
      <c r="J21" s="58">
        <f ca="1">SUM(L21:CN21)</f>
        <v>39811836.278326131</v>
      </c>
      <c r="L21" s="15">
        <f t="shared" ref="L21:AQ21" si="9">L19*L12/4</f>
        <v>0</v>
      </c>
      <c r="M21" s="15">
        <f t="shared" si="9"/>
        <v>1500000</v>
      </c>
      <c r="N21" s="15">
        <f t="shared" si="9"/>
        <v>1458780.7497354599</v>
      </c>
      <c r="O21" s="15">
        <f t="shared" ca="1" si="9"/>
        <v>1434311.757577982</v>
      </c>
      <c r="P21" s="15">
        <f t="shared" ca="1" si="9"/>
        <v>1391233.3004917626</v>
      </c>
      <c r="Q21" s="15">
        <f t="shared" ca="1" si="9"/>
        <v>1346857.0977295071</v>
      </c>
      <c r="R21" s="15">
        <f t="shared" ca="1" si="9"/>
        <v>1290603.5025211994</v>
      </c>
      <c r="S21" s="15">
        <f t="shared" ca="1" si="9"/>
        <v>1228119.632959991</v>
      </c>
      <c r="T21" s="15">
        <f t="shared" ca="1" si="9"/>
        <v>1156857.958831761</v>
      </c>
      <c r="U21" s="15">
        <f t="shared" ca="1" si="9"/>
        <v>1065382.609816062</v>
      </c>
      <c r="V21" s="15">
        <f t="shared" ca="1" si="9"/>
        <v>976059.31378441153</v>
      </c>
      <c r="W21" s="15">
        <f t="shared" ca="1" si="9"/>
        <v>886130.35487800045</v>
      </c>
      <c r="X21" s="15">
        <f t="shared" ca="1" si="9"/>
        <v>854999.99999999988</v>
      </c>
      <c r="Y21" s="15">
        <f t="shared" ca="1" si="9"/>
        <v>840749.99999999988</v>
      </c>
      <c r="Z21" s="15">
        <f t="shared" ca="1" si="9"/>
        <v>826499.99999999988</v>
      </c>
      <c r="AA21" s="15">
        <f t="shared" ca="1" si="9"/>
        <v>812249.99999999988</v>
      </c>
      <c r="AB21" s="15">
        <f t="shared" ca="1" si="9"/>
        <v>797999.99999999988</v>
      </c>
      <c r="AC21" s="15">
        <f t="shared" ca="1" si="9"/>
        <v>783749.99999999988</v>
      </c>
      <c r="AD21" s="15">
        <f t="shared" ca="1" si="9"/>
        <v>769499.99999999988</v>
      </c>
      <c r="AE21" s="15">
        <f t="shared" ca="1" si="9"/>
        <v>755249.99999999988</v>
      </c>
      <c r="AF21" s="15">
        <f t="shared" ca="1" si="9"/>
        <v>740999.99999999988</v>
      </c>
      <c r="AG21" s="15">
        <f t="shared" ca="1" si="9"/>
        <v>726749.99999999988</v>
      </c>
      <c r="AH21" s="15">
        <f t="shared" ca="1" si="9"/>
        <v>712499.99999999988</v>
      </c>
      <c r="AI21" s="15">
        <f t="shared" ca="1" si="9"/>
        <v>698249.99999999988</v>
      </c>
      <c r="AJ21" s="15">
        <f t="shared" ca="1" si="9"/>
        <v>683999.99999999988</v>
      </c>
      <c r="AK21" s="15">
        <f t="shared" ca="1" si="9"/>
        <v>669750</v>
      </c>
      <c r="AL21" s="15">
        <f t="shared" ca="1" si="9"/>
        <v>655500</v>
      </c>
      <c r="AM21" s="15">
        <f t="shared" ca="1" si="9"/>
        <v>641250</v>
      </c>
      <c r="AN21" s="15">
        <f t="shared" ca="1" si="9"/>
        <v>627000</v>
      </c>
      <c r="AO21" s="15">
        <f t="shared" ca="1" si="9"/>
        <v>612750</v>
      </c>
      <c r="AP21" s="15">
        <f t="shared" ca="1" si="9"/>
        <v>598500</v>
      </c>
      <c r="AQ21" s="15">
        <f t="shared" ca="1" si="9"/>
        <v>584250</v>
      </c>
      <c r="AR21" s="15">
        <f t="shared" ref="AR21:BW21" ca="1" si="10">AR19*AR12/4</f>
        <v>570000</v>
      </c>
      <c r="AS21" s="15">
        <f t="shared" ca="1" si="10"/>
        <v>555750</v>
      </c>
      <c r="AT21" s="15">
        <f t="shared" ca="1" si="10"/>
        <v>541500</v>
      </c>
      <c r="AU21" s="15">
        <f t="shared" ca="1" si="10"/>
        <v>527250</v>
      </c>
      <c r="AV21" s="15">
        <f t="shared" ca="1" si="10"/>
        <v>512999.99999999994</v>
      </c>
      <c r="AW21" s="15">
        <f t="shared" ca="1" si="10"/>
        <v>498749.99999999994</v>
      </c>
      <c r="AX21" s="15">
        <f t="shared" ca="1" si="10"/>
        <v>484499.99999999994</v>
      </c>
      <c r="AY21" s="15">
        <f t="shared" ca="1" si="10"/>
        <v>470249.99999999994</v>
      </c>
      <c r="AZ21" s="15">
        <f t="shared" ca="1" si="10"/>
        <v>455999.99999999994</v>
      </c>
      <c r="BA21" s="15">
        <f t="shared" ca="1" si="10"/>
        <v>441749.99999999994</v>
      </c>
      <c r="BB21" s="15">
        <f t="shared" ca="1" si="10"/>
        <v>427499.99999999994</v>
      </c>
      <c r="BC21" s="15">
        <f t="shared" ca="1" si="10"/>
        <v>413249.99999999994</v>
      </c>
      <c r="BD21" s="15">
        <f t="shared" ca="1" si="10"/>
        <v>398999.99999999994</v>
      </c>
      <c r="BE21" s="15">
        <f t="shared" ca="1" si="10"/>
        <v>384749.99999999994</v>
      </c>
      <c r="BF21" s="15">
        <f t="shared" ca="1" si="10"/>
        <v>370499.99999999994</v>
      </c>
      <c r="BG21" s="15">
        <f t="shared" ca="1" si="10"/>
        <v>356249.99999999994</v>
      </c>
      <c r="BH21" s="15">
        <f t="shared" ca="1" si="10"/>
        <v>341999.99999999994</v>
      </c>
      <c r="BI21" s="15">
        <f t="shared" ca="1" si="10"/>
        <v>327750</v>
      </c>
      <c r="BJ21" s="15">
        <f t="shared" ca="1" si="10"/>
        <v>313500</v>
      </c>
      <c r="BK21" s="15">
        <f t="shared" ca="1" si="10"/>
        <v>299250</v>
      </c>
      <c r="BL21" s="15">
        <f t="shared" ca="1" si="10"/>
        <v>285000</v>
      </c>
      <c r="BM21" s="15">
        <f t="shared" ca="1" si="10"/>
        <v>270750</v>
      </c>
      <c r="BN21" s="15">
        <f t="shared" ca="1" si="10"/>
        <v>256499.99999999997</v>
      </c>
      <c r="BO21" s="15">
        <f t="shared" ca="1" si="10"/>
        <v>242249.99999999997</v>
      </c>
      <c r="BP21" s="15">
        <f t="shared" ca="1" si="10"/>
        <v>227999.99999999997</v>
      </c>
      <c r="BQ21" s="15">
        <f t="shared" ca="1" si="10"/>
        <v>213749.99999999997</v>
      </c>
      <c r="BR21" s="15">
        <f t="shared" ca="1" si="10"/>
        <v>199499.99999999997</v>
      </c>
      <c r="BS21" s="15">
        <f t="shared" ca="1" si="10"/>
        <v>185249.99999999997</v>
      </c>
      <c r="BT21" s="15">
        <f t="shared" ca="1" si="10"/>
        <v>170999.99999999997</v>
      </c>
      <c r="BU21" s="15">
        <f t="shared" ca="1" si="10"/>
        <v>156750</v>
      </c>
      <c r="BV21" s="15">
        <f t="shared" ca="1" si="10"/>
        <v>142500</v>
      </c>
      <c r="BW21" s="15">
        <f t="shared" ca="1" si="10"/>
        <v>128249.99999999999</v>
      </c>
      <c r="BX21" s="15">
        <f t="shared" ref="BX21:CN21" ca="1" si="11">BX19*BX12/4</f>
        <v>113999.99999999999</v>
      </c>
      <c r="BY21" s="15">
        <f t="shared" ca="1" si="11"/>
        <v>99749.999999999985</v>
      </c>
      <c r="BZ21" s="15">
        <f t="shared" ca="1" si="11"/>
        <v>85499.999999999985</v>
      </c>
      <c r="CA21" s="15">
        <f t="shared" ca="1" si="11"/>
        <v>71250</v>
      </c>
      <c r="CB21" s="15">
        <f t="shared" ca="1" si="11"/>
        <v>56999.999999999993</v>
      </c>
      <c r="CC21" s="15">
        <f t="shared" ca="1" si="11"/>
        <v>42749.999999999993</v>
      </c>
      <c r="CD21" s="15">
        <f t="shared" ca="1" si="11"/>
        <v>28499.999999999996</v>
      </c>
      <c r="CE21" s="15">
        <f t="shared" ca="1" si="11"/>
        <v>14249.999999999998</v>
      </c>
      <c r="CF21" s="15">
        <f t="shared" ca="1" si="11"/>
        <v>0</v>
      </c>
      <c r="CG21" s="15">
        <f t="shared" ca="1" si="11"/>
        <v>0</v>
      </c>
      <c r="CH21" s="15">
        <f t="shared" ca="1" si="11"/>
        <v>0</v>
      </c>
      <c r="CI21" s="15">
        <f t="shared" ca="1" si="11"/>
        <v>0</v>
      </c>
      <c r="CJ21" s="15">
        <f t="shared" ca="1" si="11"/>
        <v>0</v>
      </c>
      <c r="CK21" s="15">
        <f t="shared" ca="1" si="11"/>
        <v>0</v>
      </c>
      <c r="CL21" s="15">
        <f t="shared" ca="1" si="11"/>
        <v>0</v>
      </c>
      <c r="CM21" s="15">
        <f t="shared" ca="1" si="11"/>
        <v>0</v>
      </c>
      <c r="CN21" s="15">
        <f t="shared" ca="1" si="11"/>
        <v>0</v>
      </c>
    </row>
    <row r="22" spans="1:92" ht="12.75" customHeight="1" x14ac:dyDescent="0.3"/>
    <row r="23" spans="1:92" ht="12.75" customHeight="1" x14ac:dyDescent="0.3">
      <c r="D23" s="15" t="s">
        <v>202</v>
      </c>
      <c r="H23" s="10" t="s">
        <v>147</v>
      </c>
      <c r="L23" s="15">
        <f>--(SUM(L12:L14)&gt;Ass!$I$121)</f>
        <v>0</v>
      </c>
      <c r="M23" s="15">
        <f>--(SUM(M12:M14)&gt;Ass!$I$121)</f>
        <v>1</v>
      </c>
      <c r="N23" s="15">
        <f>--(SUM(N12:N14)&gt;Ass!$I$121)</f>
        <v>1</v>
      </c>
      <c r="O23" s="15">
        <f ca="1">--(SUM(O12:O14)&gt;Ass!$I$121)</f>
        <v>1</v>
      </c>
      <c r="P23" s="15">
        <f ca="1">--(SUM(P12:P14)&gt;Ass!$I$121)</f>
        <v>1</v>
      </c>
      <c r="Q23" s="15">
        <f ca="1">--(SUM(Q12:Q14)&gt;Ass!$I$121)</f>
        <v>1</v>
      </c>
      <c r="R23" s="15">
        <f ca="1">--(SUM(R12:R14)&gt;Ass!$I$121)</f>
        <v>1</v>
      </c>
      <c r="S23" s="15">
        <f ca="1">--(SUM(S12:S14)&gt;Ass!$I$121)</f>
        <v>1</v>
      </c>
      <c r="T23" s="15">
        <f ca="1">--(SUM(T12:T14)&gt;Ass!$I$121)</f>
        <v>1</v>
      </c>
      <c r="U23" s="15">
        <f ca="1">--(SUM(U12:U14)&gt;Ass!$I$121)</f>
        <v>1</v>
      </c>
      <c r="V23" s="15">
        <f ca="1">--(SUM(V12:V14)&gt;Ass!$I$121)</f>
        <v>1</v>
      </c>
      <c r="W23" s="15">
        <f ca="1">--(SUM(W12:W14)&gt;Ass!$I$121)</f>
        <v>1</v>
      </c>
      <c r="X23" s="15">
        <f ca="1">--(SUM(X12:X14)&gt;Ass!$I$121)</f>
        <v>0</v>
      </c>
      <c r="Y23" s="15">
        <f ca="1">--(SUM(Y12:Y14)&gt;Ass!$I$121)</f>
        <v>0</v>
      </c>
      <c r="Z23" s="15">
        <f ca="1">--(SUM(Z12:Z14)&gt;Ass!$I$121)</f>
        <v>0</v>
      </c>
      <c r="AA23" s="15">
        <f ca="1">--(SUM(AA12:AA14)&gt;Ass!$I$121)</f>
        <v>0</v>
      </c>
      <c r="AB23" s="15">
        <f ca="1">--(SUM(AB12:AB14)&gt;Ass!$I$121)</f>
        <v>0</v>
      </c>
      <c r="AC23" s="15">
        <f ca="1">--(SUM(AC12:AC14)&gt;Ass!$I$121)</f>
        <v>0</v>
      </c>
      <c r="AD23" s="15">
        <f ca="1">--(SUM(AD12:AD14)&gt;Ass!$I$121)</f>
        <v>0</v>
      </c>
      <c r="AE23" s="15">
        <f ca="1">--(SUM(AE12:AE14)&gt;Ass!$I$121)</f>
        <v>0</v>
      </c>
      <c r="AF23" s="15">
        <f ca="1">--(SUM(AF12:AF14)&gt;Ass!$I$121)</f>
        <v>0</v>
      </c>
      <c r="AG23" s="15">
        <f ca="1">--(SUM(AG12:AG14)&gt;Ass!$I$121)</f>
        <v>0</v>
      </c>
      <c r="AH23" s="15">
        <f ca="1">--(SUM(AH12:AH14)&gt;Ass!$I$121)</f>
        <v>0</v>
      </c>
      <c r="AI23" s="15">
        <f ca="1">--(SUM(AI12:AI14)&gt;Ass!$I$121)</f>
        <v>0</v>
      </c>
      <c r="AJ23" s="15">
        <f ca="1">--(SUM(AJ12:AJ14)&gt;Ass!$I$121)</f>
        <v>0</v>
      </c>
      <c r="AK23" s="15">
        <f ca="1">--(SUM(AK12:AK14)&gt;Ass!$I$121)</f>
        <v>0</v>
      </c>
      <c r="AL23" s="15">
        <f ca="1">--(SUM(AL12:AL14)&gt;Ass!$I$121)</f>
        <v>0</v>
      </c>
      <c r="AM23" s="15">
        <f ca="1">--(SUM(AM12:AM14)&gt;Ass!$I$121)</f>
        <v>0</v>
      </c>
      <c r="AN23" s="15">
        <f ca="1">--(SUM(AN12:AN14)&gt;Ass!$I$121)</f>
        <v>0</v>
      </c>
      <c r="AO23" s="15">
        <f ca="1">--(SUM(AO12:AO14)&gt;Ass!$I$121)</f>
        <v>0</v>
      </c>
      <c r="AP23" s="15">
        <f ca="1">--(SUM(AP12:AP14)&gt;Ass!$I$121)</f>
        <v>0</v>
      </c>
      <c r="AQ23" s="15">
        <f ca="1">--(SUM(AQ12:AQ14)&gt;Ass!$I$121)</f>
        <v>0</v>
      </c>
      <c r="AR23" s="15">
        <f ca="1">--(SUM(AR12:AR14)&gt;Ass!$I$121)</f>
        <v>0</v>
      </c>
      <c r="AS23" s="15">
        <f ca="1">--(SUM(AS12:AS14)&gt;Ass!$I$121)</f>
        <v>0</v>
      </c>
      <c r="AT23" s="15">
        <f ca="1">--(SUM(AT12:AT14)&gt;Ass!$I$121)</f>
        <v>0</v>
      </c>
      <c r="AU23" s="15">
        <f ca="1">--(SUM(AU12:AU14)&gt;Ass!$I$121)</f>
        <v>0</v>
      </c>
      <c r="AV23" s="15">
        <f ca="1">--(SUM(AV12:AV14)&gt;Ass!$I$121)</f>
        <v>0</v>
      </c>
      <c r="AW23" s="15">
        <f ca="1">--(SUM(AW12:AW14)&gt;Ass!$I$121)</f>
        <v>0</v>
      </c>
      <c r="AX23" s="15">
        <f ca="1">--(SUM(AX12:AX14)&gt;Ass!$I$121)</f>
        <v>0</v>
      </c>
      <c r="AY23" s="15">
        <f ca="1">--(SUM(AY12:AY14)&gt;Ass!$I$121)</f>
        <v>0</v>
      </c>
      <c r="AZ23" s="15">
        <f ca="1">--(SUM(AZ12:AZ14)&gt;Ass!$I$121)</f>
        <v>0</v>
      </c>
      <c r="BA23" s="15">
        <f ca="1">--(SUM(BA12:BA14)&gt;Ass!$I$121)</f>
        <v>0</v>
      </c>
      <c r="BB23" s="15">
        <f ca="1">--(SUM(BB12:BB14)&gt;Ass!$I$121)</f>
        <v>0</v>
      </c>
      <c r="BC23" s="15">
        <f ca="1">--(SUM(BC12:BC14)&gt;Ass!$I$121)</f>
        <v>0</v>
      </c>
      <c r="BD23" s="15">
        <f ca="1">--(SUM(BD12:BD14)&gt;Ass!$I$121)</f>
        <v>0</v>
      </c>
      <c r="BE23" s="15">
        <f ca="1">--(SUM(BE12:BE14)&gt;Ass!$I$121)</f>
        <v>0</v>
      </c>
      <c r="BF23" s="15">
        <f ca="1">--(SUM(BF12:BF14)&gt;Ass!$I$121)</f>
        <v>0</v>
      </c>
      <c r="BG23" s="15">
        <f ca="1">--(SUM(BG12:BG14)&gt;Ass!$I$121)</f>
        <v>0</v>
      </c>
      <c r="BH23" s="15">
        <f ca="1">--(SUM(BH12:BH14)&gt;Ass!$I$121)</f>
        <v>0</v>
      </c>
      <c r="BI23" s="15">
        <f ca="1">--(SUM(BI12:BI14)&gt;Ass!$I$121)</f>
        <v>0</v>
      </c>
      <c r="BJ23" s="15">
        <f ca="1">--(SUM(BJ12:BJ14)&gt;Ass!$I$121)</f>
        <v>0</v>
      </c>
      <c r="BK23" s="15">
        <f ca="1">--(SUM(BK12:BK14)&gt;Ass!$I$121)</f>
        <v>0</v>
      </c>
      <c r="BL23" s="15">
        <f ca="1">--(SUM(BL12:BL14)&gt;Ass!$I$121)</f>
        <v>0</v>
      </c>
      <c r="BM23" s="15">
        <f ca="1">--(SUM(BM12:BM14)&gt;Ass!$I$121)</f>
        <v>0</v>
      </c>
      <c r="BN23" s="15">
        <f ca="1">--(SUM(BN12:BN14)&gt;Ass!$I$121)</f>
        <v>0</v>
      </c>
      <c r="BO23" s="15">
        <f ca="1">--(SUM(BO12:BO14)&gt;Ass!$I$121)</f>
        <v>0</v>
      </c>
      <c r="BP23" s="15">
        <f ca="1">--(SUM(BP12:BP14)&gt;Ass!$I$121)</f>
        <v>0</v>
      </c>
      <c r="BQ23" s="15">
        <f ca="1">--(SUM(BQ12:BQ14)&gt;Ass!$I$121)</f>
        <v>0</v>
      </c>
      <c r="BR23" s="15">
        <f ca="1">--(SUM(BR12:BR14)&gt;Ass!$I$121)</f>
        <v>0</v>
      </c>
      <c r="BS23" s="15">
        <f ca="1">--(SUM(BS12:BS14)&gt;Ass!$I$121)</f>
        <v>0</v>
      </c>
      <c r="BT23" s="15">
        <f ca="1">--(SUM(BT12:BT14)&gt;Ass!$I$121)</f>
        <v>0</v>
      </c>
      <c r="BU23" s="15">
        <f ca="1">--(SUM(BU12:BU14)&gt;Ass!$I$121)</f>
        <v>0</v>
      </c>
      <c r="BV23" s="15">
        <f ca="1">--(SUM(BV12:BV14)&gt;Ass!$I$121)</f>
        <v>0</v>
      </c>
      <c r="BW23" s="15">
        <f ca="1">--(SUM(BW12:BW14)&gt;Ass!$I$121)</f>
        <v>0</v>
      </c>
      <c r="BX23" s="15">
        <f ca="1">--(SUM(BX12:BX14)&gt;Ass!$I$121)</f>
        <v>0</v>
      </c>
      <c r="BY23" s="15">
        <f ca="1">--(SUM(BY12:BY14)&gt;Ass!$I$121)</f>
        <v>0</v>
      </c>
      <c r="BZ23" s="15">
        <f ca="1">--(SUM(BZ12:BZ14)&gt;Ass!$I$121)</f>
        <v>0</v>
      </c>
      <c r="CA23" s="15">
        <f ca="1">--(SUM(CA12:CA14)&gt;Ass!$I$121)</f>
        <v>0</v>
      </c>
      <c r="CB23" s="15">
        <f ca="1">--(SUM(CB12:CB14)&gt;Ass!$I$121)</f>
        <v>0</v>
      </c>
      <c r="CC23" s="15">
        <f ca="1">--(SUM(CC12:CC14)&gt;Ass!$I$121)</f>
        <v>0</v>
      </c>
      <c r="CD23" s="15">
        <f ca="1">--(SUM(CD12:CD14)&gt;Ass!$I$121)</f>
        <v>0</v>
      </c>
      <c r="CE23" s="15">
        <f ca="1">--(SUM(CE12:CE14)&gt;Ass!$I$121)</f>
        <v>0</v>
      </c>
      <c r="CF23" s="15">
        <f ca="1">--(SUM(CF12:CF14)&gt;Ass!$I$121)</f>
        <v>0</v>
      </c>
      <c r="CG23" s="15">
        <f ca="1">--(SUM(CG12:CG14)&gt;Ass!$I$121)</f>
        <v>0</v>
      </c>
      <c r="CH23" s="15">
        <f ca="1">--(SUM(CH12:CH14)&gt;Ass!$I$121)</f>
        <v>0</v>
      </c>
      <c r="CI23" s="15">
        <f ca="1">--(SUM(CI12:CI14)&gt;Ass!$I$121)</f>
        <v>0</v>
      </c>
      <c r="CJ23" s="15">
        <f ca="1">--(SUM(CJ12:CJ14)&gt;Ass!$I$121)</f>
        <v>0</v>
      </c>
      <c r="CK23" s="15">
        <f ca="1">--(SUM(CK12:CK14)&gt;Ass!$I$121)</f>
        <v>0</v>
      </c>
      <c r="CL23" s="15">
        <f ca="1">--(SUM(CL12:CL14)&gt;Ass!$I$121)</f>
        <v>0</v>
      </c>
      <c r="CM23" s="15">
        <f ca="1">--(SUM(CM12:CM14)&gt;Ass!$I$121)</f>
        <v>0</v>
      </c>
      <c r="CN23" s="15">
        <f ca="1">--(SUM(CN12:CN14)&gt;Ass!$I$121)</f>
        <v>0</v>
      </c>
    </row>
    <row r="24" spans="1:92" ht="12.75" customHeight="1" x14ac:dyDescent="0.3">
      <c r="D24" s="15" t="s">
        <v>203</v>
      </c>
      <c r="H24" s="16" t="s">
        <v>1</v>
      </c>
      <c r="L24" s="88">
        <f>Accounts!L81</f>
        <v>0</v>
      </c>
      <c r="M24" s="88">
        <f>Accounts!M81</f>
        <v>5585823.550160002</v>
      </c>
      <c r="N24" s="88">
        <f ca="1">Accounts!N81</f>
        <v>4082502.7899952391</v>
      </c>
      <c r="O24" s="88">
        <f ca="1">Accounts!O81</f>
        <v>5332934.0000890885</v>
      </c>
      <c r="P24" s="88">
        <f ca="1">Accounts!P81</f>
        <v>5231547.2353477404</v>
      </c>
      <c r="Q24" s="88">
        <f ca="1">Accounts!Q81</f>
        <v>5905119.5137752574</v>
      </c>
      <c r="R24" s="88">
        <f ca="1">Accounts!R81</f>
        <v>6139241.9849190423</v>
      </c>
      <c r="S24" s="88">
        <f ca="1">Accounts!S81</f>
        <v>6539816.2708532149</v>
      </c>
      <c r="T24" s="88">
        <f ca="1">Accounts!T81</f>
        <v>6419322.7379437629</v>
      </c>
      <c r="U24" s="88">
        <f ca="1">Accounts!U81</f>
        <v>6268301.4759052936</v>
      </c>
      <c r="V24" s="88">
        <f ca="1">Accounts!V81</f>
        <v>6310804.1337832389</v>
      </c>
      <c r="W24" s="88">
        <f ca="1">Accounts!W81</f>
        <v>6844631.0932447035</v>
      </c>
      <c r="X24" s="88">
        <f ca="1">Accounts!X81</f>
        <v>11326643.529087378</v>
      </c>
      <c r="Y24" s="88">
        <f ca="1">Accounts!Y81</f>
        <v>16213292.998891842</v>
      </c>
      <c r="Z24" s="88">
        <f ca="1">Accounts!Z81</f>
        <v>21350278.238555372</v>
      </c>
      <c r="AA24" s="88">
        <f ca="1">Accounts!AA81</f>
        <v>26948396.205490459</v>
      </c>
      <c r="AB24" s="88">
        <f ca="1">Accounts!AB81</f>
        <v>32214856.227714181</v>
      </c>
      <c r="AC24" s="88">
        <f ca="1">Accounts!AC81</f>
        <v>37244879.487925805</v>
      </c>
      <c r="AD24" s="88">
        <f ca="1">Accounts!AD81</f>
        <v>42698973.692238048</v>
      </c>
      <c r="AE24" s="88">
        <f ca="1">Accounts!AE81</f>
        <v>48592108.822455443</v>
      </c>
      <c r="AF24" s="88">
        <f ca="1">Accounts!AF81</f>
        <v>49194950.507535025</v>
      </c>
      <c r="AG24" s="88">
        <f ca="1">Accounts!AG81</f>
        <v>47813593.15356151</v>
      </c>
      <c r="AH24" s="88">
        <f ca="1">Accounts!AH81</f>
        <v>46949750.117106281</v>
      </c>
      <c r="AI24" s="88">
        <f ca="1">Accounts!AI81</f>
        <v>46557521.571447216</v>
      </c>
      <c r="AJ24" s="88">
        <f ca="1">Accounts!AJ81</f>
        <v>45503729.096128896</v>
      </c>
      <c r="AK24" s="88">
        <f ca="1">Accounts!AK81</f>
        <v>44293214.134611025</v>
      </c>
      <c r="AL24" s="88">
        <f ca="1">Accounts!AL81</f>
        <v>43223578.634486735</v>
      </c>
      <c r="AM24" s="88">
        <f ca="1">Accounts!AM81</f>
        <v>42723646.268560268</v>
      </c>
      <c r="AN24" s="88">
        <f ca="1">Accounts!AN81</f>
        <v>41659858.91013281</v>
      </c>
      <c r="AO24" s="88">
        <f ca="1">Accounts!AO81</f>
        <v>40251243.589853525</v>
      </c>
      <c r="AP24" s="88">
        <f ca="1">Accounts!AP81</f>
        <v>39346123.474084847</v>
      </c>
      <c r="AQ24" s="88">
        <f ca="1">Accounts!AQ81</f>
        <v>38948582.252721027</v>
      </c>
      <c r="AR24" s="88">
        <f ca="1">Accounts!AR81</f>
        <v>37896472.321073979</v>
      </c>
      <c r="AS24" s="88">
        <f ca="1">Accounts!AS81</f>
        <v>36446755.4828832</v>
      </c>
      <c r="AT24" s="88">
        <f ca="1">Accounts!AT81</f>
        <v>35559792.579248242</v>
      </c>
      <c r="AU24" s="88">
        <f ca="1">Accounts!AU81</f>
        <v>35147995.083010674</v>
      </c>
      <c r="AV24" s="88">
        <f ca="1">Accounts!AV81</f>
        <v>34106158.067656443</v>
      </c>
      <c r="AW24" s="88">
        <f ca="1">Accounts!AW81</f>
        <v>32644855.289000772</v>
      </c>
      <c r="AX24" s="88">
        <f ca="1">Accounts!AX81</f>
        <v>31775109.756984044</v>
      </c>
      <c r="AY24" s="88">
        <f ca="1">Accounts!AY81</f>
        <v>31463629.920014594</v>
      </c>
      <c r="AZ24" s="88">
        <f ca="1">Accounts!AZ81</f>
        <v>30436543.776177004</v>
      </c>
      <c r="BA24" s="88">
        <f ca="1">Accounts!BA81</f>
        <v>29199539.50637906</v>
      </c>
      <c r="BB24" s="88">
        <f ca="1">Accounts!BB81</f>
        <v>28176377.523777001</v>
      </c>
      <c r="BC24" s="88">
        <f ca="1">Accounts!BC81</f>
        <v>27936707.212120261</v>
      </c>
      <c r="BD24" s="88">
        <f ca="1">Accounts!BD81</f>
        <v>26927386.271984823</v>
      </c>
      <c r="BE24" s="88">
        <f ca="1">Accounts!BE81</f>
        <v>25509159.43217073</v>
      </c>
      <c r="BF24" s="88">
        <f ca="1">Accounts!BF81</f>
        <v>24692503.775367536</v>
      </c>
      <c r="BG24" s="88">
        <f ca="1">Accounts!BG81</f>
        <v>24427947.054755203</v>
      </c>
      <c r="BH24" s="88">
        <f ca="1">Accounts!BH81</f>
        <v>23435948.356562559</v>
      </c>
      <c r="BI24" s="88">
        <f ca="1">Accounts!BI81</f>
        <v>21985307.463835977</v>
      </c>
      <c r="BJ24" s="88">
        <f ca="1">Accounts!BJ81</f>
        <v>21196744.997503538</v>
      </c>
      <c r="BK24" s="88">
        <f ca="1">Accounts!BK81</f>
        <v>21087858.939670507</v>
      </c>
      <c r="BL24" s="88">
        <f ca="1">Accounts!BL81</f>
        <v>20120287.829719398</v>
      </c>
      <c r="BM24" s="88">
        <f ca="1">Accounts!BM81</f>
        <v>18680655.777165603</v>
      </c>
      <c r="BN24" s="88">
        <f ca="1">Accounts!BN81</f>
        <v>17930530.021881621</v>
      </c>
      <c r="BO24" s="88">
        <f ca="1">Accounts!BO81</f>
        <v>17847150.768083457</v>
      </c>
      <c r="BP24" s="88">
        <f ca="1">Accounts!BP81</f>
        <v>16905549.074284881</v>
      </c>
      <c r="BQ24" s="88">
        <f ca="1">Accounts!BQ81</f>
        <v>15691175.13730393</v>
      </c>
      <c r="BR24" s="88">
        <f ca="1">Accounts!BR81</f>
        <v>14757409.932589257</v>
      </c>
      <c r="BS24" s="88">
        <f ca="1">Accounts!BS81</f>
        <v>14878475.673930611</v>
      </c>
      <c r="BT24" s="88">
        <f ca="1">Accounts!BT81</f>
        <v>13975058.37909276</v>
      </c>
      <c r="BU24" s="88">
        <f ca="1">Accounts!BU81</f>
        <v>13529601.224657895</v>
      </c>
      <c r="BV24" s="88">
        <f ca="1">Accounts!BV81</f>
        <v>14137158.467497252</v>
      </c>
      <c r="BW24" s="88">
        <f ca="1">Accounts!BW81</f>
        <v>15360049.761766039</v>
      </c>
      <c r="BX24" s="88">
        <f ca="1">Accounts!BX81</f>
        <v>15370037.854316846</v>
      </c>
      <c r="BY24" s="88">
        <f ca="1">Accounts!BY81</f>
        <v>15004055.553525837</v>
      </c>
      <c r="BZ24" s="88">
        <f ca="1">Accounts!BZ81</f>
        <v>15601457.735345244</v>
      </c>
      <c r="CA24" s="88">
        <f ca="1">Accounts!CA81</f>
        <v>16927609.059382938</v>
      </c>
      <c r="CB24" s="88">
        <f ca="1">Accounts!CB81</f>
        <v>16975218.392679371</v>
      </c>
      <c r="CC24" s="88">
        <f ca="1">Accounts!CC81</f>
        <v>16587219.058078155</v>
      </c>
      <c r="CD24" s="88">
        <f ca="1">Accounts!CD81</f>
        <v>17282053.09724699</v>
      </c>
      <c r="CE24" s="88">
        <f ca="1">Accounts!CE81</f>
        <v>18794845.229041256</v>
      </c>
      <c r="CF24" s="88">
        <f ca="1">Accounts!CF81</f>
        <v>19865625.540976699</v>
      </c>
      <c r="CG24" s="88">
        <f ca="1">Accounts!CG81</f>
        <v>19839212.422249097</v>
      </c>
      <c r="CH24" s="88">
        <f ca="1">Accounts!CH81</f>
        <v>20184677.034486454</v>
      </c>
      <c r="CI24" s="88">
        <f ca="1">Accounts!CI81</f>
        <v>22004553.926063713</v>
      </c>
      <c r="CJ24" s="88">
        <f ca="1">Accounts!CJ81</f>
        <v>22304692.152136575</v>
      </c>
      <c r="CK24" s="88">
        <f ca="1">Accounts!CK81</f>
        <v>21935406.639650926</v>
      </c>
      <c r="CL24" s="88">
        <f ca="1">Accounts!CL81</f>
        <v>22598267.724966299</v>
      </c>
      <c r="CM24" s="88">
        <f ca="1">Accounts!CM81</f>
        <v>24460659.583845906</v>
      </c>
      <c r="CN24" s="88">
        <f ca="1">Accounts!CN81</f>
        <v>26568362.926046453</v>
      </c>
    </row>
    <row r="25" spans="1:92" ht="12.75" customHeight="1" x14ac:dyDescent="0.3">
      <c r="D25" s="15" t="s">
        <v>204</v>
      </c>
      <c r="H25" s="16" t="s">
        <v>1</v>
      </c>
      <c r="J25" s="58">
        <f ca="1">SUM(L25:CN25)</f>
        <v>48999999.999999978</v>
      </c>
      <c r="L25" s="88">
        <f>IF(L23,MAX(0,MIN(SUM(L12:L14,-Ass!$I$121),L24-Ass!$I$122)),0)</f>
        <v>0</v>
      </c>
      <c r="M25" s="88">
        <f>IF(M23,MAX(0,MIN(SUM(M12:M14,-Ass!$I$121),M24-Ass!$I$122)),0)</f>
        <v>4585823.550160002</v>
      </c>
      <c r="N25" s="88">
        <f ca="1">IF(N23,MAX(0,MIN(SUM(N12:N14,-Ass!$I$121),N24-Ass!$I$122)),0)</f>
        <v>3082502.7899952391</v>
      </c>
      <c r="O25" s="88">
        <f ca="1">IF(O23,MAX(0,MIN(SUM(O12:O14,-Ass!$I$121),O24-Ass!$I$122)),0)</f>
        <v>4332934.0000890885</v>
      </c>
      <c r="P25" s="88">
        <f ca="1">IF(P23,MAX(0,MIN(SUM(P12:P14,-Ass!$I$121),P24-Ass!$I$122)),0)</f>
        <v>4231547.2353477404</v>
      </c>
      <c r="Q25" s="88">
        <f ca="1">IF(Q23,MAX(0,MIN(SUM(Q12:Q14,-Ass!$I$121),Q24-Ass!$I$122)),0)</f>
        <v>4905119.5137752574</v>
      </c>
      <c r="R25" s="88">
        <f ca="1">IF(R23,MAX(0,MIN(SUM(R12:R14,-Ass!$I$121),R24-Ass!$I$122)),0)</f>
        <v>5139241.9849190423</v>
      </c>
      <c r="S25" s="88">
        <f ca="1">IF(S23,MAX(0,MIN(SUM(S12:S14,-Ass!$I$121),S24-Ass!$I$122)),0)</f>
        <v>5539816.2708532149</v>
      </c>
      <c r="T25" s="88">
        <f ca="1">IF(T23,MAX(0,MIN(SUM(T12:T14,-Ass!$I$121),T24-Ass!$I$122)),0)</f>
        <v>5419322.7379437629</v>
      </c>
      <c r="U25" s="88">
        <f ca="1">IF(U23,MAX(0,MIN(SUM(U12:U14,-Ass!$I$121),U24-Ass!$I$122)),0)</f>
        <v>5268301.4759052936</v>
      </c>
      <c r="V25" s="88">
        <f ca="1">IF(V23,MAX(0,MIN(SUM(V12:V14,-Ass!$I$121),V24-Ass!$I$122)),0)</f>
        <v>5310804.1337832389</v>
      </c>
      <c r="W25" s="88">
        <f ca="1">IF(W23,MAX(0,MIN(SUM(W12:W14,-Ass!$I$121),W24-Ass!$I$122)),0)</f>
        <v>1184586.3072281033</v>
      </c>
      <c r="X25" s="88">
        <f ca="1">IF(X23,MAX(0,MIN(SUM(X12:X14,-Ass!$I$121),X24-Ass!$I$122)),0)</f>
        <v>0</v>
      </c>
      <c r="Y25" s="88">
        <f ca="1">IF(Y23,MAX(0,MIN(SUM(Y12:Y14,-Ass!$I$121),Y24-Ass!$I$122)),0)</f>
        <v>0</v>
      </c>
      <c r="Z25" s="88">
        <f ca="1">IF(Z23,MAX(0,MIN(SUM(Z12:Z14,-Ass!$I$121),Z24-Ass!$I$122)),0)</f>
        <v>0</v>
      </c>
      <c r="AA25" s="88">
        <f ca="1">IF(AA23,MAX(0,MIN(SUM(AA12:AA14,-Ass!$I$121),AA24-Ass!$I$122)),0)</f>
        <v>0</v>
      </c>
      <c r="AB25" s="88">
        <f ca="1">IF(AB23,MAX(0,MIN(SUM(AB12:AB14,-Ass!$I$121),AB24-Ass!$I$122)),0)</f>
        <v>0</v>
      </c>
      <c r="AC25" s="88">
        <f ca="1">IF(AC23,MAX(0,MIN(SUM(AC12:AC14,-Ass!$I$121),AC24-Ass!$I$122)),0)</f>
        <v>0</v>
      </c>
      <c r="AD25" s="88">
        <f ca="1">IF(AD23,MAX(0,MIN(SUM(AD12:AD14,-Ass!$I$121),AD24-Ass!$I$122)),0)</f>
        <v>0</v>
      </c>
      <c r="AE25" s="88">
        <f ca="1">IF(AE23,MAX(0,MIN(SUM(AE12:AE14,-Ass!$I$121),AE24-Ass!$I$122)),0)</f>
        <v>0</v>
      </c>
      <c r="AF25" s="88">
        <f ca="1">IF(AF23,MAX(0,MIN(SUM(AF12:AF14,-Ass!$I$121),AF24-Ass!$I$122)),0)</f>
        <v>0</v>
      </c>
      <c r="AG25" s="88">
        <f ca="1">IF(AG23,MAX(0,MIN(SUM(AG12:AG14,-Ass!$I$121),AG24-Ass!$I$122)),0)</f>
        <v>0</v>
      </c>
      <c r="AH25" s="88">
        <f ca="1">IF(AH23,MAX(0,MIN(SUM(AH12:AH14,-Ass!$I$121),AH24-Ass!$I$122)),0)</f>
        <v>0</v>
      </c>
      <c r="AI25" s="88">
        <f ca="1">IF(AI23,MAX(0,MIN(SUM(AI12:AI14,-Ass!$I$121),AI24-Ass!$I$122)),0)</f>
        <v>0</v>
      </c>
      <c r="AJ25" s="88">
        <f ca="1">IF(AJ23,MAX(0,MIN(SUM(AJ12:AJ14,-Ass!$I$121),AJ24-Ass!$I$122)),0)</f>
        <v>0</v>
      </c>
      <c r="AK25" s="88">
        <f ca="1">IF(AK23,MAX(0,MIN(SUM(AK12:AK14,-Ass!$I$121),AK24-Ass!$I$122)),0)</f>
        <v>0</v>
      </c>
      <c r="AL25" s="88">
        <f ca="1">IF(AL23,MAX(0,MIN(SUM(AL12:AL14,-Ass!$I$121),AL24-Ass!$I$122)),0)</f>
        <v>0</v>
      </c>
      <c r="AM25" s="88">
        <f ca="1">IF(AM23,MAX(0,MIN(SUM(AM12:AM14,-Ass!$I$121),AM24-Ass!$I$122)),0)</f>
        <v>0</v>
      </c>
      <c r="AN25" s="88">
        <f ca="1">IF(AN23,MAX(0,MIN(SUM(AN12:AN14,-Ass!$I$121),AN24-Ass!$I$122)),0)</f>
        <v>0</v>
      </c>
      <c r="AO25" s="88">
        <f ca="1">IF(AO23,MAX(0,MIN(SUM(AO12:AO14,-Ass!$I$121),AO24-Ass!$I$122)),0)</f>
        <v>0</v>
      </c>
      <c r="AP25" s="88">
        <f ca="1">IF(AP23,MAX(0,MIN(SUM(AP12:AP14,-Ass!$I$121),AP24-Ass!$I$122)),0)</f>
        <v>0</v>
      </c>
      <c r="AQ25" s="88">
        <f ca="1">IF(AQ23,MAX(0,MIN(SUM(AQ12:AQ14,-Ass!$I$121),AQ24-Ass!$I$122)),0)</f>
        <v>0</v>
      </c>
      <c r="AR25" s="88">
        <f ca="1">IF(AR23,MAX(0,MIN(SUM(AR12:AR14,-Ass!$I$121),AR24-Ass!$I$122)),0)</f>
        <v>0</v>
      </c>
      <c r="AS25" s="88">
        <f ca="1">IF(AS23,MAX(0,MIN(SUM(AS12:AS14,-Ass!$I$121),AS24-Ass!$I$122)),0)</f>
        <v>0</v>
      </c>
      <c r="AT25" s="88">
        <f ca="1">IF(AT23,MAX(0,MIN(SUM(AT12:AT14,-Ass!$I$121),AT24-Ass!$I$122)),0)</f>
        <v>0</v>
      </c>
      <c r="AU25" s="88">
        <f ca="1">IF(AU23,MAX(0,MIN(SUM(AU12:AU14,-Ass!$I$121),AU24-Ass!$I$122)),0)</f>
        <v>0</v>
      </c>
      <c r="AV25" s="88">
        <f ca="1">IF(AV23,MAX(0,MIN(SUM(AV12:AV14,-Ass!$I$121),AV24-Ass!$I$122)),0)</f>
        <v>0</v>
      </c>
      <c r="AW25" s="88">
        <f ca="1">IF(AW23,MAX(0,MIN(SUM(AW12:AW14,-Ass!$I$121),AW24-Ass!$I$122)),0)</f>
        <v>0</v>
      </c>
      <c r="AX25" s="88">
        <f ca="1">IF(AX23,MAX(0,MIN(SUM(AX12:AX14,-Ass!$I$121),AX24-Ass!$I$122)),0)</f>
        <v>0</v>
      </c>
      <c r="AY25" s="88">
        <f ca="1">IF(AY23,MAX(0,MIN(SUM(AY12:AY14,-Ass!$I$121),AY24-Ass!$I$122)),0)</f>
        <v>0</v>
      </c>
      <c r="AZ25" s="88">
        <f ca="1">IF(AZ23,MAX(0,MIN(SUM(AZ12:AZ14,-Ass!$I$121),AZ24-Ass!$I$122)),0)</f>
        <v>0</v>
      </c>
      <c r="BA25" s="88">
        <f ca="1">IF(BA23,MAX(0,MIN(SUM(BA12:BA14,-Ass!$I$121),BA24-Ass!$I$122)),0)</f>
        <v>0</v>
      </c>
      <c r="BB25" s="88">
        <f ca="1">IF(BB23,MAX(0,MIN(SUM(BB12:BB14,-Ass!$I$121),BB24-Ass!$I$122)),0)</f>
        <v>0</v>
      </c>
      <c r="BC25" s="88">
        <f ca="1">IF(BC23,MAX(0,MIN(SUM(BC12:BC14,-Ass!$I$121),BC24-Ass!$I$122)),0)</f>
        <v>0</v>
      </c>
      <c r="BD25" s="88">
        <f ca="1">IF(BD23,MAX(0,MIN(SUM(BD12:BD14,-Ass!$I$121),BD24-Ass!$I$122)),0)</f>
        <v>0</v>
      </c>
      <c r="BE25" s="88">
        <f ca="1">IF(BE23,MAX(0,MIN(SUM(BE12:BE14,-Ass!$I$121),BE24-Ass!$I$122)),0)</f>
        <v>0</v>
      </c>
      <c r="BF25" s="88">
        <f ca="1">IF(BF23,MAX(0,MIN(SUM(BF12:BF14,-Ass!$I$121),BF24-Ass!$I$122)),0)</f>
        <v>0</v>
      </c>
      <c r="BG25" s="88">
        <f ca="1">IF(BG23,MAX(0,MIN(SUM(BG12:BG14,-Ass!$I$121),BG24-Ass!$I$122)),0)</f>
        <v>0</v>
      </c>
      <c r="BH25" s="88">
        <f ca="1">IF(BH23,MAX(0,MIN(SUM(BH12:BH14,-Ass!$I$121),BH24-Ass!$I$122)),0)</f>
        <v>0</v>
      </c>
      <c r="BI25" s="88">
        <f ca="1">IF(BI23,MAX(0,MIN(SUM(BI12:BI14,-Ass!$I$121),BI24-Ass!$I$122)),0)</f>
        <v>0</v>
      </c>
      <c r="BJ25" s="88">
        <f ca="1">IF(BJ23,MAX(0,MIN(SUM(BJ12:BJ14,-Ass!$I$121),BJ24-Ass!$I$122)),0)</f>
        <v>0</v>
      </c>
      <c r="BK25" s="88">
        <f ca="1">IF(BK23,MAX(0,MIN(SUM(BK12:BK14,-Ass!$I$121),BK24-Ass!$I$122)),0)</f>
        <v>0</v>
      </c>
      <c r="BL25" s="88">
        <f ca="1">IF(BL23,MAX(0,MIN(SUM(BL12:BL14,-Ass!$I$121),BL24-Ass!$I$122)),0)</f>
        <v>0</v>
      </c>
      <c r="BM25" s="88">
        <f ca="1">IF(BM23,MAX(0,MIN(SUM(BM12:BM14,-Ass!$I$121),BM24-Ass!$I$122)),0)</f>
        <v>0</v>
      </c>
      <c r="BN25" s="88">
        <f ca="1">IF(BN23,MAX(0,MIN(SUM(BN12:BN14,-Ass!$I$121),BN24-Ass!$I$122)),0)</f>
        <v>0</v>
      </c>
      <c r="BO25" s="88">
        <f ca="1">IF(BO23,MAX(0,MIN(SUM(BO12:BO14,-Ass!$I$121),BO24-Ass!$I$122)),0)</f>
        <v>0</v>
      </c>
      <c r="BP25" s="88">
        <f ca="1">IF(BP23,MAX(0,MIN(SUM(BP12:BP14,-Ass!$I$121),BP24-Ass!$I$122)),0)</f>
        <v>0</v>
      </c>
      <c r="BQ25" s="88">
        <f ca="1">IF(BQ23,MAX(0,MIN(SUM(BQ12:BQ14,-Ass!$I$121),BQ24-Ass!$I$122)),0)</f>
        <v>0</v>
      </c>
      <c r="BR25" s="88">
        <f ca="1">IF(BR23,MAX(0,MIN(SUM(BR12:BR14,-Ass!$I$121),BR24-Ass!$I$122)),0)</f>
        <v>0</v>
      </c>
      <c r="BS25" s="88">
        <f ca="1">IF(BS23,MAX(0,MIN(SUM(BS12:BS14,-Ass!$I$121),BS24-Ass!$I$122)),0)</f>
        <v>0</v>
      </c>
      <c r="BT25" s="88">
        <f ca="1">IF(BT23,MAX(0,MIN(SUM(BT12:BT14,-Ass!$I$121),BT24-Ass!$I$122)),0)</f>
        <v>0</v>
      </c>
      <c r="BU25" s="88">
        <f ca="1">IF(BU23,MAX(0,MIN(SUM(BU12:BU14,-Ass!$I$121),BU24-Ass!$I$122)),0)</f>
        <v>0</v>
      </c>
      <c r="BV25" s="88">
        <f ca="1">IF(BV23,MAX(0,MIN(SUM(BV12:BV14,-Ass!$I$121),BV24-Ass!$I$122)),0)</f>
        <v>0</v>
      </c>
      <c r="BW25" s="88">
        <f ca="1">IF(BW23,MAX(0,MIN(SUM(BW12:BW14,-Ass!$I$121),BW24-Ass!$I$122)),0)</f>
        <v>0</v>
      </c>
      <c r="BX25" s="88">
        <f ca="1">IF(BX23,MAX(0,MIN(SUM(BX12:BX14,-Ass!$I$121),BX24-Ass!$I$122)),0)</f>
        <v>0</v>
      </c>
      <c r="BY25" s="88">
        <f ca="1">IF(BY23,MAX(0,MIN(SUM(BY12:BY14,-Ass!$I$121),BY24-Ass!$I$122)),0)</f>
        <v>0</v>
      </c>
      <c r="BZ25" s="88">
        <f ca="1">IF(BZ23,MAX(0,MIN(SUM(BZ12:BZ14,-Ass!$I$121),BZ24-Ass!$I$122)),0)</f>
        <v>0</v>
      </c>
      <c r="CA25" s="88">
        <f ca="1">IF(CA23,MAX(0,MIN(SUM(CA12:CA14,-Ass!$I$121),CA24-Ass!$I$122)),0)</f>
        <v>0</v>
      </c>
      <c r="CB25" s="88">
        <f ca="1">IF(CB23,MAX(0,MIN(SUM(CB12:CB14,-Ass!$I$121),CB24-Ass!$I$122)),0)</f>
        <v>0</v>
      </c>
      <c r="CC25" s="88">
        <f ca="1">IF(CC23,MAX(0,MIN(SUM(CC12:CC14,-Ass!$I$121),CC24-Ass!$I$122)),0)</f>
        <v>0</v>
      </c>
      <c r="CD25" s="88">
        <f ca="1">IF(CD23,MAX(0,MIN(SUM(CD12:CD14,-Ass!$I$121),CD24-Ass!$I$122)),0)</f>
        <v>0</v>
      </c>
      <c r="CE25" s="88">
        <f ca="1">IF(CE23,MAX(0,MIN(SUM(CE12:CE14,-Ass!$I$121),CE24-Ass!$I$122)),0)</f>
        <v>0</v>
      </c>
      <c r="CF25" s="88">
        <f ca="1">IF(CF23,MAX(0,MIN(SUM(CF12:CF14,-Ass!$I$121),CF24-Ass!$I$122)),0)</f>
        <v>0</v>
      </c>
      <c r="CG25" s="88">
        <f ca="1">IF(CG23,MAX(0,MIN(SUM(CG12:CG14,-Ass!$I$121),CG24-Ass!$I$122)),0)</f>
        <v>0</v>
      </c>
      <c r="CH25" s="88">
        <f ca="1">IF(CH23,MAX(0,MIN(SUM(CH12:CH14,-Ass!$I$121),CH24-Ass!$I$122)),0)</f>
        <v>0</v>
      </c>
      <c r="CI25" s="88">
        <f ca="1">IF(CI23,MAX(0,MIN(SUM(CI12:CI14,-Ass!$I$121),CI24-Ass!$I$122)),0)</f>
        <v>0</v>
      </c>
      <c r="CJ25" s="88">
        <f ca="1">IF(CJ23,MAX(0,MIN(SUM(CJ12:CJ14,-Ass!$I$121),CJ24-Ass!$I$122)),0)</f>
        <v>0</v>
      </c>
      <c r="CK25" s="88">
        <f ca="1">IF(CK23,MAX(0,MIN(SUM(CK12:CK14,-Ass!$I$121),CK24-Ass!$I$122)),0)</f>
        <v>0</v>
      </c>
      <c r="CL25" s="88">
        <f ca="1">IF(CL23,MAX(0,MIN(SUM(CL12:CL14,-Ass!$I$121),CL24-Ass!$I$122)),0)</f>
        <v>0</v>
      </c>
      <c r="CM25" s="88">
        <f ca="1">IF(CM23,MAX(0,MIN(SUM(CM12:CM14,-Ass!$I$121),CM24-Ass!$I$122)),0)</f>
        <v>0</v>
      </c>
      <c r="CN25" s="88">
        <f ca="1">IF(CN23,MAX(0,MIN(SUM(CN12:CN14,-Ass!$I$121),CN24-Ass!$I$122)),0)</f>
        <v>0</v>
      </c>
    </row>
    <row r="26" spans="1:92" ht="12.75" customHeight="1" x14ac:dyDescent="0.3"/>
    <row r="27" spans="1:92" ht="13.2" x14ac:dyDescent="0.25">
      <c r="A27" s="14"/>
      <c r="B27" s="14"/>
      <c r="C27" s="14" t="s">
        <v>101</v>
      </c>
      <c r="D27" s="20"/>
      <c r="E27" s="14"/>
      <c r="F27" s="14"/>
      <c r="G27" s="14"/>
      <c r="H27" s="5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</row>
    <row r="28" spans="1:92" ht="12.75" customHeight="1" x14ac:dyDescent="0.3"/>
    <row r="29" spans="1:92" ht="12.75" customHeight="1" x14ac:dyDescent="0.3"/>
    <row r="30" spans="1:92" ht="12.75" customHeight="1" x14ac:dyDescent="0.3"/>
    <row r="31" spans="1:92" ht="12.75" customHeight="1" x14ac:dyDescent="0.3"/>
    <row r="32" spans="1:9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</sheetData>
  <pageMargins left="0.7" right="0.7" top="0.75" bottom="0.75" header="0.3" footer="0.3"/>
  <pageSetup paperSize="9" orientation="portrait" verticalDpi="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36"/>
  <sheetViews>
    <sheetView showGridLines="0" zoomScale="79" zoomScaleNormal="100" workbookViewId="0">
      <pane xSplit="10" ySplit="7" topLeftCell="CC67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50" sqref="D50"/>
    </sheetView>
  </sheetViews>
  <sheetFormatPr defaultColWidth="9.109375" defaultRowHeight="14.4" x14ac:dyDescent="0.3"/>
  <cols>
    <col min="1" max="1" width="7.33203125" style="1" customWidth="1"/>
    <col min="2" max="2" width="3.6640625" style="1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9.6640625" customWidth="1"/>
    <col min="10" max="10" width="14.6640625" style="1" customWidth="1"/>
    <col min="11" max="92" width="12.6640625" style="1" customWidth="1"/>
    <col min="93" max="16384" width="9.109375" style="1"/>
  </cols>
  <sheetData>
    <row r="1" spans="1:92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ht="18" customHeight="1" x14ac:dyDescent="0.4">
      <c r="A3" s="63">
        <f>Debt!A3+1</f>
        <v>5</v>
      </c>
      <c r="B3" s="64"/>
      <c r="C3" s="64" t="s">
        <v>205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x14ac:dyDescent="0.3">
      <c r="D4" s="8"/>
      <c r="E4" s="9"/>
    </row>
    <row r="5" spans="1:92" x14ac:dyDescent="0.3">
      <c r="D5" s="11"/>
    </row>
    <row r="6" spans="1:92" ht="15" customHeight="1" x14ac:dyDescent="0.3">
      <c r="D6" s="12"/>
      <c r="E6" s="2" t="s">
        <v>47</v>
      </c>
      <c r="L6" s="71">
        <f>Ass!$I$12</f>
        <v>41639</v>
      </c>
      <c r="M6" s="13">
        <f>L7+1</f>
        <v>41640</v>
      </c>
      <c r="N6" s="13">
        <f t="shared" ref="N6:BY6" si="0">M7+1</f>
        <v>41730</v>
      </c>
      <c r="O6" s="13">
        <f t="shared" si="0"/>
        <v>41821</v>
      </c>
      <c r="P6" s="13">
        <f t="shared" si="0"/>
        <v>41913</v>
      </c>
      <c r="Q6" s="13">
        <f t="shared" si="0"/>
        <v>42005</v>
      </c>
      <c r="R6" s="13">
        <f t="shared" si="0"/>
        <v>42095</v>
      </c>
      <c r="S6" s="13">
        <f t="shared" si="0"/>
        <v>42186</v>
      </c>
      <c r="T6" s="13">
        <f t="shared" si="0"/>
        <v>42278</v>
      </c>
      <c r="U6" s="13">
        <f t="shared" si="0"/>
        <v>42370</v>
      </c>
      <c r="V6" s="13">
        <f t="shared" si="0"/>
        <v>42461</v>
      </c>
      <c r="W6" s="13">
        <f t="shared" si="0"/>
        <v>42552</v>
      </c>
      <c r="X6" s="13">
        <f t="shared" si="0"/>
        <v>42644</v>
      </c>
      <c r="Y6" s="13">
        <f t="shared" si="0"/>
        <v>42736</v>
      </c>
      <c r="Z6" s="13">
        <f t="shared" si="0"/>
        <v>42826</v>
      </c>
      <c r="AA6" s="13">
        <f t="shared" si="0"/>
        <v>42917</v>
      </c>
      <c r="AB6" s="13">
        <f t="shared" si="0"/>
        <v>43009</v>
      </c>
      <c r="AC6" s="13">
        <f t="shared" si="0"/>
        <v>43101</v>
      </c>
      <c r="AD6" s="13">
        <f t="shared" si="0"/>
        <v>43191</v>
      </c>
      <c r="AE6" s="13">
        <f t="shared" si="0"/>
        <v>43282</v>
      </c>
      <c r="AF6" s="13">
        <f t="shared" si="0"/>
        <v>43374</v>
      </c>
      <c r="AG6" s="13">
        <f t="shared" si="0"/>
        <v>43466</v>
      </c>
      <c r="AH6" s="13">
        <f t="shared" si="0"/>
        <v>43556</v>
      </c>
      <c r="AI6" s="13">
        <f t="shared" si="0"/>
        <v>43647</v>
      </c>
      <c r="AJ6" s="13">
        <f t="shared" si="0"/>
        <v>43739</v>
      </c>
      <c r="AK6" s="13">
        <f t="shared" si="0"/>
        <v>43831</v>
      </c>
      <c r="AL6" s="13">
        <f t="shared" si="0"/>
        <v>43922</v>
      </c>
      <c r="AM6" s="13">
        <f t="shared" si="0"/>
        <v>44013</v>
      </c>
      <c r="AN6" s="13">
        <f t="shared" si="0"/>
        <v>44105</v>
      </c>
      <c r="AO6" s="13">
        <f t="shared" si="0"/>
        <v>44197</v>
      </c>
      <c r="AP6" s="13">
        <f t="shared" si="0"/>
        <v>44287</v>
      </c>
      <c r="AQ6" s="13">
        <f t="shared" si="0"/>
        <v>44378</v>
      </c>
      <c r="AR6" s="13">
        <f t="shared" si="0"/>
        <v>44470</v>
      </c>
      <c r="AS6" s="13">
        <f t="shared" si="0"/>
        <v>44562</v>
      </c>
      <c r="AT6" s="13">
        <f t="shared" si="0"/>
        <v>44652</v>
      </c>
      <c r="AU6" s="13">
        <f t="shared" si="0"/>
        <v>44743</v>
      </c>
      <c r="AV6" s="13">
        <f t="shared" si="0"/>
        <v>44835</v>
      </c>
      <c r="AW6" s="13">
        <f t="shared" si="0"/>
        <v>44927</v>
      </c>
      <c r="AX6" s="13">
        <f t="shared" si="0"/>
        <v>45017</v>
      </c>
      <c r="AY6" s="13">
        <f t="shared" si="0"/>
        <v>45108</v>
      </c>
      <c r="AZ6" s="13">
        <f t="shared" si="0"/>
        <v>45200</v>
      </c>
      <c r="BA6" s="13">
        <f t="shared" si="0"/>
        <v>45292</v>
      </c>
      <c r="BB6" s="13">
        <f t="shared" si="0"/>
        <v>45383</v>
      </c>
      <c r="BC6" s="13">
        <f t="shared" si="0"/>
        <v>45474</v>
      </c>
      <c r="BD6" s="13">
        <f t="shared" si="0"/>
        <v>45566</v>
      </c>
      <c r="BE6" s="13">
        <f t="shared" si="0"/>
        <v>45658</v>
      </c>
      <c r="BF6" s="13">
        <f t="shared" si="0"/>
        <v>45748</v>
      </c>
      <c r="BG6" s="13">
        <f t="shared" si="0"/>
        <v>45839</v>
      </c>
      <c r="BH6" s="13">
        <f t="shared" si="0"/>
        <v>45931</v>
      </c>
      <c r="BI6" s="13">
        <f t="shared" si="0"/>
        <v>46023</v>
      </c>
      <c r="BJ6" s="13">
        <f t="shared" si="0"/>
        <v>46113</v>
      </c>
      <c r="BK6" s="13">
        <f t="shared" si="0"/>
        <v>46204</v>
      </c>
      <c r="BL6" s="13">
        <f t="shared" si="0"/>
        <v>46296</v>
      </c>
      <c r="BM6" s="13">
        <f t="shared" si="0"/>
        <v>46388</v>
      </c>
      <c r="BN6" s="13">
        <f t="shared" si="0"/>
        <v>46478</v>
      </c>
      <c r="BO6" s="13">
        <f t="shared" si="0"/>
        <v>46569</v>
      </c>
      <c r="BP6" s="13">
        <f t="shared" si="0"/>
        <v>46661</v>
      </c>
      <c r="BQ6" s="13">
        <f t="shared" si="0"/>
        <v>46753</v>
      </c>
      <c r="BR6" s="13">
        <f t="shared" si="0"/>
        <v>46844</v>
      </c>
      <c r="BS6" s="13">
        <f t="shared" si="0"/>
        <v>46935</v>
      </c>
      <c r="BT6" s="13">
        <f t="shared" si="0"/>
        <v>47027</v>
      </c>
      <c r="BU6" s="13">
        <f t="shared" si="0"/>
        <v>47119</v>
      </c>
      <c r="BV6" s="13">
        <f t="shared" si="0"/>
        <v>47209</v>
      </c>
      <c r="BW6" s="13">
        <f t="shared" si="0"/>
        <v>47300</v>
      </c>
      <c r="BX6" s="13">
        <f t="shared" si="0"/>
        <v>47392</v>
      </c>
      <c r="BY6" s="13">
        <f t="shared" si="0"/>
        <v>47484</v>
      </c>
      <c r="BZ6" s="13">
        <f t="shared" ref="BZ6:CN6" si="1">BY7+1</f>
        <v>47574</v>
      </c>
      <c r="CA6" s="13">
        <f t="shared" si="1"/>
        <v>47665</v>
      </c>
      <c r="CB6" s="13">
        <f t="shared" si="1"/>
        <v>47757</v>
      </c>
      <c r="CC6" s="13">
        <f t="shared" si="1"/>
        <v>47849</v>
      </c>
      <c r="CD6" s="13">
        <f t="shared" si="1"/>
        <v>47939</v>
      </c>
      <c r="CE6" s="13">
        <f t="shared" si="1"/>
        <v>48030</v>
      </c>
      <c r="CF6" s="13">
        <f t="shared" si="1"/>
        <v>48122</v>
      </c>
      <c r="CG6" s="13">
        <f t="shared" si="1"/>
        <v>48214</v>
      </c>
      <c r="CH6" s="13">
        <f t="shared" si="1"/>
        <v>48305</v>
      </c>
      <c r="CI6" s="13">
        <f t="shared" si="1"/>
        <v>48396</v>
      </c>
      <c r="CJ6" s="13">
        <f t="shared" si="1"/>
        <v>48488</v>
      </c>
      <c r="CK6" s="13">
        <f t="shared" si="1"/>
        <v>48580</v>
      </c>
      <c r="CL6" s="13">
        <f t="shared" si="1"/>
        <v>48670</v>
      </c>
      <c r="CM6" s="13">
        <f t="shared" si="1"/>
        <v>48761</v>
      </c>
      <c r="CN6" s="13">
        <f t="shared" si="1"/>
        <v>48853</v>
      </c>
    </row>
    <row r="7" spans="1:92" ht="15" customHeight="1" x14ac:dyDescent="0.3">
      <c r="D7" s="12"/>
      <c r="E7" s="2" t="s">
        <v>48</v>
      </c>
      <c r="H7" s="10" t="s">
        <v>49</v>
      </c>
      <c r="J7" s="1" t="s">
        <v>50</v>
      </c>
      <c r="L7" s="71">
        <f>Ass!$I$12</f>
        <v>41639</v>
      </c>
      <c r="M7" s="13">
        <f>EOMONTH(L7,3)</f>
        <v>41729</v>
      </c>
      <c r="N7" s="13">
        <f t="shared" ref="N7:BY7" si="2">EOMONTH(M7,3)</f>
        <v>41820</v>
      </c>
      <c r="O7" s="13">
        <f t="shared" si="2"/>
        <v>41912</v>
      </c>
      <c r="P7" s="13">
        <f t="shared" si="2"/>
        <v>42004</v>
      </c>
      <c r="Q7" s="13">
        <f t="shared" si="2"/>
        <v>42094</v>
      </c>
      <c r="R7" s="13">
        <f t="shared" si="2"/>
        <v>42185</v>
      </c>
      <c r="S7" s="13">
        <f t="shared" si="2"/>
        <v>42277</v>
      </c>
      <c r="T7" s="13">
        <f t="shared" si="2"/>
        <v>42369</v>
      </c>
      <c r="U7" s="13">
        <f t="shared" si="2"/>
        <v>42460</v>
      </c>
      <c r="V7" s="13">
        <f t="shared" si="2"/>
        <v>42551</v>
      </c>
      <c r="W7" s="13">
        <f t="shared" si="2"/>
        <v>42643</v>
      </c>
      <c r="X7" s="13">
        <f t="shared" si="2"/>
        <v>42735</v>
      </c>
      <c r="Y7" s="13">
        <f t="shared" si="2"/>
        <v>42825</v>
      </c>
      <c r="Z7" s="13">
        <f t="shared" si="2"/>
        <v>42916</v>
      </c>
      <c r="AA7" s="13">
        <f t="shared" si="2"/>
        <v>43008</v>
      </c>
      <c r="AB7" s="13">
        <f t="shared" si="2"/>
        <v>43100</v>
      </c>
      <c r="AC7" s="13">
        <f t="shared" si="2"/>
        <v>43190</v>
      </c>
      <c r="AD7" s="13">
        <f t="shared" si="2"/>
        <v>43281</v>
      </c>
      <c r="AE7" s="13">
        <f t="shared" si="2"/>
        <v>43373</v>
      </c>
      <c r="AF7" s="13">
        <f t="shared" si="2"/>
        <v>43465</v>
      </c>
      <c r="AG7" s="13">
        <f t="shared" si="2"/>
        <v>43555</v>
      </c>
      <c r="AH7" s="13">
        <f t="shared" si="2"/>
        <v>43646</v>
      </c>
      <c r="AI7" s="13">
        <f t="shared" si="2"/>
        <v>43738</v>
      </c>
      <c r="AJ7" s="13">
        <f t="shared" si="2"/>
        <v>43830</v>
      </c>
      <c r="AK7" s="13">
        <f t="shared" si="2"/>
        <v>43921</v>
      </c>
      <c r="AL7" s="13">
        <f t="shared" si="2"/>
        <v>44012</v>
      </c>
      <c r="AM7" s="13">
        <f t="shared" si="2"/>
        <v>44104</v>
      </c>
      <c r="AN7" s="13">
        <f t="shared" si="2"/>
        <v>44196</v>
      </c>
      <c r="AO7" s="13">
        <f t="shared" si="2"/>
        <v>44286</v>
      </c>
      <c r="AP7" s="13">
        <f t="shared" si="2"/>
        <v>44377</v>
      </c>
      <c r="AQ7" s="13">
        <f t="shared" si="2"/>
        <v>44469</v>
      </c>
      <c r="AR7" s="13">
        <f t="shared" si="2"/>
        <v>44561</v>
      </c>
      <c r="AS7" s="13">
        <f t="shared" si="2"/>
        <v>44651</v>
      </c>
      <c r="AT7" s="13">
        <f t="shared" si="2"/>
        <v>44742</v>
      </c>
      <c r="AU7" s="13">
        <f t="shared" si="2"/>
        <v>44834</v>
      </c>
      <c r="AV7" s="13">
        <f t="shared" si="2"/>
        <v>44926</v>
      </c>
      <c r="AW7" s="13">
        <f t="shared" si="2"/>
        <v>45016</v>
      </c>
      <c r="AX7" s="13">
        <f t="shared" si="2"/>
        <v>45107</v>
      </c>
      <c r="AY7" s="13">
        <f t="shared" si="2"/>
        <v>45199</v>
      </c>
      <c r="AZ7" s="13">
        <f t="shared" si="2"/>
        <v>45291</v>
      </c>
      <c r="BA7" s="13">
        <f t="shared" si="2"/>
        <v>45382</v>
      </c>
      <c r="BB7" s="13">
        <f t="shared" si="2"/>
        <v>45473</v>
      </c>
      <c r="BC7" s="13">
        <f t="shared" si="2"/>
        <v>45565</v>
      </c>
      <c r="BD7" s="13">
        <f t="shared" si="2"/>
        <v>45657</v>
      </c>
      <c r="BE7" s="13">
        <f t="shared" si="2"/>
        <v>45747</v>
      </c>
      <c r="BF7" s="13">
        <f t="shared" si="2"/>
        <v>45838</v>
      </c>
      <c r="BG7" s="13">
        <f t="shared" si="2"/>
        <v>45930</v>
      </c>
      <c r="BH7" s="13">
        <f t="shared" si="2"/>
        <v>46022</v>
      </c>
      <c r="BI7" s="13">
        <f t="shared" si="2"/>
        <v>46112</v>
      </c>
      <c r="BJ7" s="13">
        <f t="shared" si="2"/>
        <v>46203</v>
      </c>
      <c r="BK7" s="13">
        <f t="shared" si="2"/>
        <v>46295</v>
      </c>
      <c r="BL7" s="13">
        <f t="shared" si="2"/>
        <v>46387</v>
      </c>
      <c r="BM7" s="13">
        <f t="shared" si="2"/>
        <v>46477</v>
      </c>
      <c r="BN7" s="13">
        <f t="shared" si="2"/>
        <v>46568</v>
      </c>
      <c r="BO7" s="13">
        <f t="shared" si="2"/>
        <v>46660</v>
      </c>
      <c r="BP7" s="13">
        <f t="shared" si="2"/>
        <v>46752</v>
      </c>
      <c r="BQ7" s="13">
        <f t="shared" si="2"/>
        <v>46843</v>
      </c>
      <c r="BR7" s="13">
        <f t="shared" si="2"/>
        <v>46934</v>
      </c>
      <c r="BS7" s="13">
        <f t="shared" si="2"/>
        <v>47026</v>
      </c>
      <c r="BT7" s="13">
        <f t="shared" si="2"/>
        <v>47118</v>
      </c>
      <c r="BU7" s="13">
        <f t="shared" si="2"/>
        <v>47208</v>
      </c>
      <c r="BV7" s="13">
        <f t="shared" si="2"/>
        <v>47299</v>
      </c>
      <c r="BW7" s="13">
        <f t="shared" si="2"/>
        <v>47391</v>
      </c>
      <c r="BX7" s="13">
        <f t="shared" si="2"/>
        <v>47483</v>
      </c>
      <c r="BY7" s="13">
        <f t="shared" si="2"/>
        <v>47573</v>
      </c>
      <c r="BZ7" s="13">
        <f t="shared" ref="BZ7:CN7" si="3">EOMONTH(BY7,3)</f>
        <v>47664</v>
      </c>
      <c r="CA7" s="13">
        <f t="shared" si="3"/>
        <v>47756</v>
      </c>
      <c r="CB7" s="13">
        <f t="shared" si="3"/>
        <v>47848</v>
      </c>
      <c r="CC7" s="13">
        <f t="shared" si="3"/>
        <v>47938</v>
      </c>
      <c r="CD7" s="13">
        <f t="shared" si="3"/>
        <v>48029</v>
      </c>
      <c r="CE7" s="13">
        <f t="shared" si="3"/>
        <v>48121</v>
      </c>
      <c r="CF7" s="13">
        <f t="shared" si="3"/>
        <v>48213</v>
      </c>
      <c r="CG7" s="13">
        <f t="shared" si="3"/>
        <v>48304</v>
      </c>
      <c r="CH7" s="13">
        <f t="shared" si="3"/>
        <v>48395</v>
      </c>
      <c r="CI7" s="13">
        <f t="shared" si="3"/>
        <v>48487</v>
      </c>
      <c r="CJ7" s="13">
        <f t="shared" si="3"/>
        <v>48579</v>
      </c>
      <c r="CK7" s="13">
        <f t="shared" si="3"/>
        <v>48669</v>
      </c>
      <c r="CL7" s="13">
        <f t="shared" si="3"/>
        <v>48760</v>
      </c>
      <c r="CM7" s="13">
        <f t="shared" si="3"/>
        <v>48852</v>
      </c>
      <c r="CN7" s="13">
        <f t="shared" si="3"/>
        <v>48944</v>
      </c>
    </row>
    <row r="8" spans="1:92" x14ac:dyDescent="0.3">
      <c r="C8" s="8"/>
    </row>
    <row r="9" spans="1:92" ht="13.2" x14ac:dyDescent="0.25">
      <c r="A9" s="14">
        <f>MAX(A$3:A8)+0.01</f>
        <v>5.01</v>
      </c>
      <c r="B9" s="14"/>
      <c r="C9" s="14" t="s">
        <v>206</v>
      </c>
      <c r="D9" s="20"/>
      <c r="E9" s="14"/>
      <c r="F9" s="14"/>
      <c r="G9" s="14"/>
      <c r="H9" s="5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ht="12.75" customHeight="1" x14ac:dyDescent="0.3">
      <c r="D10" s="15"/>
      <c r="H10" s="16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92" ht="12.75" customHeight="1" x14ac:dyDescent="0.3">
      <c r="C11" s="17" t="s">
        <v>136</v>
      </c>
      <c r="D11" s="15"/>
      <c r="H11" s="16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92" ht="12.75" customHeight="1" x14ac:dyDescent="0.3">
      <c r="C12" s="17"/>
      <c r="D12" s="75" t="s">
        <v>43</v>
      </c>
      <c r="H12" s="16" t="s">
        <v>1</v>
      </c>
      <c r="J12" s="58">
        <f>SUM(L12:CN12)</f>
        <v>1804874027.2988067</v>
      </c>
      <c r="L12" s="15">
        <f>Ops!L96</f>
        <v>0</v>
      </c>
      <c r="M12" s="15">
        <f>Ops!M96</f>
        <v>8815457.879999999</v>
      </c>
      <c r="N12" s="15">
        <f>Ops!N96</f>
        <v>8977322.145792</v>
      </c>
      <c r="O12" s="15">
        <f>Ops!O96</f>
        <v>9372100.167193342</v>
      </c>
      <c r="P12" s="15">
        <f>Ops!P96</f>
        <v>9444990.6166012585</v>
      </c>
      <c r="Q12" s="15">
        <f>Ops!Q96</f>
        <v>9810319.9401099421</v>
      </c>
      <c r="R12" s="15">
        <f>Ops!R96</f>
        <v>10003276.768911207</v>
      </c>
      <c r="S12" s="15">
        <f>Ops!S96</f>
        <v>10410257.894121835</v>
      </c>
      <c r="T12" s="15">
        <f>Ops!T96</f>
        <v>10457138.694345076</v>
      </c>
      <c r="U12" s="15">
        <f>Ops!U96</f>
        <v>10542088.659682829</v>
      </c>
      <c r="V12" s="15">
        <f>Ops!V96</f>
        <v>10595117.637205444</v>
      </c>
      <c r="W12" s="15">
        <f>Ops!W96</f>
        <v>11046366.531624466</v>
      </c>
      <c r="X12" s="15">
        <f>Ops!X96</f>
        <v>11107971.799391905</v>
      </c>
      <c r="Y12" s="15">
        <f>Ops!Y96</f>
        <v>11062435.183260383</v>
      </c>
      <c r="Z12" s="15">
        <f>Ops!Z96</f>
        <v>11254652.710546006</v>
      </c>
      <c r="AA12" s="15">
        <f>Ops!AA96</f>
        <v>11730961.338802187</v>
      </c>
      <c r="AB12" s="15">
        <f>Ops!AB96</f>
        <v>11811686.663990365</v>
      </c>
      <c r="AC12" s="15">
        <f>Ops!AC96</f>
        <v>11650546.327073639</v>
      </c>
      <c r="AD12" s="15">
        <f>Ops!AD96</f>
        <v>11869618.790232949</v>
      </c>
      <c r="AE12" s="15">
        <f>Ops!AE96</f>
        <v>12402118.456191035</v>
      </c>
      <c r="AF12" s="15">
        <f>Ops!AF96</f>
        <v>12506223.654858235</v>
      </c>
      <c r="AG12" s="15">
        <f>Ops!AG96</f>
        <v>12636294.554626146</v>
      </c>
      <c r="AH12" s="15">
        <f>Ops!AH96</f>
        <v>12841844.140894057</v>
      </c>
      <c r="AI12" s="15">
        <f>Ops!AI96</f>
        <v>13378859.990485488</v>
      </c>
      <c r="AJ12" s="15">
        <f>Ops!AJ96</f>
        <v>13452738.610601395</v>
      </c>
      <c r="AK12" s="15">
        <f>Ops!AK96</f>
        <v>13446169.215013921</v>
      </c>
      <c r="AL12" s="15">
        <f>Ops!AL96</f>
        <v>13526399.782866206</v>
      </c>
      <c r="AM12" s="15">
        <f>Ops!AM96</f>
        <v>14100227.457584515</v>
      </c>
      <c r="AN12" s="15">
        <f>Ops!AN96</f>
        <v>14190928.599563573</v>
      </c>
      <c r="AO12" s="15">
        <f>Ops!AO96</f>
        <v>14240040.434552044</v>
      </c>
      <c r="AP12" s="15">
        <f>Ops!AP96</f>
        <v>14497913.020507161</v>
      </c>
      <c r="AQ12" s="15">
        <f>Ops!AQ96</f>
        <v>15128017.827314587</v>
      </c>
      <c r="AR12" s="15">
        <f>Ops!AR96</f>
        <v>15240394.148252577</v>
      </c>
      <c r="AS12" s="15">
        <f>Ops!AS96</f>
        <v>15566028.087442104</v>
      </c>
      <c r="AT12" s="15">
        <f>Ops!AT96</f>
        <v>15864282.708966801</v>
      </c>
      <c r="AU12" s="15">
        <f>Ops!AU96</f>
        <v>16570754.541797765</v>
      </c>
      <c r="AV12" s="15">
        <f>Ops!AV96</f>
        <v>16711645.980802532</v>
      </c>
      <c r="AW12" s="15">
        <f>Ops!AW96</f>
        <v>17122218.490948144</v>
      </c>
      <c r="AX12" s="15">
        <f>Ops!AX96</f>
        <v>17469652.867480557</v>
      </c>
      <c r="AY12" s="15">
        <f>Ops!AY96</f>
        <v>18286676.471124336</v>
      </c>
      <c r="AZ12" s="15">
        <f>Ops!AZ96</f>
        <v>18463946.975789111</v>
      </c>
      <c r="BA12" s="15">
        <f>Ops!BA96</f>
        <v>18709810.2463447</v>
      </c>
      <c r="BB12" s="15">
        <f>Ops!BB96</f>
        <v>18902807.040203072</v>
      </c>
      <c r="BC12" s="15">
        <f>Ops!BC96</f>
        <v>19805705.765534904</v>
      </c>
      <c r="BD12" s="15">
        <f>Ops!BD96</f>
        <v>20022992.151632641</v>
      </c>
      <c r="BE12" s="15">
        <f>Ops!BE96</f>
        <v>20073203.168475792</v>
      </c>
      <c r="BF12" s="15">
        <f>Ops!BF96</f>
        <v>20532361.471476819</v>
      </c>
      <c r="BG12" s="15">
        <f>Ops!BG96</f>
        <v>21501548.439538602</v>
      </c>
      <c r="BH12" s="15">
        <f>Ops!BH96</f>
        <v>21765878.4145892</v>
      </c>
      <c r="BI12" s="15">
        <f>Ops!BI96</f>
        <v>22066609.017832682</v>
      </c>
      <c r="BJ12" s="15">
        <f>Ops!BJ96</f>
        <v>22601692.512475997</v>
      </c>
      <c r="BK12" s="15">
        <f>Ops!BK96</f>
        <v>23745002.279054433</v>
      </c>
      <c r="BL12" s="15">
        <f>Ops!BL96</f>
        <v>24070503.155191366</v>
      </c>
      <c r="BM12" s="15">
        <f>Ops!BM96</f>
        <v>24294874.093551476</v>
      </c>
      <c r="BN12" s="15">
        <f>Ops!BN96</f>
        <v>24919529.862749018</v>
      </c>
      <c r="BO12" s="15">
        <f>Ops!BO96</f>
        <v>26207510.402060967</v>
      </c>
      <c r="BP12" s="15">
        <f>Ops!BP96</f>
        <v>26605368.217670538</v>
      </c>
      <c r="BQ12" s="15">
        <f>Ops!BQ96</f>
        <v>27170553.072727896</v>
      </c>
      <c r="BR12" s="15">
        <f>Ops!BR96</f>
        <v>27603602.312047958</v>
      </c>
      <c r="BS12" s="15">
        <f>Ops!BS96</f>
        <v>29102860.480366569</v>
      </c>
      <c r="BT12" s="15">
        <f>Ops!BT96</f>
        <v>29590011.92807126</v>
      </c>
      <c r="BU12" s="15">
        <f>Ops!BU96</f>
        <v>30473641.353000998</v>
      </c>
      <c r="BV12" s="15">
        <f>Ops!BV96</f>
        <v>31351889.817672797</v>
      </c>
      <c r="BW12" s="15">
        <f>Ops!BW96</f>
        <v>33052799.388969481</v>
      </c>
      <c r="BX12" s="15">
        <f>Ops!BX96</f>
        <v>33656917.212572508</v>
      </c>
      <c r="BY12" s="15">
        <f>Ops!BY96</f>
        <v>33900161.502333388</v>
      </c>
      <c r="BZ12" s="15">
        <f>Ops!BZ96</f>
        <v>34930202.65678826</v>
      </c>
      <c r="CA12" s="15">
        <f>Ops!CA96</f>
        <v>36923621.928984553</v>
      </c>
      <c r="CB12" s="15">
        <f>Ops!CB96</f>
        <v>37657346.106362216</v>
      </c>
      <c r="CC12" s="15">
        <f>Ops!CC96</f>
        <v>38177835.564073764</v>
      </c>
      <c r="CD12" s="15">
        <f>Ops!CD96</f>
        <v>39399378.770701699</v>
      </c>
      <c r="CE12" s="15">
        <f>Ops!CE96</f>
        <v>41638112.156773433</v>
      </c>
      <c r="CF12" s="15">
        <f>Ops!CF96</f>
        <v>42529506.774696425</v>
      </c>
      <c r="CG12" s="15">
        <f>Ops!CG96</f>
        <v>42984147.884376451</v>
      </c>
      <c r="CH12" s="15">
        <f>Ops!CH96</f>
        <v>43937672.385755494</v>
      </c>
      <c r="CI12" s="15">
        <f>Ops!CI96</f>
        <v>46581817.881589919</v>
      </c>
      <c r="CJ12" s="15">
        <f>Ops!CJ96</f>
        <v>47650863.368884012</v>
      </c>
      <c r="CK12" s="15">
        <f>Ops!CK96</f>
        <v>47702497.227018639</v>
      </c>
      <c r="CL12" s="15">
        <f>Ops!CL96</f>
        <v>49375982.760250777</v>
      </c>
      <c r="CM12" s="15">
        <f>Ops!CM96</f>
        <v>52385151.601040021</v>
      </c>
      <c r="CN12" s="15">
        <f>Ops!CN96</f>
        <v>53666371.158818699</v>
      </c>
    </row>
    <row r="13" spans="1:92" ht="12.75" customHeight="1" x14ac:dyDescent="0.3">
      <c r="C13" s="17"/>
      <c r="D13" s="75" t="s">
        <v>160</v>
      </c>
      <c r="H13" s="16" t="s">
        <v>1</v>
      </c>
      <c r="J13" s="58">
        <f>SUM(L13:CN13)</f>
        <v>479818983.7199465</v>
      </c>
      <c r="L13" s="15">
        <f>Ops!L103</f>
        <v>0</v>
      </c>
      <c r="M13" s="15">
        <f>Ops!M103</f>
        <v>5707774.8000000007</v>
      </c>
      <c r="N13" s="15">
        <f>Ops!N103</f>
        <v>5813575.3530400004</v>
      </c>
      <c r="O13" s="15">
        <f>Ops!O103</f>
        <v>6067364.902574081</v>
      </c>
      <c r="P13" s="15">
        <f>Ops!P103</f>
        <v>6115270.3196491841</v>
      </c>
      <c r="Q13" s="15">
        <f>Ops!Q103</f>
        <v>5490701.0610557143</v>
      </c>
      <c r="R13" s="15">
        <f>Ops!R103</f>
        <v>5599567.3006676435</v>
      </c>
      <c r="S13" s="15">
        <f>Ops!S103</f>
        <v>5821435.6316016717</v>
      </c>
      <c r="T13" s="15">
        <f>Ops!T103</f>
        <v>5848754.1900603846</v>
      </c>
      <c r="U13" s="15">
        <f>Ops!U103</f>
        <v>5651005.4798147222</v>
      </c>
      <c r="V13" s="15">
        <f>Ops!V103</f>
        <v>5680723.4162637936</v>
      </c>
      <c r="W13" s="15">
        <f>Ops!W103</f>
        <v>5926475.6910895668</v>
      </c>
      <c r="X13" s="15">
        <f>Ops!X103</f>
        <v>5960463.015496443</v>
      </c>
      <c r="Y13" s="15">
        <f>Ops!Y103</f>
        <v>5721986.0589415198</v>
      </c>
      <c r="Z13" s="15">
        <f>Ops!Z103</f>
        <v>5822522.4045899967</v>
      </c>
      <c r="AA13" s="15">
        <f>Ops!AA103</f>
        <v>6012020.9206188209</v>
      </c>
      <c r="AB13" s="15">
        <f>Ops!AB103</f>
        <v>6056226.7302754847</v>
      </c>
      <c r="AC13" s="15">
        <f>Ops!AC103</f>
        <v>5957401.2250881083</v>
      </c>
      <c r="AD13" s="15">
        <f>Ops!AD103</f>
        <v>6072596.1902234508</v>
      </c>
      <c r="AE13" s="15">
        <f>Ops!AE103</f>
        <v>6318207.8985113213</v>
      </c>
      <c r="AF13" s="15">
        <f>Ops!AF103</f>
        <v>6373865.4527117722</v>
      </c>
      <c r="AG13" s="15">
        <f>Ops!AG103</f>
        <v>5898315.3425216926</v>
      </c>
      <c r="AH13" s="15">
        <f>Ops!AH103</f>
        <v>5996117.5497655459</v>
      </c>
      <c r="AI13" s="15">
        <f>Ops!AI103</f>
        <v>6276854.3489523735</v>
      </c>
      <c r="AJ13" s="15">
        <f>Ops!AJ103</f>
        <v>6314164.2619610783</v>
      </c>
      <c r="AK13" s="15">
        <f>Ops!AK103</f>
        <v>6215404.7650891347</v>
      </c>
      <c r="AL13" s="15">
        <f>Ops!AL103</f>
        <v>6255293.831969304</v>
      </c>
      <c r="AM13" s="15">
        <f>Ops!AM103</f>
        <v>6483190.2214769386</v>
      </c>
      <c r="AN13" s="15">
        <f>Ops!AN103</f>
        <v>6527116.9749563243</v>
      </c>
      <c r="AO13" s="15">
        <f>Ops!AO103</f>
        <v>6143603.1648516161</v>
      </c>
      <c r="AP13" s="15">
        <f>Ops!AP103</f>
        <v>6257136.1092860624</v>
      </c>
      <c r="AQ13" s="15">
        <f>Ops!AQ103</f>
        <v>6556076.0119821895</v>
      </c>
      <c r="AR13" s="15">
        <f>Ops!AR103</f>
        <v>6608094.2686594455</v>
      </c>
      <c r="AS13" s="15">
        <f>Ops!AS103</f>
        <v>5927935.9498299155</v>
      </c>
      <c r="AT13" s="15">
        <f>Ops!AT103</f>
        <v>6044728.7965218741</v>
      </c>
      <c r="AU13" s="15">
        <f>Ops!AU103</f>
        <v>6284046.8807668593</v>
      </c>
      <c r="AV13" s="15">
        <f>Ops!AV103</f>
        <v>6340009.0101436907</v>
      </c>
      <c r="AW13" s="15">
        <f>Ops!AW103</f>
        <v>5576386.0589224063</v>
      </c>
      <c r="AX13" s="15">
        <f>Ops!AX103</f>
        <v>5691938.5830302397</v>
      </c>
      <c r="AY13" s="15">
        <f>Ops!AY103</f>
        <v>5960385.5161898145</v>
      </c>
      <c r="AZ13" s="15">
        <f>Ops!AZ103</f>
        <v>6021566.2552588945</v>
      </c>
      <c r="BA13" s="15">
        <f>Ops!BA103</f>
        <v>5732663.67506875</v>
      </c>
      <c r="BB13" s="15">
        <f>Ops!BB103</f>
        <v>5795223.6385728549</v>
      </c>
      <c r="BC13" s="15">
        <f>Ops!BC103</f>
        <v>6092143.5693730563</v>
      </c>
      <c r="BD13" s="15">
        <f>Ops!BD103</f>
        <v>6163410.3072802201</v>
      </c>
      <c r="BE13" s="15">
        <f>Ops!BE103</f>
        <v>5813698.6393453609</v>
      </c>
      <c r="BF13" s="15">
        <f>Ops!BF103</f>
        <v>5951125.7400886435</v>
      </c>
      <c r="BG13" s="15">
        <f>Ops!BG103</f>
        <v>6203176.3243253529</v>
      </c>
      <c r="BH13" s="15">
        <f>Ops!BH103</f>
        <v>6283064.2096318956</v>
      </c>
      <c r="BI13" s="15">
        <f>Ops!BI103</f>
        <v>5678405.2807791522</v>
      </c>
      <c r="BJ13" s="15">
        <f>Ops!BJ103</f>
        <v>5819572.5653229849</v>
      </c>
      <c r="BK13" s="15">
        <f>Ops!BK103</f>
        <v>6118564.6766558085</v>
      </c>
      <c r="BL13" s="15">
        <f>Ops!BL103</f>
        <v>6207208.0916702729</v>
      </c>
      <c r="BM13" s="15">
        <f>Ops!BM103</f>
        <v>5708063.1291101342</v>
      </c>
      <c r="BN13" s="15">
        <f>Ops!BN103</f>
        <v>5859443.9299909314</v>
      </c>
      <c r="BO13" s="15">
        <f>Ops!BO103</f>
        <v>6109791.256511813</v>
      </c>
      <c r="BP13" s="15">
        <f>Ops!BP103</f>
        <v>6206152.9130406482</v>
      </c>
      <c r="BQ13" s="15">
        <f>Ops!BQ103</f>
        <v>5755322.2109106518</v>
      </c>
      <c r="BR13" s="15">
        <f>Ops!BR103</f>
        <v>5850523.1285189185</v>
      </c>
      <c r="BS13" s="15">
        <f>Ops!BS103</f>
        <v>6182283.3929000041</v>
      </c>
      <c r="BT13" s="15">
        <f>Ops!BT103</f>
        <v>6290165.2809578851</v>
      </c>
      <c r="BU13" s="15">
        <f>Ops!BU103</f>
        <v>5140127.3481336348</v>
      </c>
      <c r="BV13" s="15">
        <f>Ops!BV103</f>
        <v>5292012.5187394321</v>
      </c>
      <c r="BW13" s="15">
        <f>Ops!BW103</f>
        <v>5599726.9442199171</v>
      </c>
      <c r="BX13" s="15">
        <f>Ops!BX103</f>
        <v>5706991.6220190832</v>
      </c>
      <c r="BY13" s="15">
        <f>Ops!BY103</f>
        <v>5297321.1645551734</v>
      </c>
      <c r="BZ13" s="15">
        <f>Ops!BZ103</f>
        <v>5463008.1705502961</v>
      </c>
      <c r="CA13" s="15">
        <f>Ops!CA103</f>
        <v>5713824.1387819797</v>
      </c>
      <c r="CB13" s="15">
        <f>Ops!CB103</f>
        <v>5830578.4081143495</v>
      </c>
      <c r="CC13" s="15">
        <f>Ops!CC103</f>
        <v>5178775.5546936309</v>
      </c>
      <c r="CD13" s="15">
        <f>Ops!CD103</f>
        <v>5347434.0401765136</v>
      </c>
      <c r="CE13" s="15">
        <f>Ops!CE103</f>
        <v>5682766.7202782044</v>
      </c>
      <c r="CF13" s="15">
        <f>Ops!CF103</f>
        <v>5808359.6068339916</v>
      </c>
      <c r="CG13" s="15">
        <f>Ops!CG103</f>
        <v>5874423.5032240339</v>
      </c>
      <c r="CH13" s="15">
        <f>Ops!CH103</f>
        <v>6008789.0588601017</v>
      </c>
      <c r="CI13" s="15">
        <f>Ops!CI103</f>
        <v>6393126.6926866313</v>
      </c>
      <c r="CJ13" s="15">
        <f>Ops!CJ103</f>
        <v>6544808.7155367769</v>
      </c>
      <c r="CK13" s="15">
        <f>Ops!CK103</f>
        <v>6556842.1073275274</v>
      </c>
      <c r="CL13" s="15">
        <f>Ops!CL103</f>
        <v>6791953.1264979197</v>
      </c>
      <c r="CM13" s="15">
        <f>Ops!CM103</f>
        <v>7097168.9091942925</v>
      </c>
      <c r="CN13" s="15">
        <f>Ops!CN103</f>
        <v>7274641.4650585018</v>
      </c>
    </row>
    <row r="14" spans="1:92" ht="12.75" customHeight="1" x14ac:dyDescent="0.3">
      <c r="C14" s="17"/>
      <c r="D14" s="75" t="s">
        <v>161</v>
      </c>
      <c r="H14" s="16" t="s">
        <v>1</v>
      </c>
      <c r="J14" s="58">
        <f>SUM(L14:CN14)</f>
        <v>-36097480.545976132</v>
      </c>
      <c r="L14" s="15">
        <f>Ops!L110</f>
        <v>0</v>
      </c>
      <c r="M14" s="15">
        <f>Ops!M110</f>
        <v>-176309.15759999998</v>
      </c>
      <c r="N14" s="15">
        <f>Ops!N110</f>
        <v>-179546.44291584002</v>
      </c>
      <c r="O14" s="15">
        <f>Ops!O110</f>
        <v>-187442.00334386685</v>
      </c>
      <c r="P14" s="15">
        <f>Ops!P110</f>
        <v>-188899.81233202518</v>
      </c>
      <c r="Q14" s="15">
        <f>Ops!Q110</f>
        <v>-196206.39880219882</v>
      </c>
      <c r="R14" s="15">
        <f>Ops!R110</f>
        <v>-200065.53537822413</v>
      </c>
      <c r="S14" s="15">
        <f>Ops!S110</f>
        <v>-208205.1578824367</v>
      </c>
      <c r="T14" s="15">
        <f>Ops!T110</f>
        <v>-209142.7738869015</v>
      </c>
      <c r="U14" s="15">
        <f>Ops!U110</f>
        <v>-210841.77319365658</v>
      </c>
      <c r="V14" s="15">
        <f>Ops!V110</f>
        <v>-211902.35274410891</v>
      </c>
      <c r="W14" s="15">
        <f>Ops!W110</f>
        <v>-220927.33063248929</v>
      </c>
      <c r="X14" s="15">
        <f>Ops!X110</f>
        <v>-222159.43598783811</v>
      </c>
      <c r="Y14" s="15">
        <f>Ops!Y110</f>
        <v>-221248.70366520766</v>
      </c>
      <c r="Z14" s="15">
        <f>Ops!Z110</f>
        <v>-225093.05421092012</v>
      </c>
      <c r="AA14" s="15">
        <f>Ops!AA110</f>
        <v>-234619.22677604374</v>
      </c>
      <c r="AB14" s="15">
        <f>Ops!AB110</f>
        <v>-236233.73327980729</v>
      </c>
      <c r="AC14" s="15">
        <f>Ops!AC110</f>
        <v>-233010.92654147279</v>
      </c>
      <c r="AD14" s="15">
        <f>Ops!AD110</f>
        <v>-237392.37580465898</v>
      </c>
      <c r="AE14" s="15">
        <f>Ops!AE110</f>
        <v>-248042.36912382071</v>
      </c>
      <c r="AF14" s="15">
        <f>Ops!AF110</f>
        <v>-250124.47309716474</v>
      </c>
      <c r="AG14" s="15">
        <f>Ops!AG110</f>
        <v>-252725.89109252294</v>
      </c>
      <c r="AH14" s="15">
        <f>Ops!AH110</f>
        <v>-256836.88281788118</v>
      </c>
      <c r="AI14" s="15">
        <f>Ops!AI110</f>
        <v>-267577.1998097098</v>
      </c>
      <c r="AJ14" s="15">
        <f>Ops!AJ110</f>
        <v>-269054.77221202792</v>
      </c>
      <c r="AK14" s="15">
        <f>Ops!AK110</f>
        <v>-268923.38430027844</v>
      </c>
      <c r="AL14" s="15">
        <f>Ops!AL110</f>
        <v>-270527.99565732409</v>
      </c>
      <c r="AM14" s="15">
        <f>Ops!AM110</f>
        <v>-282004.54915169033</v>
      </c>
      <c r="AN14" s="15">
        <f>Ops!AN110</f>
        <v>-283818.57199127146</v>
      </c>
      <c r="AO14" s="15">
        <f>Ops!AO110</f>
        <v>-284800.8086910409</v>
      </c>
      <c r="AP14" s="15">
        <f>Ops!AP110</f>
        <v>-289958.26041014324</v>
      </c>
      <c r="AQ14" s="15">
        <f>Ops!AQ110</f>
        <v>-302560.35654629173</v>
      </c>
      <c r="AR14" s="15">
        <f>Ops!AR110</f>
        <v>-304807.88296505157</v>
      </c>
      <c r="AS14" s="15">
        <f>Ops!AS110</f>
        <v>-311320.56174884207</v>
      </c>
      <c r="AT14" s="15">
        <f>Ops!AT110</f>
        <v>-317285.65417933604</v>
      </c>
      <c r="AU14" s="15">
        <f>Ops!AU110</f>
        <v>-331415.09083595534</v>
      </c>
      <c r="AV14" s="15">
        <f>Ops!AV110</f>
        <v>-334232.91961605067</v>
      </c>
      <c r="AW14" s="15">
        <f>Ops!AW110</f>
        <v>-342444.36981896288</v>
      </c>
      <c r="AX14" s="15">
        <f>Ops!AX110</f>
        <v>-349393.05734961119</v>
      </c>
      <c r="AY14" s="15">
        <f>Ops!AY110</f>
        <v>-365733.52942248672</v>
      </c>
      <c r="AZ14" s="15">
        <f>Ops!AZ110</f>
        <v>-369278.93951578223</v>
      </c>
      <c r="BA14" s="15">
        <f>Ops!BA110</f>
        <v>-374196.2049268941</v>
      </c>
      <c r="BB14" s="15">
        <f>Ops!BB110</f>
        <v>-378056.14080406149</v>
      </c>
      <c r="BC14" s="15">
        <f>Ops!BC110</f>
        <v>-396114.11531069805</v>
      </c>
      <c r="BD14" s="15">
        <f>Ops!BD110</f>
        <v>-400459.84303265286</v>
      </c>
      <c r="BE14" s="15">
        <f>Ops!BE110</f>
        <v>-401464.06336951582</v>
      </c>
      <c r="BF14" s="15">
        <f>Ops!BF110</f>
        <v>-410647.22942953644</v>
      </c>
      <c r="BG14" s="15">
        <f>Ops!BG110</f>
        <v>-430030.96879077202</v>
      </c>
      <c r="BH14" s="15">
        <f>Ops!BH110</f>
        <v>-435317.56829178403</v>
      </c>
      <c r="BI14" s="15">
        <f>Ops!BI110</f>
        <v>-441332.18035665364</v>
      </c>
      <c r="BJ14" s="15">
        <f>Ops!BJ110</f>
        <v>-452033.85024952004</v>
      </c>
      <c r="BK14" s="15">
        <f>Ops!BK110</f>
        <v>-474900.04558108875</v>
      </c>
      <c r="BL14" s="15">
        <f>Ops!BL110</f>
        <v>-481410.06310382724</v>
      </c>
      <c r="BM14" s="15">
        <f>Ops!BM110</f>
        <v>-485897.48187102954</v>
      </c>
      <c r="BN14" s="15">
        <f>Ops!BN110</f>
        <v>-498390.59725498041</v>
      </c>
      <c r="BO14" s="15">
        <f>Ops!BO110</f>
        <v>-524150.20804121939</v>
      </c>
      <c r="BP14" s="15">
        <f>Ops!BP110</f>
        <v>-532107.36435341078</v>
      </c>
      <c r="BQ14" s="15">
        <f>Ops!BQ110</f>
        <v>-543411.06145455781</v>
      </c>
      <c r="BR14" s="15">
        <f>Ops!BR110</f>
        <v>-552072.04624095908</v>
      </c>
      <c r="BS14" s="15">
        <f>Ops!BS110</f>
        <v>-582057.20960733155</v>
      </c>
      <c r="BT14" s="15">
        <f>Ops!BT110</f>
        <v>-591800.23856142524</v>
      </c>
      <c r="BU14" s="15">
        <f>Ops!BU110</f>
        <v>-609472.82706001995</v>
      </c>
      <c r="BV14" s="15">
        <f>Ops!BV110</f>
        <v>-627037.79635345598</v>
      </c>
      <c r="BW14" s="15">
        <f>Ops!BW110</f>
        <v>-661055.9877793896</v>
      </c>
      <c r="BX14" s="15">
        <f>Ops!BX110</f>
        <v>-673138.34425145015</v>
      </c>
      <c r="BY14" s="15">
        <f>Ops!BY110</f>
        <v>-678003.23004666786</v>
      </c>
      <c r="BZ14" s="15">
        <f>Ops!BZ110</f>
        <v>-698604.05313576525</v>
      </c>
      <c r="CA14" s="15">
        <f>Ops!CA110</f>
        <v>-738472.43857969111</v>
      </c>
      <c r="CB14" s="15">
        <f>Ops!CB110</f>
        <v>-753146.9221272443</v>
      </c>
      <c r="CC14" s="15">
        <f>Ops!CC110</f>
        <v>-763556.71128147538</v>
      </c>
      <c r="CD14" s="15">
        <f>Ops!CD110</f>
        <v>-787987.57541403396</v>
      </c>
      <c r="CE14" s="15">
        <f>Ops!CE110</f>
        <v>-832762.2431354688</v>
      </c>
      <c r="CF14" s="15">
        <f>Ops!CF110</f>
        <v>-850590.13549392857</v>
      </c>
      <c r="CG14" s="15">
        <f>Ops!CG110</f>
        <v>-859682.95768752904</v>
      </c>
      <c r="CH14" s="15">
        <f>Ops!CH110</f>
        <v>-878753.4477151098</v>
      </c>
      <c r="CI14" s="15">
        <f>Ops!CI110</f>
        <v>-931636.3576317986</v>
      </c>
      <c r="CJ14" s="15">
        <f>Ops!CJ110</f>
        <v>-953017.26737768017</v>
      </c>
      <c r="CK14" s="15">
        <f>Ops!CK110</f>
        <v>-954049.94454037282</v>
      </c>
      <c r="CL14" s="15">
        <f>Ops!CL110</f>
        <v>-987519.65520501556</v>
      </c>
      <c r="CM14" s="15">
        <f>Ops!CM110</f>
        <v>-1047703.0320208003</v>
      </c>
      <c r="CN14" s="15">
        <f>Ops!CN110</f>
        <v>-1073327.4231763738</v>
      </c>
    </row>
    <row r="15" spans="1:92" ht="12.75" customHeight="1" x14ac:dyDescent="0.3">
      <c r="C15" s="17"/>
      <c r="D15" s="91" t="s">
        <v>163</v>
      </c>
      <c r="H15" s="16" t="s">
        <v>1</v>
      </c>
      <c r="J15" s="58">
        <f>SUM(L15:CN15)</f>
        <v>2248595530.4727774</v>
      </c>
      <c r="L15" s="50">
        <f t="shared" ref="L15:AQ15" si="4">SUM(L12:L14)</f>
        <v>0</v>
      </c>
      <c r="M15" s="50">
        <f t="shared" si="4"/>
        <v>14346923.522399999</v>
      </c>
      <c r="N15" s="50">
        <f t="shared" si="4"/>
        <v>14611351.05591616</v>
      </c>
      <c r="O15" s="50">
        <f t="shared" si="4"/>
        <v>15252023.066423556</v>
      </c>
      <c r="P15" s="50">
        <f t="shared" si="4"/>
        <v>15371361.123918418</v>
      </c>
      <c r="Q15" s="50">
        <f t="shared" si="4"/>
        <v>15104814.602363458</v>
      </c>
      <c r="R15" s="50">
        <f t="shared" si="4"/>
        <v>15402778.534200627</v>
      </c>
      <c r="S15" s="50">
        <f t="shared" si="4"/>
        <v>16023488.367841069</v>
      </c>
      <c r="T15" s="50">
        <f t="shared" si="4"/>
        <v>16096750.110518558</v>
      </c>
      <c r="U15" s="50">
        <f t="shared" si="4"/>
        <v>15982252.366303895</v>
      </c>
      <c r="V15" s="50">
        <f t="shared" si="4"/>
        <v>16063938.700725129</v>
      </c>
      <c r="W15" s="50">
        <f t="shared" si="4"/>
        <v>16751914.892081544</v>
      </c>
      <c r="X15" s="50">
        <f t="shared" si="4"/>
        <v>16846275.378900509</v>
      </c>
      <c r="Y15" s="50">
        <f t="shared" si="4"/>
        <v>16563172.538536694</v>
      </c>
      <c r="Z15" s="50">
        <f t="shared" si="4"/>
        <v>16852082.060925081</v>
      </c>
      <c r="AA15" s="50">
        <f t="shared" si="4"/>
        <v>17508363.032644961</v>
      </c>
      <c r="AB15" s="50">
        <f t="shared" si="4"/>
        <v>17631679.660986044</v>
      </c>
      <c r="AC15" s="50">
        <f t="shared" si="4"/>
        <v>17374936.625620272</v>
      </c>
      <c r="AD15" s="50">
        <f t="shared" si="4"/>
        <v>17704822.604651742</v>
      </c>
      <c r="AE15" s="50">
        <f t="shared" si="4"/>
        <v>18472283.985578537</v>
      </c>
      <c r="AF15" s="50">
        <f t="shared" si="4"/>
        <v>18629964.634472843</v>
      </c>
      <c r="AG15" s="50">
        <f t="shared" si="4"/>
        <v>18281884.006055314</v>
      </c>
      <c r="AH15" s="50">
        <f t="shared" si="4"/>
        <v>18581124.807841726</v>
      </c>
      <c r="AI15" s="50">
        <f t="shared" si="4"/>
        <v>19388137.13962815</v>
      </c>
      <c r="AJ15" s="50">
        <f t="shared" si="4"/>
        <v>19497848.100350447</v>
      </c>
      <c r="AK15" s="50">
        <f t="shared" si="4"/>
        <v>19392650.59580278</v>
      </c>
      <c r="AL15" s="50">
        <f t="shared" si="4"/>
        <v>19511165.619178183</v>
      </c>
      <c r="AM15" s="50">
        <f t="shared" si="4"/>
        <v>20301413.129909765</v>
      </c>
      <c r="AN15" s="50">
        <f t="shared" si="4"/>
        <v>20434227.002528623</v>
      </c>
      <c r="AO15" s="50">
        <f t="shared" si="4"/>
        <v>20098842.790712621</v>
      </c>
      <c r="AP15" s="50">
        <f t="shared" si="4"/>
        <v>20465090.869383078</v>
      </c>
      <c r="AQ15" s="50">
        <f t="shared" si="4"/>
        <v>21381533.482750487</v>
      </c>
      <c r="AR15" s="50">
        <f t="shared" ref="AR15:BW15" si="5">SUM(AR12:AR14)</f>
        <v>21543680.533946972</v>
      </c>
      <c r="AS15" s="50">
        <f t="shared" si="5"/>
        <v>21182643.475523178</v>
      </c>
      <c r="AT15" s="50">
        <f t="shared" si="5"/>
        <v>21591725.85130934</v>
      </c>
      <c r="AU15" s="50">
        <f t="shared" si="5"/>
        <v>22523386.331728671</v>
      </c>
      <c r="AV15" s="50">
        <f t="shared" si="5"/>
        <v>22717422.071330171</v>
      </c>
      <c r="AW15" s="50">
        <f t="shared" si="5"/>
        <v>22356160.180051588</v>
      </c>
      <c r="AX15" s="50">
        <f t="shared" si="5"/>
        <v>22812198.393161185</v>
      </c>
      <c r="AY15" s="50">
        <f t="shared" si="5"/>
        <v>23881328.457891662</v>
      </c>
      <c r="AZ15" s="50">
        <f t="shared" si="5"/>
        <v>24116234.291532226</v>
      </c>
      <c r="BA15" s="50">
        <f t="shared" si="5"/>
        <v>24068277.716486558</v>
      </c>
      <c r="BB15" s="50">
        <f t="shared" si="5"/>
        <v>24319974.537971869</v>
      </c>
      <c r="BC15" s="50">
        <f t="shared" si="5"/>
        <v>25501735.219597261</v>
      </c>
      <c r="BD15" s="50">
        <f t="shared" si="5"/>
        <v>25785942.615880206</v>
      </c>
      <c r="BE15" s="50">
        <f t="shared" si="5"/>
        <v>25485437.744451638</v>
      </c>
      <c r="BF15" s="50">
        <f t="shared" si="5"/>
        <v>26072839.982135929</v>
      </c>
      <c r="BG15" s="50">
        <f t="shared" si="5"/>
        <v>27274693.795073181</v>
      </c>
      <c r="BH15" s="50">
        <f t="shared" si="5"/>
        <v>27613625.055929311</v>
      </c>
      <c r="BI15" s="50">
        <f t="shared" si="5"/>
        <v>27303682.118255179</v>
      </c>
      <c r="BJ15" s="50">
        <f t="shared" si="5"/>
        <v>27969231.22754946</v>
      </c>
      <c r="BK15" s="50">
        <f t="shared" si="5"/>
        <v>29388666.910129152</v>
      </c>
      <c r="BL15" s="50">
        <f t="shared" si="5"/>
        <v>29796301.183757808</v>
      </c>
      <c r="BM15" s="50">
        <f t="shared" si="5"/>
        <v>29517039.740790579</v>
      </c>
      <c r="BN15" s="50">
        <f t="shared" si="5"/>
        <v>30280583.19548497</v>
      </c>
      <c r="BO15" s="50">
        <f t="shared" si="5"/>
        <v>31793151.450531557</v>
      </c>
      <c r="BP15" s="50">
        <f t="shared" si="5"/>
        <v>32279413.766357776</v>
      </c>
      <c r="BQ15" s="50">
        <f t="shared" si="5"/>
        <v>32382464.222183991</v>
      </c>
      <c r="BR15" s="50">
        <f t="shared" si="5"/>
        <v>32902053.394325916</v>
      </c>
      <c r="BS15" s="50">
        <f t="shared" si="5"/>
        <v>34703086.663659237</v>
      </c>
      <c r="BT15" s="50">
        <f t="shared" si="5"/>
        <v>35288376.970467724</v>
      </c>
      <c r="BU15" s="50">
        <f t="shared" si="5"/>
        <v>35004295.874074616</v>
      </c>
      <c r="BV15" s="50">
        <f t="shared" si="5"/>
        <v>36016864.540058769</v>
      </c>
      <c r="BW15" s="50">
        <f t="shared" si="5"/>
        <v>37991470.345410012</v>
      </c>
      <c r="BX15" s="50">
        <f t="shared" ref="BX15:CN15" si="6">SUM(BX12:BX14)</f>
        <v>38690770.490340143</v>
      </c>
      <c r="BY15" s="50">
        <f t="shared" si="6"/>
        <v>38519479.436841898</v>
      </c>
      <c r="BZ15" s="50">
        <f t="shared" si="6"/>
        <v>39694606.774202786</v>
      </c>
      <c r="CA15" s="50">
        <f t="shared" si="6"/>
        <v>41898973.629186839</v>
      </c>
      <c r="CB15" s="50">
        <f t="shared" si="6"/>
        <v>42734777.592349321</v>
      </c>
      <c r="CC15" s="50">
        <f t="shared" si="6"/>
        <v>42593054.407485917</v>
      </c>
      <c r="CD15" s="50">
        <f t="shared" si="6"/>
        <v>43958825.235464178</v>
      </c>
      <c r="CE15" s="50">
        <f t="shared" si="6"/>
        <v>46488116.633916169</v>
      </c>
      <c r="CF15" s="50">
        <f t="shared" si="6"/>
        <v>47487276.246036492</v>
      </c>
      <c r="CG15" s="50">
        <f t="shared" si="6"/>
        <v>47998888.429912955</v>
      </c>
      <c r="CH15" s="50">
        <f t="shared" si="6"/>
        <v>49067707.996900484</v>
      </c>
      <c r="CI15" s="50">
        <f t="shared" si="6"/>
        <v>52043308.216644756</v>
      </c>
      <c r="CJ15" s="50">
        <f t="shared" si="6"/>
        <v>53242654.817043103</v>
      </c>
      <c r="CK15" s="50">
        <f t="shared" si="6"/>
        <v>53305289.389805794</v>
      </c>
      <c r="CL15" s="50">
        <f t="shared" si="6"/>
        <v>55180416.231543675</v>
      </c>
      <c r="CM15" s="50">
        <f t="shared" si="6"/>
        <v>58434617.478213511</v>
      </c>
      <c r="CN15" s="50">
        <f t="shared" si="6"/>
        <v>59867685.200700827</v>
      </c>
    </row>
    <row r="16" spans="1:92" ht="12.75" customHeight="1" x14ac:dyDescent="0.3">
      <c r="C16" s="17"/>
      <c r="D16" s="75"/>
      <c r="H16" s="16"/>
    </row>
    <row r="17" spans="3:92" ht="12.75" customHeight="1" x14ac:dyDescent="0.3">
      <c r="C17" s="17" t="s">
        <v>165</v>
      </c>
      <c r="D17" s="75"/>
      <c r="H17" s="1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</row>
    <row r="18" spans="3:92" ht="12.75" customHeight="1" x14ac:dyDescent="0.3">
      <c r="C18" s="17"/>
      <c r="D18" s="75" t="s">
        <v>168</v>
      </c>
      <c r="H18" s="16" t="s">
        <v>1</v>
      </c>
      <c r="J18" s="58">
        <f>SUM(L18:CN18)</f>
        <v>-690799176.5046593</v>
      </c>
      <c r="L18" s="15">
        <f>-Ops!L124</f>
        <v>0</v>
      </c>
      <c r="M18" s="15">
        <f>-Ops!M124</f>
        <v>-3295539.0000000005</v>
      </c>
      <c r="N18" s="15">
        <f>-Ops!N124</f>
        <v>-3386173.8820361011</v>
      </c>
      <c r="O18" s="15">
        <f>-Ops!O124</f>
        <v>-3480847.9203593177</v>
      </c>
      <c r="P18" s="15">
        <f>-Ops!P124</f>
        <v>-3541389.2730117636</v>
      </c>
      <c r="Q18" s="15">
        <f>-Ops!Q124</f>
        <v>-3493904.5887981718</v>
      </c>
      <c r="R18" s="15">
        <f>-Ops!R124</f>
        <v>-3598823.4998751008</v>
      </c>
      <c r="S18" s="15">
        <f>-Ops!S124</f>
        <v>-3688798.9206931228</v>
      </c>
      <c r="T18" s="15">
        <f>-Ops!T124</f>
        <v>-3741659.9512061607</v>
      </c>
      <c r="U18" s="15">
        <f>-Ops!U124</f>
        <v>-3745753.0448562447</v>
      </c>
      <c r="V18" s="15">
        <f>-Ops!V124</f>
        <v>-3803165.1793831605</v>
      </c>
      <c r="W18" s="15">
        <f>-Ops!W124</f>
        <v>-3905919.6400442058</v>
      </c>
      <c r="X18" s="15">
        <f>-Ops!X124</f>
        <v>-3969985.683935652</v>
      </c>
      <c r="Y18" s="15">
        <f>-Ops!Y124</f>
        <v>-3940522.2778053517</v>
      </c>
      <c r="Z18" s="15">
        <f>-Ops!Z124</f>
        <v>-4054258.763085953</v>
      </c>
      <c r="AA18" s="15">
        <f>-Ops!AA124</f>
        <v>-4173265.074696308</v>
      </c>
      <c r="AB18" s="15">
        <f>-Ops!AB124</f>
        <v>-4251691.9488358246</v>
      </c>
      <c r="AC18" s="15">
        <f>-Ops!AC124</f>
        <v>-4239280.3443299504</v>
      </c>
      <c r="AD18" s="15">
        <f>-Ops!AD124</f>
        <v>-4372578.1321708998</v>
      </c>
      <c r="AE18" s="15">
        <f>-Ops!AE124</f>
        <v>-4512564.2021284215</v>
      </c>
      <c r="AF18" s="15">
        <f>-Ops!AF124</f>
        <v>-4609605.1706757415</v>
      </c>
      <c r="AG18" s="15">
        <f>-Ops!AG124</f>
        <v>-4558047.2059134468</v>
      </c>
      <c r="AH18" s="15">
        <f>-Ops!AH124</f>
        <v>-4685191.3501109779</v>
      </c>
      <c r="AI18" s="15">
        <f>-Ops!AI124</f>
        <v>-4817008.958732903</v>
      </c>
      <c r="AJ18" s="15">
        <f>-Ops!AJ124</f>
        <v>-4900469.0142645407</v>
      </c>
      <c r="AK18" s="15">
        <f>-Ops!AK124</f>
        <v>-4928341.9954193635</v>
      </c>
      <c r="AL18" s="15">
        <f>-Ops!AL124</f>
        <v>-5017427.7156072669</v>
      </c>
      <c r="AM18" s="15">
        <f>-Ops!AM124</f>
        <v>-5166200.7513340162</v>
      </c>
      <c r="AN18" s="15">
        <f>-Ops!AN124</f>
        <v>-5263572.0502379686</v>
      </c>
      <c r="AO18" s="15">
        <f>-Ops!AO124</f>
        <v>-5228269.9263796946</v>
      </c>
      <c r="AP18" s="15">
        <f>-Ops!AP124</f>
        <v>-5390181.4233145695</v>
      </c>
      <c r="AQ18" s="15">
        <f>-Ops!AQ124</f>
        <v>-5558629.7064441638</v>
      </c>
      <c r="AR18" s="15">
        <f>-Ops!AR124</f>
        <v>-5672295.356676735</v>
      </c>
      <c r="AS18" s="15">
        <f>-Ops!AS124</f>
        <v>-5622797.944357845</v>
      </c>
      <c r="AT18" s="15">
        <f>-Ops!AT124</f>
        <v>-5806220.6818904402</v>
      </c>
      <c r="AU18" s="15">
        <f>-Ops!AU124</f>
        <v>-5997355.9642337151</v>
      </c>
      <c r="AV18" s="15">
        <f>-Ops!AV124</f>
        <v>-6129973.6194071788</v>
      </c>
      <c r="AW18" s="15">
        <f>-Ops!AW124</f>
        <v>-6081695.9666854031</v>
      </c>
      <c r="AX18" s="15">
        <f>-Ops!AX124</f>
        <v>-6290474.9389109155</v>
      </c>
      <c r="AY18" s="15">
        <f>-Ops!AY124</f>
        <v>-6508360.2909166319</v>
      </c>
      <c r="AZ18" s="15">
        <f>-Ops!AZ124</f>
        <v>-6663399.7411401104</v>
      </c>
      <c r="BA18" s="15">
        <f>-Ops!BA124</f>
        <v>-6729181.8028824832</v>
      </c>
      <c r="BB18" s="15">
        <f>-Ops!BB124</f>
        <v>-6895300.3591170637</v>
      </c>
      <c r="BC18" s="15">
        <f>-Ops!BC124</f>
        <v>-7146186.3266200535</v>
      </c>
      <c r="BD18" s="15">
        <f>-Ops!BD124</f>
        <v>-7328801.2026388254</v>
      </c>
      <c r="BE18" s="15">
        <f>-Ops!BE124</f>
        <v>-7333435.0099855354</v>
      </c>
      <c r="BF18" s="15">
        <f>-Ops!BF124</f>
        <v>-7610837.5495396163</v>
      </c>
      <c r="BG18" s="15">
        <f>-Ops!BG124</f>
        <v>-7901114.0724357944</v>
      </c>
      <c r="BH18" s="15">
        <f>-Ops!BH124</f>
        <v>-8116720.8839498609</v>
      </c>
      <c r="BI18" s="15">
        <f>-Ops!BI124</f>
        <v>-8116092.8741613878</v>
      </c>
      <c r="BJ18" s="15">
        <f>-Ops!BJ124</f>
        <v>-8437266.9921762012</v>
      </c>
      <c r="BK18" s="15">
        <f>-Ops!BK124</f>
        <v>-8773737.3266677093</v>
      </c>
      <c r="BL18" s="15">
        <f>-Ops!BL124</f>
        <v>-9028185.3645200543</v>
      </c>
      <c r="BM18" s="15">
        <f>-Ops!BM124</f>
        <v>-9053984.5135179311</v>
      </c>
      <c r="BN18" s="15">
        <f>-Ops!BN124</f>
        <v>-9427783.9792089146</v>
      </c>
      <c r="BO18" s="15">
        <f>-Ops!BO124</f>
        <v>-9819796.8892566804</v>
      </c>
      <c r="BP18" s="15">
        <f>-Ops!BP124</f>
        <v>-10120986.023748454</v>
      </c>
      <c r="BQ18" s="15">
        <f>-Ops!BQ124</f>
        <v>-10280245.399798563</v>
      </c>
      <c r="BR18" s="15">
        <f>-Ops!BR124</f>
        <v>-10603917.31625562</v>
      </c>
      <c r="BS18" s="15">
        <f>-Ops!BS124</f>
        <v>-11062264.891553577</v>
      </c>
      <c r="BT18" s="15">
        <f>-Ops!BT124</f>
        <v>-11419359.582038859</v>
      </c>
      <c r="BU18" s="15">
        <f>-Ops!BU124</f>
        <v>-11435588.329120578</v>
      </c>
      <c r="BV18" s="15">
        <f>-Ops!BV124</f>
        <v>-11944870.523106052</v>
      </c>
      <c r="BW18" s="15">
        <f>-Ops!BW124</f>
        <v>-12479917.163007867</v>
      </c>
      <c r="BX18" s="15">
        <f>-Ops!BX124</f>
        <v>-12901877.506931119</v>
      </c>
      <c r="BY18" s="15">
        <f>-Ops!BY124</f>
        <v>-13016392.926235102</v>
      </c>
      <c r="BZ18" s="15">
        <f>-Ops!BZ124</f>
        <v>-13615641.276116271</v>
      </c>
      <c r="CA18" s="15">
        <f>-Ops!CA124</f>
        <v>-14245672.028935023</v>
      </c>
      <c r="CB18" s="15">
        <f>-Ops!CB124</f>
        <v>-14747844.535905182</v>
      </c>
      <c r="CC18" s="15">
        <f>-Ops!CC124</f>
        <v>-14878769.567490654</v>
      </c>
      <c r="CD18" s="15">
        <f>-Ops!CD124</f>
        <v>-15584677.735678751</v>
      </c>
      <c r="CE18" s="15">
        <f>-Ops!CE124</f>
        <v>-16327331.908204172</v>
      </c>
      <c r="CF18" s="15">
        <f>-Ops!CF124</f>
        <v>-16924756.31490523</v>
      </c>
      <c r="CG18" s="15">
        <f>-Ops!CG124</f>
        <v>-17358676.881209321</v>
      </c>
      <c r="CH18" s="15">
        <f>-Ops!CH124</f>
        <v>-18004780.889382709</v>
      </c>
      <c r="CI18" s="15">
        <f>-Ops!CI124</f>
        <v>-18885706.653044924</v>
      </c>
      <c r="CJ18" s="15">
        <f>-Ops!CJ124</f>
        <v>-19600045.919231195</v>
      </c>
      <c r="CK18" s="15">
        <f>-Ops!CK124</f>
        <v>-19904792.028802261</v>
      </c>
      <c r="CL18" s="15">
        <f>-Ops!CL124</f>
        <v>-20898810.351545341</v>
      </c>
      <c r="CM18" s="15">
        <f>-Ops!CM124</f>
        <v>-21945695.451092131</v>
      </c>
      <c r="CN18" s="15">
        <f>-Ops!CN124</f>
        <v>-22800489.054736953</v>
      </c>
    </row>
    <row r="19" spans="3:92" ht="12.75" customHeight="1" x14ac:dyDescent="0.3">
      <c r="C19" s="17"/>
      <c r="D19" s="75" t="s">
        <v>169</v>
      </c>
      <c r="H19" s="16" t="s">
        <v>1</v>
      </c>
      <c r="J19" s="58">
        <f>SUM(L19:CN19)</f>
        <v>-271160518.6719138</v>
      </c>
      <c r="L19" s="15">
        <f>-Ops!L131</f>
        <v>0</v>
      </c>
      <c r="M19" s="15">
        <f>-Ops!M131</f>
        <v>-2548000</v>
      </c>
      <c r="N19" s="15">
        <f>-Ops!N131</f>
        <v>-2565651.7232004311</v>
      </c>
      <c r="O19" s="15">
        <f>-Ops!O131</f>
        <v>-2583425.7318529594</v>
      </c>
      <c r="P19" s="15">
        <f>-Ops!P131</f>
        <v>-2601322.8731118049</v>
      </c>
      <c r="Q19" s="15">
        <f>-Ops!Q131</f>
        <v>-2619343.9999999995</v>
      </c>
      <c r="R19" s="15">
        <f>-Ops!R131</f>
        <v>-2637489.971450042</v>
      </c>
      <c r="S19" s="15">
        <f>-Ops!S131</f>
        <v>-2655761.6523448415</v>
      </c>
      <c r="T19" s="15">
        <f>-Ops!T131</f>
        <v>-2674159.9135589348</v>
      </c>
      <c r="U19" s="15">
        <f>-Ops!U131</f>
        <v>-2692685.6319999988</v>
      </c>
      <c r="V19" s="15">
        <f>-Ops!V131</f>
        <v>-2711339.6906506424</v>
      </c>
      <c r="W19" s="15">
        <f>-Ops!W131</f>
        <v>-2730122.978610496</v>
      </c>
      <c r="X19" s="15">
        <f>-Ops!X131</f>
        <v>-2749036.3911385844</v>
      </c>
      <c r="Y19" s="15">
        <f>-Ops!Y131</f>
        <v>-2768080.8296959982</v>
      </c>
      <c r="Z19" s="15">
        <f>-Ops!Z131</f>
        <v>-2787257.2019888605</v>
      </c>
      <c r="AA19" s="15">
        <f>-Ops!AA131</f>
        <v>-2806566.4220115901</v>
      </c>
      <c r="AB19" s="15">
        <f>-Ops!AB131</f>
        <v>-2826009.4100904646</v>
      </c>
      <c r="AC19" s="15">
        <f>-Ops!AC131</f>
        <v>-2845587.0929274862</v>
      </c>
      <c r="AD19" s="15">
        <f>-Ops!AD131</f>
        <v>-2865300.4036445478</v>
      </c>
      <c r="AE19" s="15">
        <f>-Ops!AE131</f>
        <v>-2885150.2818279141</v>
      </c>
      <c r="AF19" s="15">
        <f>-Ops!AF131</f>
        <v>-2905137.6735729971</v>
      </c>
      <c r="AG19" s="15">
        <f>-Ops!AG131</f>
        <v>-2925263.531529454</v>
      </c>
      <c r="AH19" s="15">
        <f>-Ops!AH131</f>
        <v>-2945528.8149465942</v>
      </c>
      <c r="AI19" s="15">
        <f>-Ops!AI131</f>
        <v>-2965934.4897190942</v>
      </c>
      <c r="AJ19" s="15">
        <f>-Ops!AJ131</f>
        <v>-2986481.5284330393</v>
      </c>
      <c r="AK19" s="15">
        <f>-Ops!AK131</f>
        <v>-3007170.910412278</v>
      </c>
      <c r="AL19" s="15">
        <f>-Ops!AL131</f>
        <v>-3028003.6217650976</v>
      </c>
      <c r="AM19" s="15">
        <f>-Ops!AM131</f>
        <v>-3048980.6554312278</v>
      </c>
      <c r="AN19" s="15">
        <f>-Ops!AN131</f>
        <v>-3070103.0112291635</v>
      </c>
      <c r="AO19" s="15">
        <f>-Ops!AO131</f>
        <v>-3091371.6959038209</v>
      </c>
      <c r="AP19" s="15">
        <f>-Ops!AP131</f>
        <v>-3112787.7231745198</v>
      </c>
      <c r="AQ19" s="15">
        <f>-Ops!AQ131</f>
        <v>-3134352.1137833018</v>
      </c>
      <c r="AR19" s="15">
        <f>-Ops!AR131</f>
        <v>-3156065.8955435795</v>
      </c>
      <c r="AS19" s="15">
        <f>-Ops!AS131</f>
        <v>-3177930.1033891267</v>
      </c>
      <c r="AT19" s="15">
        <f>-Ops!AT131</f>
        <v>-3199945.7794234045</v>
      </c>
      <c r="AU19" s="15">
        <f>-Ops!AU131</f>
        <v>-3222113.9729692321</v>
      </c>
      <c r="AV19" s="15">
        <f>-Ops!AV131</f>
        <v>-3244435.740618798</v>
      </c>
      <c r="AW19" s="15">
        <f>-Ops!AW131</f>
        <v>-3266912.146284021</v>
      </c>
      <c r="AX19" s="15">
        <f>-Ops!AX131</f>
        <v>-3289544.2612472596</v>
      </c>
      <c r="AY19" s="15">
        <f>-Ops!AY131</f>
        <v>-3312333.1642123703</v>
      </c>
      <c r="AZ19" s="15">
        <f>-Ops!AZ131</f>
        <v>-3335279.9413561239</v>
      </c>
      <c r="BA19" s="15">
        <f>-Ops!BA131</f>
        <v>-3358385.6863799728</v>
      </c>
      <c r="BB19" s="15">
        <f>-Ops!BB131</f>
        <v>-3381651.5005621812</v>
      </c>
      <c r="BC19" s="15">
        <f>-Ops!BC131</f>
        <v>-3405078.4928103155</v>
      </c>
      <c r="BD19" s="15">
        <f>-Ops!BD131</f>
        <v>-3428667.779714094</v>
      </c>
      <c r="BE19" s="15">
        <f>-Ops!BE131</f>
        <v>-3452420.4855986107</v>
      </c>
      <c r="BF19" s="15">
        <f>-Ops!BF131</f>
        <v>-3476337.7425779211</v>
      </c>
      <c r="BG19" s="15">
        <f>-Ops!BG131</f>
        <v>-3500420.690609003</v>
      </c>
      <c r="BH19" s="15">
        <f>-Ops!BH131</f>
        <v>-3524670.4775460875</v>
      </c>
      <c r="BI19" s="15">
        <f>-Ops!BI131</f>
        <v>-3549088.2591953711</v>
      </c>
      <c r="BJ19" s="15">
        <f>-Ops!BJ131</f>
        <v>-3573675.1993701025</v>
      </c>
      <c r="BK19" s="15">
        <f>-Ops!BK131</f>
        <v>-3598432.4699460538</v>
      </c>
      <c r="BL19" s="15">
        <f>-Ops!BL131</f>
        <v>-3623361.250917377</v>
      </c>
      <c r="BM19" s="15">
        <f>-Ops!BM131</f>
        <v>-3648462.7304528402</v>
      </c>
      <c r="BN19" s="15">
        <f>-Ops!BN131</f>
        <v>-3673738.1049524639</v>
      </c>
      <c r="BO19" s="15">
        <f>-Ops!BO131</f>
        <v>-3699188.5791045418</v>
      </c>
      <c r="BP19" s="15">
        <f>-Ops!BP131</f>
        <v>-3724815.3659430621</v>
      </c>
      <c r="BQ19" s="15">
        <f>-Ops!BQ131</f>
        <v>-3750619.6869055182</v>
      </c>
      <c r="BR19" s="15">
        <f>-Ops!BR131</f>
        <v>-3776602.771891132</v>
      </c>
      <c r="BS19" s="15">
        <f>-Ops!BS131</f>
        <v>-3802765.859319469</v>
      </c>
      <c r="BT19" s="15">
        <f>-Ops!BT131</f>
        <v>-3829110.1961894673</v>
      </c>
      <c r="BU19" s="15">
        <f>-Ops!BU131</f>
        <v>-3855637.0381388725</v>
      </c>
      <c r="BV19" s="15">
        <f>-Ops!BV131</f>
        <v>-3882347.6495040827</v>
      </c>
      <c r="BW19" s="15">
        <f>-Ops!BW131</f>
        <v>-3909243.303380413</v>
      </c>
      <c r="BX19" s="15">
        <f>-Ops!BX131</f>
        <v>-3936325.2816827716</v>
      </c>
      <c r="BY19" s="15">
        <f>-Ops!BY131</f>
        <v>-3963594.8752067601</v>
      </c>
      <c r="BZ19" s="15">
        <f>-Ops!BZ131</f>
        <v>-3991053.3836901966</v>
      </c>
      <c r="CA19" s="15">
        <f>-Ops!CA131</f>
        <v>-4018702.1158750639</v>
      </c>
      <c r="CB19" s="15">
        <f>-Ops!CB131</f>
        <v>-4046542.3895698879</v>
      </c>
      <c r="CC19" s="15">
        <f>-Ops!CC131</f>
        <v>-4074575.5317125479</v>
      </c>
      <c r="CD19" s="15">
        <f>-Ops!CD131</f>
        <v>-4102802.8784335209</v>
      </c>
      <c r="CE19" s="15">
        <f>-Ops!CE131</f>
        <v>-4131225.7751195645</v>
      </c>
      <c r="CF19" s="15">
        <f>-Ops!CF131</f>
        <v>-4159845.5764778438</v>
      </c>
      <c r="CG19" s="15">
        <f>-Ops!CG131</f>
        <v>-4188663.6466004984</v>
      </c>
      <c r="CH19" s="15">
        <f>-Ops!CH131</f>
        <v>-4217681.3590296581</v>
      </c>
      <c r="CI19" s="15">
        <f>-Ops!CI131</f>
        <v>-4246900.0968229109</v>
      </c>
      <c r="CJ19" s="15">
        <f>-Ops!CJ131</f>
        <v>-4276321.2526192218</v>
      </c>
      <c r="CK19" s="15">
        <f>-Ops!CK131</f>
        <v>-4305946.2287053103</v>
      </c>
      <c r="CL19" s="15">
        <f>-Ops!CL131</f>
        <v>-4335776.4370824872</v>
      </c>
      <c r="CM19" s="15">
        <f>-Ops!CM131</f>
        <v>-4365813.2995339511</v>
      </c>
      <c r="CN19" s="15">
        <f>-Ops!CN131</f>
        <v>-4396058.2476925589</v>
      </c>
    </row>
    <row r="20" spans="3:92" ht="12.75" customHeight="1" x14ac:dyDescent="0.3">
      <c r="C20" s="17"/>
      <c r="D20" s="91" t="s">
        <v>170</v>
      </c>
      <c r="H20" s="16" t="s">
        <v>1</v>
      </c>
      <c r="J20" s="58">
        <f>SUM(L20:CN20)</f>
        <v>-961959695.1765734</v>
      </c>
      <c r="L20" s="50">
        <f t="shared" ref="L20:AQ20" si="7">SUM(L18:L19)</f>
        <v>0</v>
      </c>
      <c r="M20" s="50">
        <f t="shared" si="7"/>
        <v>-5843539</v>
      </c>
      <c r="N20" s="50">
        <f t="shared" si="7"/>
        <v>-5951825.6052365322</v>
      </c>
      <c r="O20" s="50">
        <f t="shared" si="7"/>
        <v>-6064273.6522122771</v>
      </c>
      <c r="P20" s="50">
        <f t="shared" si="7"/>
        <v>-6142712.1461235685</v>
      </c>
      <c r="Q20" s="50">
        <f t="shared" si="7"/>
        <v>-6113248.5887981709</v>
      </c>
      <c r="R20" s="50">
        <f t="shared" si="7"/>
        <v>-6236313.4713251423</v>
      </c>
      <c r="S20" s="50">
        <f t="shared" si="7"/>
        <v>-6344560.5730379643</v>
      </c>
      <c r="T20" s="50">
        <f t="shared" si="7"/>
        <v>-6415819.8647650955</v>
      </c>
      <c r="U20" s="50">
        <f t="shared" si="7"/>
        <v>-6438438.676856244</v>
      </c>
      <c r="V20" s="50">
        <f t="shared" si="7"/>
        <v>-6514504.8700338025</v>
      </c>
      <c r="W20" s="50">
        <f t="shared" si="7"/>
        <v>-6636042.6186547019</v>
      </c>
      <c r="X20" s="50">
        <f t="shared" si="7"/>
        <v>-6719022.0750742368</v>
      </c>
      <c r="Y20" s="50">
        <f t="shared" si="7"/>
        <v>-6708603.1075013503</v>
      </c>
      <c r="Z20" s="50">
        <f t="shared" si="7"/>
        <v>-6841515.965074813</v>
      </c>
      <c r="AA20" s="50">
        <f t="shared" si="7"/>
        <v>-6979831.4967078976</v>
      </c>
      <c r="AB20" s="50">
        <f t="shared" si="7"/>
        <v>-7077701.3589262888</v>
      </c>
      <c r="AC20" s="50">
        <f t="shared" si="7"/>
        <v>-7084867.437257437</v>
      </c>
      <c r="AD20" s="50">
        <f t="shared" si="7"/>
        <v>-7237878.5358154476</v>
      </c>
      <c r="AE20" s="50">
        <f t="shared" si="7"/>
        <v>-7397714.4839563351</v>
      </c>
      <c r="AF20" s="50">
        <f t="shared" si="7"/>
        <v>-7514742.8442487381</v>
      </c>
      <c r="AG20" s="50">
        <f t="shared" si="7"/>
        <v>-7483310.7374429014</v>
      </c>
      <c r="AH20" s="50">
        <f t="shared" si="7"/>
        <v>-7630720.1650575716</v>
      </c>
      <c r="AI20" s="50">
        <f t="shared" si="7"/>
        <v>-7782943.4484519977</v>
      </c>
      <c r="AJ20" s="50">
        <f t="shared" si="7"/>
        <v>-7886950.5426975805</v>
      </c>
      <c r="AK20" s="50">
        <f t="shared" si="7"/>
        <v>-7935512.9058316415</v>
      </c>
      <c r="AL20" s="50">
        <f t="shared" si="7"/>
        <v>-8045431.3373723645</v>
      </c>
      <c r="AM20" s="50">
        <f t="shared" si="7"/>
        <v>-8215181.406765244</v>
      </c>
      <c r="AN20" s="50">
        <f t="shared" si="7"/>
        <v>-8333675.0614671316</v>
      </c>
      <c r="AO20" s="50">
        <f t="shared" si="7"/>
        <v>-8319641.6222835155</v>
      </c>
      <c r="AP20" s="50">
        <f t="shared" si="7"/>
        <v>-8502969.1464890894</v>
      </c>
      <c r="AQ20" s="50">
        <f t="shared" si="7"/>
        <v>-8692981.8202274665</v>
      </c>
      <c r="AR20" s="50">
        <f t="shared" ref="AR20:BW20" si="8">SUM(AR18:AR19)</f>
        <v>-8828361.252220314</v>
      </c>
      <c r="AS20" s="50">
        <f t="shared" si="8"/>
        <v>-8800728.0477469712</v>
      </c>
      <c r="AT20" s="50">
        <f t="shared" si="8"/>
        <v>-9006166.4613138437</v>
      </c>
      <c r="AU20" s="50">
        <f t="shared" si="8"/>
        <v>-9219469.9372029472</v>
      </c>
      <c r="AV20" s="50">
        <f t="shared" si="8"/>
        <v>-9374409.3600259759</v>
      </c>
      <c r="AW20" s="50">
        <f t="shared" si="8"/>
        <v>-9348608.1129694246</v>
      </c>
      <c r="AX20" s="50">
        <f t="shared" si="8"/>
        <v>-9580019.2001581751</v>
      </c>
      <c r="AY20" s="50">
        <f t="shared" si="8"/>
        <v>-9820693.4551290013</v>
      </c>
      <c r="AZ20" s="50">
        <f t="shared" si="8"/>
        <v>-9998679.6824962348</v>
      </c>
      <c r="BA20" s="50">
        <f t="shared" si="8"/>
        <v>-10087567.489262456</v>
      </c>
      <c r="BB20" s="50">
        <f t="shared" si="8"/>
        <v>-10276951.859679244</v>
      </c>
      <c r="BC20" s="50">
        <f t="shared" si="8"/>
        <v>-10551264.81943037</v>
      </c>
      <c r="BD20" s="50">
        <f t="shared" si="8"/>
        <v>-10757468.98235292</v>
      </c>
      <c r="BE20" s="50">
        <f t="shared" si="8"/>
        <v>-10785855.495584145</v>
      </c>
      <c r="BF20" s="50">
        <f t="shared" si="8"/>
        <v>-11087175.292117538</v>
      </c>
      <c r="BG20" s="50">
        <f t="shared" si="8"/>
        <v>-11401534.763044797</v>
      </c>
      <c r="BH20" s="50">
        <f t="shared" si="8"/>
        <v>-11641391.361495949</v>
      </c>
      <c r="BI20" s="50">
        <f t="shared" si="8"/>
        <v>-11665181.133356759</v>
      </c>
      <c r="BJ20" s="50">
        <f t="shared" si="8"/>
        <v>-12010942.191546304</v>
      </c>
      <c r="BK20" s="50">
        <f t="shared" si="8"/>
        <v>-12372169.796613764</v>
      </c>
      <c r="BL20" s="50">
        <f t="shared" si="8"/>
        <v>-12651546.615437431</v>
      </c>
      <c r="BM20" s="50">
        <f t="shared" si="8"/>
        <v>-12702447.24397077</v>
      </c>
      <c r="BN20" s="50">
        <f t="shared" si="8"/>
        <v>-13101522.084161378</v>
      </c>
      <c r="BO20" s="50">
        <f t="shared" si="8"/>
        <v>-13518985.468361221</v>
      </c>
      <c r="BP20" s="50">
        <f t="shared" si="8"/>
        <v>-13845801.389691517</v>
      </c>
      <c r="BQ20" s="50">
        <f t="shared" si="8"/>
        <v>-14030865.086704081</v>
      </c>
      <c r="BR20" s="50">
        <f t="shared" si="8"/>
        <v>-14380520.088146752</v>
      </c>
      <c r="BS20" s="50">
        <f t="shared" si="8"/>
        <v>-14865030.750873046</v>
      </c>
      <c r="BT20" s="50">
        <f t="shared" si="8"/>
        <v>-15248469.778228326</v>
      </c>
      <c r="BU20" s="50">
        <f t="shared" si="8"/>
        <v>-15291225.36725945</v>
      </c>
      <c r="BV20" s="50">
        <f t="shared" si="8"/>
        <v>-15827218.172610134</v>
      </c>
      <c r="BW20" s="50">
        <f t="shared" si="8"/>
        <v>-16389160.46638828</v>
      </c>
      <c r="BX20" s="50">
        <f t="shared" ref="BX20:CN20" si="9">SUM(BX18:BX19)</f>
        <v>-16838202.788613889</v>
      </c>
      <c r="BY20" s="50">
        <f t="shared" si="9"/>
        <v>-16979987.801441863</v>
      </c>
      <c r="BZ20" s="50">
        <f t="shared" si="9"/>
        <v>-17606694.659806468</v>
      </c>
      <c r="CA20" s="50">
        <f t="shared" si="9"/>
        <v>-18264374.144810088</v>
      </c>
      <c r="CB20" s="50">
        <f t="shared" si="9"/>
        <v>-18794386.925475068</v>
      </c>
      <c r="CC20" s="50">
        <f t="shared" si="9"/>
        <v>-18953345.099203203</v>
      </c>
      <c r="CD20" s="50">
        <f t="shared" si="9"/>
        <v>-19687480.614112273</v>
      </c>
      <c r="CE20" s="50">
        <f t="shared" si="9"/>
        <v>-20458557.683323737</v>
      </c>
      <c r="CF20" s="50">
        <f t="shared" si="9"/>
        <v>-21084601.891383074</v>
      </c>
      <c r="CG20" s="50">
        <f t="shared" si="9"/>
        <v>-21547340.527809821</v>
      </c>
      <c r="CH20" s="50">
        <f t="shared" si="9"/>
        <v>-22222462.248412367</v>
      </c>
      <c r="CI20" s="50">
        <f t="shared" si="9"/>
        <v>-23132606.749867834</v>
      </c>
      <c r="CJ20" s="50">
        <f t="shared" si="9"/>
        <v>-23876367.171850417</v>
      </c>
      <c r="CK20" s="50">
        <f t="shared" si="9"/>
        <v>-24210738.25750757</v>
      </c>
      <c r="CL20" s="50">
        <f t="shared" si="9"/>
        <v>-25234586.788627829</v>
      </c>
      <c r="CM20" s="50">
        <f t="shared" si="9"/>
        <v>-26311508.750626083</v>
      </c>
      <c r="CN20" s="50">
        <f t="shared" si="9"/>
        <v>-27196547.302429512</v>
      </c>
    </row>
    <row r="21" spans="3:92" ht="12.75" customHeight="1" x14ac:dyDescent="0.3">
      <c r="C21" s="17"/>
      <c r="D21" s="75"/>
      <c r="H21" s="16"/>
    </row>
    <row r="22" spans="3:92" ht="12.75" customHeight="1" x14ac:dyDescent="0.3">
      <c r="C22" s="17" t="s">
        <v>207</v>
      </c>
      <c r="D22" s="75"/>
      <c r="H22" s="16" t="s">
        <v>1</v>
      </c>
      <c r="J22" s="58">
        <f>SUM(L22:CN22)</f>
        <v>1286635835.2962041</v>
      </c>
      <c r="L22" s="77">
        <f>SUM(L15,L20)</f>
        <v>0</v>
      </c>
      <c r="M22" s="77">
        <f t="shared" ref="M22:O22" si="10">SUM(M15,M20)</f>
        <v>8503384.5223999992</v>
      </c>
      <c r="N22" s="77">
        <f t="shared" si="10"/>
        <v>8659525.4506796282</v>
      </c>
      <c r="O22" s="77">
        <f t="shared" si="10"/>
        <v>9187749.4142112788</v>
      </c>
      <c r="P22" s="77">
        <f t="shared" ref="P22:CA22" si="11">SUM(P15,P20)</f>
        <v>9228648.9777948484</v>
      </c>
      <c r="Q22" s="77">
        <f t="shared" si="11"/>
        <v>8991566.013565287</v>
      </c>
      <c r="R22" s="77">
        <f t="shared" si="11"/>
        <v>9166465.062875485</v>
      </c>
      <c r="S22" s="77">
        <f t="shared" si="11"/>
        <v>9678927.7948031053</v>
      </c>
      <c r="T22" s="77">
        <f t="shared" si="11"/>
        <v>9680930.2457534634</v>
      </c>
      <c r="U22" s="77">
        <f t="shared" si="11"/>
        <v>9543813.6894476507</v>
      </c>
      <c r="V22" s="77">
        <f t="shared" si="11"/>
        <v>9549433.8306913264</v>
      </c>
      <c r="W22" s="77">
        <f t="shared" si="11"/>
        <v>10115872.273426842</v>
      </c>
      <c r="X22" s="77">
        <f t="shared" si="11"/>
        <v>10127253.303826272</v>
      </c>
      <c r="Y22" s="77">
        <f t="shared" si="11"/>
        <v>9854569.4310353436</v>
      </c>
      <c r="Z22" s="77">
        <f t="shared" si="11"/>
        <v>10010566.095850268</v>
      </c>
      <c r="AA22" s="77">
        <f t="shared" si="11"/>
        <v>10528531.535937063</v>
      </c>
      <c r="AB22" s="77">
        <f t="shared" si="11"/>
        <v>10553978.302059755</v>
      </c>
      <c r="AC22" s="77">
        <f t="shared" si="11"/>
        <v>10290069.188362835</v>
      </c>
      <c r="AD22" s="77">
        <f t="shared" si="11"/>
        <v>10466944.068836294</v>
      </c>
      <c r="AE22" s="77">
        <f t="shared" si="11"/>
        <v>11074569.501622202</v>
      </c>
      <c r="AF22" s="77">
        <f t="shared" si="11"/>
        <v>11115221.790224105</v>
      </c>
      <c r="AG22" s="77">
        <f t="shared" si="11"/>
        <v>10798573.268612413</v>
      </c>
      <c r="AH22" s="77">
        <f t="shared" si="11"/>
        <v>10950404.642784154</v>
      </c>
      <c r="AI22" s="77">
        <f t="shared" si="11"/>
        <v>11605193.691176152</v>
      </c>
      <c r="AJ22" s="77">
        <f t="shared" si="11"/>
        <v>11610897.557652866</v>
      </c>
      <c r="AK22" s="77">
        <f t="shared" si="11"/>
        <v>11457137.689971138</v>
      </c>
      <c r="AL22" s="77">
        <f t="shared" si="11"/>
        <v>11465734.281805819</v>
      </c>
      <c r="AM22" s="77">
        <f t="shared" si="11"/>
        <v>12086231.72314452</v>
      </c>
      <c r="AN22" s="77">
        <f t="shared" si="11"/>
        <v>12100551.941061491</v>
      </c>
      <c r="AO22" s="77">
        <f t="shared" si="11"/>
        <v>11779201.168429106</v>
      </c>
      <c r="AP22" s="77">
        <f t="shared" si="11"/>
        <v>11962121.722893989</v>
      </c>
      <c r="AQ22" s="77">
        <f t="shared" si="11"/>
        <v>12688551.66252302</v>
      </c>
      <c r="AR22" s="77">
        <f t="shared" si="11"/>
        <v>12715319.281726658</v>
      </c>
      <c r="AS22" s="77">
        <f t="shared" si="11"/>
        <v>12381915.427776206</v>
      </c>
      <c r="AT22" s="77">
        <f t="shared" si="11"/>
        <v>12585559.389995497</v>
      </c>
      <c r="AU22" s="77">
        <f t="shared" si="11"/>
        <v>13303916.394525724</v>
      </c>
      <c r="AV22" s="77">
        <f t="shared" si="11"/>
        <v>13343012.711304195</v>
      </c>
      <c r="AW22" s="77">
        <f t="shared" si="11"/>
        <v>13007552.067082163</v>
      </c>
      <c r="AX22" s="77">
        <f t="shared" si="11"/>
        <v>13232179.19300301</v>
      </c>
      <c r="AY22" s="77">
        <f t="shared" si="11"/>
        <v>14060635.00276266</v>
      </c>
      <c r="AZ22" s="77">
        <f t="shared" si="11"/>
        <v>14117554.609035991</v>
      </c>
      <c r="BA22" s="77">
        <f t="shared" si="11"/>
        <v>13980710.227224102</v>
      </c>
      <c r="BB22" s="77">
        <f t="shared" si="11"/>
        <v>14043022.678292625</v>
      </c>
      <c r="BC22" s="77">
        <f t="shared" si="11"/>
        <v>14950470.400166892</v>
      </c>
      <c r="BD22" s="77">
        <f t="shared" si="11"/>
        <v>15028473.633527286</v>
      </c>
      <c r="BE22" s="77">
        <f t="shared" si="11"/>
        <v>14699582.248867493</v>
      </c>
      <c r="BF22" s="77">
        <f t="shared" si="11"/>
        <v>14985664.690018391</v>
      </c>
      <c r="BG22" s="77">
        <f t="shared" si="11"/>
        <v>15873159.032028385</v>
      </c>
      <c r="BH22" s="77">
        <f t="shared" si="11"/>
        <v>15972233.694433361</v>
      </c>
      <c r="BI22" s="77">
        <f t="shared" si="11"/>
        <v>15638500.98489842</v>
      </c>
      <c r="BJ22" s="77">
        <f t="shared" si="11"/>
        <v>15958289.036003156</v>
      </c>
      <c r="BK22" s="77">
        <f t="shared" si="11"/>
        <v>17016497.113515388</v>
      </c>
      <c r="BL22" s="77">
        <f t="shared" si="11"/>
        <v>17144754.568320379</v>
      </c>
      <c r="BM22" s="77">
        <f t="shared" si="11"/>
        <v>16814592.496819809</v>
      </c>
      <c r="BN22" s="77">
        <f t="shared" si="11"/>
        <v>17179061.111323591</v>
      </c>
      <c r="BO22" s="77">
        <f t="shared" si="11"/>
        <v>18274165.982170336</v>
      </c>
      <c r="BP22" s="77">
        <f t="shared" si="11"/>
        <v>18433612.376666259</v>
      </c>
      <c r="BQ22" s="77">
        <f t="shared" si="11"/>
        <v>18351599.135479912</v>
      </c>
      <c r="BR22" s="77">
        <f t="shared" si="11"/>
        <v>18521533.306179166</v>
      </c>
      <c r="BS22" s="77">
        <f t="shared" si="11"/>
        <v>19838055.912786193</v>
      </c>
      <c r="BT22" s="77">
        <f t="shared" si="11"/>
        <v>20039907.192239396</v>
      </c>
      <c r="BU22" s="77">
        <f t="shared" si="11"/>
        <v>19713070.506815165</v>
      </c>
      <c r="BV22" s="77">
        <f t="shared" si="11"/>
        <v>20189646.367448635</v>
      </c>
      <c r="BW22" s="77">
        <f t="shared" si="11"/>
        <v>21602309.879021734</v>
      </c>
      <c r="BX22" s="77">
        <f t="shared" si="11"/>
        <v>21852567.701726254</v>
      </c>
      <c r="BY22" s="77">
        <f t="shared" si="11"/>
        <v>21539491.635400034</v>
      </c>
      <c r="BZ22" s="77">
        <f t="shared" si="11"/>
        <v>22087912.114396319</v>
      </c>
      <c r="CA22" s="77">
        <f t="shared" si="11"/>
        <v>23634599.484376751</v>
      </c>
      <c r="CB22" s="77">
        <f t="shared" ref="CB22:CN22" si="12">SUM(CB15,CB20)</f>
        <v>23940390.666874252</v>
      </c>
      <c r="CC22" s="77">
        <f t="shared" si="12"/>
        <v>23639709.308282714</v>
      </c>
      <c r="CD22" s="77">
        <f t="shared" si="12"/>
        <v>24271344.621351905</v>
      </c>
      <c r="CE22" s="77">
        <f t="shared" si="12"/>
        <v>26029558.950592432</v>
      </c>
      <c r="CF22" s="77">
        <f t="shared" si="12"/>
        <v>26402674.354653418</v>
      </c>
      <c r="CG22" s="77">
        <f t="shared" si="12"/>
        <v>26451547.902103133</v>
      </c>
      <c r="CH22" s="77">
        <f t="shared" si="12"/>
        <v>26845245.748488117</v>
      </c>
      <c r="CI22" s="77">
        <f t="shared" si="12"/>
        <v>28910701.466776922</v>
      </c>
      <c r="CJ22" s="77">
        <f t="shared" si="12"/>
        <v>29366287.645192686</v>
      </c>
      <c r="CK22" s="77">
        <f t="shared" si="12"/>
        <v>29094551.132298224</v>
      </c>
      <c r="CL22" s="77">
        <f t="shared" si="12"/>
        <v>29945829.442915846</v>
      </c>
      <c r="CM22" s="77">
        <f t="shared" si="12"/>
        <v>32123108.727587428</v>
      </c>
      <c r="CN22" s="77">
        <f t="shared" si="12"/>
        <v>32671137.898271315</v>
      </c>
    </row>
    <row r="23" spans="3:92" ht="12.75" customHeight="1" x14ac:dyDescent="0.3">
      <c r="C23" s="17"/>
      <c r="D23" s="75"/>
      <c r="H23" s="16"/>
    </row>
    <row r="24" spans="3:92" ht="12.75" customHeight="1" x14ac:dyDescent="0.3">
      <c r="C24" s="17"/>
      <c r="D24" s="129" t="s">
        <v>270</v>
      </c>
      <c r="H24" s="16" t="s">
        <v>1</v>
      </c>
      <c r="J24" s="58">
        <f>SUM(L24:CN24)</f>
        <v>-168400000</v>
      </c>
      <c r="L24" s="58">
        <f>CapexDA!L119</f>
        <v>0</v>
      </c>
      <c r="M24" s="58">
        <f>CapexDA!M119</f>
        <v>-10525000</v>
      </c>
      <c r="N24" s="58">
        <f>CapexDA!N119</f>
        <v>-10525000</v>
      </c>
      <c r="O24" s="58">
        <f>CapexDA!O119</f>
        <v>-10525000</v>
      </c>
      <c r="P24" s="58">
        <f>CapexDA!P119</f>
        <v>-10525000</v>
      </c>
      <c r="Q24" s="58">
        <f>CapexDA!Q119</f>
        <v>-10525000</v>
      </c>
      <c r="R24" s="58">
        <f>CapexDA!R119</f>
        <v>-10525000</v>
      </c>
      <c r="S24" s="58">
        <f>CapexDA!S119</f>
        <v>-10525000</v>
      </c>
      <c r="T24" s="58">
        <f>CapexDA!T119</f>
        <v>-8420000</v>
      </c>
      <c r="U24" s="58">
        <f>CapexDA!U119</f>
        <v>-8420000</v>
      </c>
      <c r="V24" s="58">
        <f>CapexDA!V119</f>
        <v>-8420000</v>
      </c>
      <c r="W24" s="58">
        <f>CapexDA!W119</f>
        <v>-8420000</v>
      </c>
      <c r="X24" s="58">
        <f>CapexDA!X119</f>
        <v>-8420000</v>
      </c>
      <c r="Y24" s="58">
        <f>CapexDA!Y119</f>
        <v>-8420000</v>
      </c>
      <c r="Z24" s="58">
        <f>CapexDA!Z119</f>
        <v>-8420000</v>
      </c>
      <c r="AA24" s="58">
        <f>CapexDA!AA119</f>
        <v>-8420000</v>
      </c>
      <c r="AB24" s="58">
        <f>CapexDA!AB119</f>
        <v>-8420000</v>
      </c>
      <c r="AC24" s="58">
        <f>CapexDA!AC119</f>
        <v>-8420000</v>
      </c>
      <c r="AD24" s="58">
        <f>CapexDA!AD119</f>
        <v>-8420000</v>
      </c>
      <c r="AE24" s="58">
        <f>CapexDA!AE119</f>
        <v>-2105000</v>
      </c>
      <c r="AF24" s="58">
        <f>CapexDA!AF119</f>
        <v>0</v>
      </c>
      <c r="AG24" s="58">
        <f>CapexDA!AG119</f>
        <v>0</v>
      </c>
      <c r="AH24" s="58">
        <f>CapexDA!AH119</f>
        <v>0</v>
      </c>
      <c r="AI24" s="58">
        <f>CapexDA!AI119</f>
        <v>0</v>
      </c>
      <c r="AJ24" s="58">
        <f>CapexDA!AJ119</f>
        <v>0</v>
      </c>
      <c r="AK24" s="58">
        <f>CapexDA!AK119</f>
        <v>0</v>
      </c>
      <c r="AL24" s="58">
        <f>CapexDA!AL119</f>
        <v>0</v>
      </c>
      <c r="AM24" s="58">
        <f>CapexDA!AM119</f>
        <v>0</v>
      </c>
      <c r="AN24" s="58">
        <f>CapexDA!AN119</f>
        <v>0</v>
      </c>
      <c r="AO24" s="58">
        <f>CapexDA!AO119</f>
        <v>0</v>
      </c>
      <c r="AP24" s="58">
        <f>CapexDA!AP119</f>
        <v>0</v>
      </c>
      <c r="AQ24" s="58">
        <f>CapexDA!AQ119</f>
        <v>0</v>
      </c>
      <c r="AR24" s="58">
        <f>CapexDA!AR119</f>
        <v>0</v>
      </c>
      <c r="AS24" s="58">
        <f>CapexDA!AS119</f>
        <v>0</v>
      </c>
      <c r="AT24" s="58">
        <f>CapexDA!AT119</f>
        <v>0</v>
      </c>
      <c r="AU24" s="58">
        <f>CapexDA!AU119</f>
        <v>0</v>
      </c>
      <c r="AV24" s="58">
        <f>CapexDA!AV119</f>
        <v>0</v>
      </c>
      <c r="AW24" s="58">
        <f>CapexDA!AW119</f>
        <v>0</v>
      </c>
      <c r="AX24" s="58">
        <f>CapexDA!AX119</f>
        <v>0</v>
      </c>
      <c r="AY24" s="58">
        <f>CapexDA!AY119</f>
        <v>0</v>
      </c>
      <c r="AZ24" s="58">
        <f>CapexDA!AZ119</f>
        <v>0</v>
      </c>
      <c r="BA24" s="58">
        <f>CapexDA!BA119</f>
        <v>0</v>
      </c>
      <c r="BB24" s="58">
        <f>CapexDA!BB119</f>
        <v>0</v>
      </c>
      <c r="BC24" s="58">
        <f>CapexDA!BC119</f>
        <v>0</v>
      </c>
      <c r="BD24" s="58">
        <f>CapexDA!BD119</f>
        <v>0</v>
      </c>
      <c r="BE24" s="58">
        <f>CapexDA!BE119</f>
        <v>0</v>
      </c>
      <c r="BF24" s="58">
        <f>CapexDA!BF119</f>
        <v>0</v>
      </c>
      <c r="BG24" s="58">
        <f>CapexDA!BG119</f>
        <v>0</v>
      </c>
      <c r="BH24" s="58">
        <f>CapexDA!BH119</f>
        <v>0</v>
      </c>
      <c r="BI24" s="58">
        <f>CapexDA!BI119</f>
        <v>0</v>
      </c>
      <c r="BJ24" s="58">
        <f>CapexDA!BJ119</f>
        <v>0</v>
      </c>
      <c r="BK24" s="58">
        <f>CapexDA!BK119</f>
        <v>0</v>
      </c>
      <c r="BL24" s="58">
        <f>CapexDA!BL119</f>
        <v>0</v>
      </c>
      <c r="BM24" s="58">
        <f>CapexDA!BM119</f>
        <v>0</v>
      </c>
      <c r="BN24" s="58">
        <f>CapexDA!BN119</f>
        <v>0</v>
      </c>
      <c r="BO24" s="58">
        <f>CapexDA!BO119</f>
        <v>0</v>
      </c>
      <c r="BP24" s="58">
        <f>CapexDA!BP119</f>
        <v>0</v>
      </c>
      <c r="BQ24" s="58">
        <f>CapexDA!BQ119</f>
        <v>0</v>
      </c>
      <c r="BR24" s="58">
        <f>CapexDA!BR119</f>
        <v>0</v>
      </c>
      <c r="BS24" s="58">
        <f>CapexDA!BS119</f>
        <v>0</v>
      </c>
      <c r="BT24" s="58">
        <f>CapexDA!BT119</f>
        <v>0</v>
      </c>
      <c r="BU24" s="58">
        <f>CapexDA!BU119</f>
        <v>0</v>
      </c>
      <c r="BV24" s="58">
        <f>CapexDA!BV119</f>
        <v>0</v>
      </c>
      <c r="BW24" s="58">
        <f>CapexDA!BW119</f>
        <v>0</v>
      </c>
      <c r="BX24" s="58">
        <f>CapexDA!BX119</f>
        <v>0</v>
      </c>
      <c r="BY24" s="58">
        <f>CapexDA!BY119</f>
        <v>0</v>
      </c>
      <c r="BZ24" s="58">
        <f>CapexDA!BZ119</f>
        <v>0</v>
      </c>
      <c r="CA24" s="58">
        <f>CapexDA!CA119</f>
        <v>0</v>
      </c>
      <c r="CB24" s="58">
        <f>CapexDA!CB119</f>
        <v>0</v>
      </c>
      <c r="CC24" s="58">
        <f>CapexDA!CC119</f>
        <v>0</v>
      </c>
      <c r="CD24" s="58">
        <f>CapexDA!CD119</f>
        <v>0</v>
      </c>
      <c r="CE24" s="58">
        <f>CapexDA!CE119</f>
        <v>0</v>
      </c>
      <c r="CF24" s="58">
        <f>CapexDA!CF119</f>
        <v>0</v>
      </c>
      <c r="CG24" s="58">
        <f>CapexDA!CG119</f>
        <v>0</v>
      </c>
      <c r="CH24" s="58">
        <f>CapexDA!CH119</f>
        <v>0</v>
      </c>
      <c r="CI24" s="58">
        <f>CapexDA!CI119</f>
        <v>0</v>
      </c>
      <c r="CJ24" s="58">
        <f>CapexDA!CJ119</f>
        <v>0</v>
      </c>
      <c r="CK24" s="58">
        <f>CapexDA!CK119</f>
        <v>0</v>
      </c>
      <c r="CL24" s="58">
        <f>CapexDA!CL119</f>
        <v>0</v>
      </c>
      <c r="CM24" s="58">
        <f>CapexDA!CM119</f>
        <v>0</v>
      </c>
      <c r="CN24" s="58">
        <f>CapexDA!CN119</f>
        <v>0</v>
      </c>
    </row>
    <row r="25" spans="3:92" ht="12.75" customHeight="1" x14ac:dyDescent="0.3">
      <c r="C25" s="17"/>
      <c r="D25" s="129" t="s">
        <v>271</v>
      </c>
      <c r="H25" s="16" t="s">
        <v>1</v>
      </c>
      <c r="J25" s="58">
        <f ca="1">SUM(L25:CN25)</f>
        <v>-108643621.39060709</v>
      </c>
      <c r="L25" s="58">
        <f>CapexDA!L131</f>
        <v>0</v>
      </c>
      <c r="M25" s="58">
        <f ca="1">CapexDA!M131</f>
        <v>0</v>
      </c>
      <c r="N25" s="58">
        <f ca="1">CapexDA!N131</f>
        <v>-50000</v>
      </c>
      <c r="O25" s="58">
        <f ca="1">CapexDA!O131</f>
        <v>-212786.64125486772</v>
      </c>
      <c r="P25" s="58">
        <f ca="1">CapexDA!P131</f>
        <v>-326850.76795559691</v>
      </c>
      <c r="Q25" s="58">
        <f ca="1">CapexDA!Q131</f>
        <v>-445958.95811639383</v>
      </c>
      <c r="R25" s="58">
        <f ca="1">CapexDA!R131</f>
        <v>-497358.95811639383</v>
      </c>
      <c r="S25" s="58">
        <f ca="1">CapexDA!S131</f>
        <v>-549115.04075866309</v>
      </c>
      <c r="T25" s="58">
        <f ca="1">CapexDA!T131</f>
        <v>-601229.67286904063</v>
      </c>
      <c r="U25" s="58">
        <f ca="1">CapexDA!U131</f>
        <v>-653705.33836274035</v>
      </c>
      <c r="V25" s="58">
        <f ca="1">CapexDA!V131</f>
        <v>-706544.53836274031</v>
      </c>
      <c r="W25" s="58">
        <f ca="1">CapexDA!W131</f>
        <v>-759749.79131899308</v>
      </c>
      <c r="X25" s="58">
        <f ca="1">CapexDA!X131</f>
        <v>-813323.6331284612</v>
      </c>
      <c r="Y25" s="58">
        <f ca="1">CapexDA!Y131</f>
        <v>-867268.61725598457</v>
      </c>
      <c r="Z25" s="58">
        <f ca="1">CapexDA!Z131</f>
        <v>-921587.31485598453</v>
      </c>
      <c r="AA25" s="58">
        <f ca="1">CapexDA!AA131</f>
        <v>-934326.9949839639</v>
      </c>
      <c r="AB25" s="58">
        <f ca="1">CapexDA!AB131</f>
        <v>-989400.90436409716</v>
      </c>
      <c r="AC25" s="58">
        <f ca="1">CapexDA!AC131</f>
        <v>-1002317.7087040493</v>
      </c>
      <c r="AD25" s="58">
        <f ca="1">CapexDA!AD131</f>
        <v>-1058157.3298368494</v>
      </c>
      <c r="AE25" s="58">
        <f ca="1">CapexDA!AE131</f>
        <v>-1114383.78987697</v>
      </c>
      <c r="AF25" s="58">
        <f ca="1">CapexDA!AF131</f>
        <v>-1107630.8094415639</v>
      </c>
      <c r="AG25" s="58">
        <f ca="1">CapexDA!AG131</f>
        <v>-1164639.0055477843</v>
      </c>
      <c r="AH25" s="58">
        <f ca="1">CapexDA!AH131</f>
        <v>-1172042.1360723027</v>
      </c>
      <c r="AI25" s="58">
        <f ca="1">CapexDA!AI131</f>
        <v>-1109011.6156497274</v>
      </c>
      <c r="AJ25" s="58">
        <f ca="1">CapexDA!AJ131</f>
        <v>-1116517.6744775558</v>
      </c>
      <c r="AK25" s="58">
        <f ca="1">CapexDA!AK131</f>
        <v>-1098552.5492570952</v>
      </c>
      <c r="AL25" s="58">
        <f ca="1">CapexDA!AL131</f>
        <v>-1106162.9674363001</v>
      </c>
      <c r="AM25" s="58">
        <f ca="1">CapexDA!AM131</f>
        <v>-1113826.1081410695</v>
      </c>
      <c r="AN25" s="58">
        <f ca="1">CapexDA!AN131</f>
        <v>-1121542.3366160772</v>
      </c>
      <c r="AO25" s="58">
        <f ca="1">CapexDA!AO131</f>
        <v>-1129312.0206362936</v>
      </c>
      <c r="AP25" s="58">
        <f ca="1">CapexDA!AP131</f>
        <v>-1137135.5305245162</v>
      </c>
      <c r="AQ25" s="58">
        <f ca="1">CapexDA!AQ131</f>
        <v>-1145013.2391690195</v>
      </c>
      <c r="AR25" s="58">
        <f ca="1">CapexDA!AR131</f>
        <v>-1152945.5220413276</v>
      </c>
      <c r="AS25" s="58">
        <f ca="1">CapexDA!AS131</f>
        <v>-1160932.7572141099</v>
      </c>
      <c r="AT25" s="58">
        <f ca="1">CapexDA!AT131</f>
        <v>-1168975.3253792026</v>
      </c>
      <c r="AU25" s="58">
        <f ca="1">CapexDA!AU131</f>
        <v>-1177073.6098657516</v>
      </c>
      <c r="AV25" s="58">
        <f ca="1">CapexDA!AV131</f>
        <v>-1185227.996658484</v>
      </c>
      <c r="AW25" s="58">
        <f ca="1">CapexDA!AW131</f>
        <v>-1193438.8744161041</v>
      </c>
      <c r="AX25" s="58">
        <f ca="1">CapexDA!AX131</f>
        <v>-1201706.6344898196</v>
      </c>
      <c r="AY25" s="58">
        <f ca="1">CapexDA!AY131</f>
        <v>-1210031.6709419922</v>
      </c>
      <c r="AZ25" s="58">
        <f ca="1">CapexDA!AZ131</f>
        <v>-1218414.3805649211</v>
      </c>
      <c r="BA25" s="58">
        <f ca="1">CapexDA!BA131</f>
        <v>-1226855.1628997547</v>
      </c>
      <c r="BB25" s="58">
        <f ca="1">CapexDA!BB131</f>
        <v>-1235354.4202555341</v>
      </c>
      <c r="BC25" s="58">
        <f ca="1">CapexDA!BC131</f>
        <v>-1243912.5577283674</v>
      </c>
      <c r="BD25" s="58">
        <f ca="1">CapexDA!BD131</f>
        <v>-1252529.9832207381</v>
      </c>
      <c r="BE25" s="58">
        <f ca="1">CapexDA!BE131</f>
        <v>-1261207.1074609475</v>
      </c>
      <c r="BF25" s="58">
        <f ca="1">CapexDA!BF131</f>
        <v>-1269944.3440226887</v>
      </c>
      <c r="BG25" s="58">
        <f ca="1">CapexDA!BG131</f>
        <v>-1278742.1093447614</v>
      </c>
      <c r="BH25" s="58">
        <f ca="1">CapexDA!BH131</f>
        <v>-1287600.8227509188</v>
      </c>
      <c r="BI25" s="58">
        <f ca="1">CapexDA!BI131</f>
        <v>-1296520.9064698538</v>
      </c>
      <c r="BJ25" s="58">
        <f ca="1">CapexDA!BJ131</f>
        <v>-1305502.7856553234</v>
      </c>
      <c r="BK25" s="58">
        <f ca="1">CapexDA!BK131</f>
        <v>-1314546.8884064145</v>
      </c>
      <c r="BL25" s="58">
        <f ca="1">CapexDA!BL131</f>
        <v>-1323653.6457879441</v>
      </c>
      <c r="BM25" s="58">
        <f ca="1">CapexDA!BM131</f>
        <v>-1332823.491851009</v>
      </c>
      <c r="BN25" s="58">
        <f ca="1">CapexDA!BN131</f>
        <v>-1342056.8636536724</v>
      </c>
      <c r="BO25" s="58">
        <f ca="1">CapexDA!BO131</f>
        <v>-1351354.2012817934</v>
      </c>
      <c r="BP25" s="58">
        <f ca="1">CapexDA!BP131</f>
        <v>-1360715.9478700061</v>
      </c>
      <c r="BQ25" s="58">
        <f ca="1">CapexDA!BQ131</f>
        <v>-1370142.549622837</v>
      </c>
      <c r="BR25" s="58">
        <f ca="1">CapexDA!BR131</f>
        <v>-1379634.4558359745</v>
      </c>
      <c r="BS25" s="58">
        <f ca="1">CapexDA!BS131</f>
        <v>-1389192.1189176834</v>
      </c>
      <c r="BT25" s="58">
        <f ca="1">CapexDA!BT131</f>
        <v>-1398815.9944103658</v>
      </c>
      <c r="BU25" s="58">
        <f ca="1">CapexDA!BU131</f>
        <v>-1408506.5410122764</v>
      </c>
      <c r="BV25" s="58">
        <f ca="1">CapexDA!BV131</f>
        <v>-1418264.2205993815</v>
      </c>
      <c r="BW25" s="58">
        <f ca="1">CapexDA!BW131</f>
        <v>-1428089.498247378</v>
      </c>
      <c r="BX25" s="58">
        <f ca="1">CapexDA!BX131</f>
        <v>-1437982.8422538559</v>
      </c>
      <c r="BY25" s="58">
        <f ca="1">CapexDA!BY131</f>
        <v>-1447944.7241606195</v>
      </c>
      <c r="BZ25" s="58">
        <f ca="1">CapexDA!BZ131</f>
        <v>-1457975.618776164</v>
      </c>
      <c r="CA25" s="58">
        <f ca="1">CapexDA!CA131</f>
        <v>-1468076.0041983044</v>
      </c>
      <c r="CB25" s="58">
        <f ca="1">CapexDA!CB131</f>
        <v>-1478246.3618369631</v>
      </c>
      <c r="CC25" s="58">
        <f ca="1">CapexDA!CC131</f>
        <v>-1488487.1764371162</v>
      </c>
      <c r="CD25" s="58">
        <f ca="1">CapexDA!CD131</f>
        <v>-1498798.9361018962</v>
      </c>
      <c r="CE25" s="58">
        <f ca="1">CapexDA!CE131</f>
        <v>-1509182.1323158566</v>
      </c>
      <c r="CF25" s="58">
        <f ca="1">CapexDA!CF131</f>
        <v>-1519637.2599683979</v>
      </c>
      <c r="CG25" s="58">
        <f ca="1">CapexDA!CG131</f>
        <v>-1530164.8173773554</v>
      </c>
      <c r="CH25" s="58">
        <f ca="1">CapexDA!CH131</f>
        <v>-1540765.3063127487</v>
      </c>
      <c r="CI25" s="58">
        <f ca="1">CapexDA!CI131</f>
        <v>-1551439.2320206999</v>
      </c>
      <c r="CJ25" s="58">
        <f ca="1">CapexDA!CJ131</f>
        <v>-1562187.1032475126</v>
      </c>
      <c r="CK25" s="58">
        <f ca="1">CapexDA!CK131</f>
        <v>-1573009.4322639205</v>
      </c>
      <c r="CL25" s="58">
        <f ca="1">CapexDA!CL131</f>
        <v>-1583906.7348895054</v>
      </c>
      <c r="CM25" s="58">
        <f ca="1">CapexDA!CM131</f>
        <v>-1594879.5305172794</v>
      </c>
      <c r="CN25" s="58">
        <f ca="1">CapexDA!CN131</f>
        <v>-17230772.795960445</v>
      </c>
    </row>
    <row r="26" spans="3:92" ht="12.75" customHeight="1" x14ac:dyDescent="0.3">
      <c r="C26" s="17"/>
      <c r="D26" s="75"/>
      <c r="H26" s="16"/>
    </row>
    <row r="27" spans="3:92" ht="12.75" customHeight="1" x14ac:dyDescent="0.3">
      <c r="C27" s="17" t="s">
        <v>208</v>
      </c>
      <c r="D27" s="75"/>
      <c r="H27" s="16" t="s">
        <v>1</v>
      </c>
      <c r="J27" s="58">
        <f ca="1">SUM(L27:CN27)</f>
        <v>1009592213.9055966</v>
      </c>
      <c r="L27" s="77">
        <f>SUM(L22,L24:L25)</f>
        <v>0</v>
      </c>
      <c r="M27" s="77">
        <f t="shared" ref="M27:O27" ca="1" si="13">SUM(M22,M24:M25)</f>
        <v>-2021615.4776000008</v>
      </c>
      <c r="N27" s="77">
        <f t="shared" ca="1" si="13"/>
        <v>-1915474.5493203718</v>
      </c>
      <c r="O27" s="77">
        <f t="shared" ca="1" si="13"/>
        <v>-1550037.2270435889</v>
      </c>
      <c r="P27" s="77">
        <f t="shared" ref="P27:CA27" ca="1" si="14">SUM(P22,P24:P25)</f>
        <v>-1623201.7901607486</v>
      </c>
      <c r="Q27" s="77">
        <f t="shared" ca="1" si="14"/>
        <v>-1979392.9445511068</v>
      </c>
      <c r="R27" s="77">
        <f t="shared" ca="1" si="14"/>
        <v>-1855893.8952409087</v>
      </c>
      <c r="S27" s="77">
        <f t="shared" ca="1" si="14"/>
        <v>-1395187.2459555578</v>
      </c>
      <c r="T27" s="77">
        <f t="shared" ca="1" si="14"/>
        <v>659700.57288442273</v>
      </c>
      <c r="U27" s="77">
        <f t="shared" ca="1" si="14"/>
        <v>470108.35108491033</v>
      </c>
      <c r="V27" s="77">
        <f t="shared" ca="1" si="14"/>
        <v>422889.2923285861</v>
      </c>
      <c r="W27" s="77">
        <f t="shared" ca="1" si="14"/>
        <v>936122.48210784886</v>
      </c>
      <c r="X27" s="77">
        <f t="shared" ca="1" si="14"/>
        <v>893929.67069781129</v>
      </c>
      <c r="Y27" s="77">
        <f t="shared" ca="1" si="14"/>
        <v>567300.81377935898</v>
      </c>
      <c r="Z27" s="77">
        <f t="shared" ca="1" si="14"/>
        <v>668978.78099428385</v>
      </c>
      <c r="AA27" s="77">
        <f t="shared" ca="1" si="14"/>
        <v>1174204.5409530995</v>
      </c>
      <c r="AB27" s="77">
        <f t="shared" ca="1" si="14"/>
        <v>1144577.3976956576</v>
      </c>
      <c r="AC27" s="77">
        <f t="shared" ca="1" si="14"/>
        <v>867751.47965878563</v>
      </c>
      <c r="AD27" s="77">
        <f t="shared" ca="1" si="14"/>
        <v>988786.73899944476</v>
      </c>
      <c r="AE27" s="77">
        <f t="shared" ca="1" si="14"/>
        <v>7855185.7117452323</v>
      </c>
      <c r="AF27" s="77">
        <f t="shared" ca="1" si="14"/>
        <v>10007590.980782541</v>
      </c>
      <c r="AG27" s="77">
        <f t="shared" ca="1" si="14"/>
        <v>9633934.2630646285</v>
      </c>
      <c r="AH27" s="77">
        <f t="shared" ca="1" si="14"/>
        <v>9778362.5067118518</v>
      </c>
      <c r="AI27" s="77">
        <f t="shared" ca="1" si="14"/>
        <v>10496182.075526424</v>
      </c>
      <c r="AJ27" s="77">
        <f t="shared" ca="1" si="14"/>
        <v>10494379.88317531</v>
      </c>
      <c r="AK27" s="77">
        <f t="shared" ca="1" si="14"/>
        <v>10358585.140714042</v>
      </c>
      <c r="AL27" s="77">
        <f t="shared" ca="1" si="14"/>
        <v>10359571.314369518</v>
      </c>
      <c r="AM27" s="77">
        <f t="shared" ca="1" si="14"/>
        <v>10972405.61500345</v>
      </c>
      <c r="AN27" s="77">
        <f t="shared" ca="1" si="14"/>
        <v>10979009.604445415</v>
      </c>
      <c r="AO27" s="77">
        <f t="shared" ca="1" si="14"/>
        <v>10649889.147792812</v>
      </c>
      <c r="AP27" s="77">
        <f t="shared" ca="1" si="14"/>
        <v>10824986.192369472</v>
      </c>
      <c r="AQ27" s="77">
        <f t="shared" ca="1" si="14"/>
        <v>11543538.423354</v>
      </c>
      <c r="AR27" s="77">
        <f t="shared" ca="1" si="14"/>
        <v>11562373.75968533</v>
      </c>
      <c r="AS27" s="77">
        <f t="shared" ca="1" si="14"/>
        <v>11220982.670562096</v>
      </c>
      <c r="AT27" s="77">
        <f t="shared" ca="1" si="14"/>
        <v>11416584.064616295</v>
      </c>
      <c r="AU27" s="77">
        <f t="shared" ca="1" si="14"/>
        <v>12126842.784659972</v>
      </c>
      <c r="AV27" s="77">
        <f t="shared" ca="1" si="14"/>
        <v>12157784.714645712</v>
      </c>
      <c r="AW27" s="77">
        <f t="shared" ca="1" si="14"/>
        <v>11814113.192666059</v>
      </c>
      <c r="AX27" s="77">
        <f t="shared" ca="1" si="14"/>
        <v>12030472.558513191</v>
      </c>
      <c r="AY27" s="77">
        <f t="shared" ca="1" si="14"/>
        <v>12850603.331820669</v>
      </c>
      <c r="AZ27" s="77">
        <f t="shared" ca="1" si="14"/>
        <v>12899140.228471071</v>
      </c>
      <c r="BA27" s="77">
        <f t="shared" ca="1" si="14"/>
        <v>12753855.064324347</v>
      </c>
      <c r="BB27" s="77">
        <f t="shared" ca="1" si="14"/>
        <v>12807668.25803709</v>
      </c>
      <c r="BC27" s="77">
        <f t="shared" ca="1" si="14"/>
        <v>13706557.842438525</v>
      </c>
      <c r="BD27" s="77">
        <f t="shared" ca="1" si="14"/>
        <v>13775943.650306549</v>
      </c>
      <c r="BE27" s="77">
        <f t="shared" ca="1" si="14"/>
        <v>13438375.141406545</v>
      </c>
      <c r="BF27" s="77">
        <f t="shared" ca="1" si="14"/>
        <v>13715720.345995702</v>
      </c>
      <c r="BG27" s="77">
        <f t="shared" ca="1" si="14"/>
        <v>14594416.922683623</v>
      </c>
      <c r="BH27" s="77">
        <f t="shared" ca="1" si="14"/>
        <v>14684632.871682443</v>
      </c>
      <c r="BI27" s="77">
        <f t="shared" ca="1" si="14"/>
        <v>14341980.078428566</v>
      </c>
      <c r="BJ27" s="77">
        <f t="shared" ca="1" si="14"/>
        <v>14652786.250347832</v>
      </c>
      <c r="BK27" s="77">
        <f t="shared" ca="1" si="14"/>
        <v>15701950.225108974</v>
      </c>
      <c r="BL27" s="77">
        <f t="shared" ca="1" si="14"/>
        <v>15821100.922532436</v>
      </c>
      <c r="BM27" s="77">
        <f t="shared" ca="1" si="14"/>
        <v>15481769.0049688</v>
      </c>
      <c r="BN27" s="77">
        <f t="shared" ca="1" si="14"/>
        <v>15837004.247669918</v>
      </c>
      <c r="BO27" s="77">
        <f t="shared" ca="1" si="14"/>
        <v>16922811.780888543</v>
      </c>
      <c r="BP27" s="77">
        <f t="shared" ca="1" si="14"/>
        <v>17072896.428796254</v>
      </c>
      <c r="BQ27" s="77">
        <f t="shared" ca="1" si="14"/>
        <v>16981456.585857075</v>
      </c>
      <c r="BR27" s="77">
        <f t="shared" ca="1" si="14"/>
        <v>17141898.85034319</v>
      </c>
      <c r="BS27" s="77">
        <f t="shared" ca="1" si="14"/>
        <v>18448863.793868508</v>
      </c>
      <c r="BT27" s="77">
        <f t="shared" ca="1" si="14"/>
        <v>18641091.19782903</v>
      </c>
      <c r="BU27" s="77">
        <f t="shared" ca="1" si="14"/>
        <v>18304563.965802889</v>
      </c>
      <c r="BV27" s="77">
        <f t="shared" ca="1" si="14"/>
        <v>18771382.146849252</v>
      </c>
      <c r="BW27" s="77">
        <f t="shared" ca="1" si="14"/>
        <v>20174220.380774356</v>
      </c>
      <c r="BX27" s="77">
        <f t="shared" ca="1" si="14"/>
        <v>20414584.859472398</v>
      </c>
      <c r="BY27" s="77">
        <f t="shared" ca="1" si="14"/>
        <v>20091546.911239415</v>
      </c>
      <c r="BZ27" s="77">
        <f t="shared" ca="1" si="14"/>
        <v>20629936.495620154</v>
      </c>
      <c r="CA27" s="77">
        <f t="shared" ca="1" si="14"/>
        <v>22166523.480178446</v>
      </c>
      <c r="CB27" s="77">
        <f t="shared" ref="CB27:CN27" ca="1" si="15">SUM(CB22,CB24:CB25)</f>
        <v>22462144.30503729</v>
      </c>
      <c r="CC27" s="77">
        <f t="shared" ca="1" si="15"/>
        <v>22151222.131845597</v>
      </c>
      <c r="CD27" s="77">
        <f t="shared" ca="1" si="15"/>
        <v>22772545.68525001</v>
      </c>
      <c r="CE27" s="77">
        <f t="shared" ca="1" si="15"/>
        <v>24520376.818276577</v>
      </c>
      <c r="CF27" s="77">
        <f t="shared" ca="1" si="15"/>
        <v>24883037.094685022</v>
      </c>
      <c r="CG27" s="77">
        <f t="shared" ca="1" si="15"/>
        <v>24921383.084725779</v>
      </c>
      <c r="CH27" s="77">
        <f t="shared" ca="1" si="15"/>
        <v>25304480.44217537</v>
      </c>
      <c r="CI27" s="77">
        <f t="shared" ca="1" si="15"/>
        <v>27359262.234756224</v>
      </c>
      <c r="CJ27" s="77">
        <f t="shared" ca="1" si="15"/>
        <v>27804100.541945174</v>
      </c>
      <c r="CK27" s="77">
        <f t="shared" ca="1" si="15"/>
        <v>27521541.700034302</v>
      </c>
      <c r="CL27" s="77">
        <f t="shared" ca="1" si="15"/>
        <v>28361922.708026342</v>
      </c>
      <c r="CM27" s="77">
        <f t="shared" ca="1" si="15"/>
        <v>30528229.197070148</v>
      </c>
      <c r="CN27" s="77">
        <f t="shared" ca="1" si="15"/>
        <v>15440365.10231087</v>
      </c>
    </row>
    <row r="28" spans="3:92" ht="12.75" customHeight="1" x14ac:dyDescent="0.3">
      <c r="C28" s="1"/>
      <c r="D28" s="75"/>
      <c r="H28" s="16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</row>
    <row r="29" spans="3:92" ht="12.75" customHeight="1" x14ac:dyDescent="0.3">
      <c r="C29" s="17"/>
      <c r="D29" s="75" t="s">
        <v>209</v>
      </c>
      <c r="H29" s="16" t="s">
        <v>1</v>
      </c>
      <c r="J29" s="58">
        <f ca="1">SUM(L29:CN29)</f>
        <v>-39811836.278326131</v>
      </c>
      <c r="L29" s="58">
        <f>-Debt!L21</f>
        <v>0</v>
      </c>
      <c r="M29" s="58">
        <f>-Debt!M21</f>
        <v>-1500000</v>
      </c>
      <c r="N29" s="58">
        <f>-Debt!N21</f>
        <v>-1458780.7497354599</v>
      </c>
      <c r="O29" s="58">
        <f ca="1">-Debt!O21</f>
        <v>-1434311.757577982</v>
      </c>
      <c r="P29" s="58">
        <f ca="1">-Debt!P21</f>
        <v>-1391233.3004917626</v>
      </c>
      <c r="Q29" s="58">
        <f ca="1">-Debt!Q21</f>
        <v>-1346857.0977295071</v>
      </c>
      <c r="R29" s="58">
        <f ca="1">-Debt!R21</f>
        <v>-1290603.5025211994</v>
      </c>
      <c r="S29" s="58">
        <f ca="1">-Debt!S21</f>
        <v>-1228119.632959991</v>
      </c>
      <c r="T29" s="58">
        <f ca="1">-Debt!T21</f>
        <v>-1156857.958831761</v>
      </c>
      <c r="U29" s="58">
        <f ca="1">-Debt!U21</f>
        <v>-1065382.609816062</v>
      </c>
      <c r="V29" s="58">
        <f ca="1">-Debt!V21</f>
        <v>-976059.31378441153</v>
      </c>
      <c r="W29" s="58">
        <f ca="1">-Debt!W21</f>
        <v>-886130.35487800045</v>
      </c>
      <c r="X29" s="58">
        <f ca="1">-Debt!X21</f>
        <v>-854999.99999999988</v>
      </c>
      <c r="Y29" s="58">
        <f ca="1">-Debt!Y21</f>
        <v>-840749.99999999988</v>
      </c>
      <c r="Z29" s="58">
        <f ca="1">-Debt!Z21</f>
        <v>-826499.99999999988</v>
      </c>
      <c r="AA29" s="58">
        <f ca="1">-Debt!AA21</f>
        <v>-812249.99999999988</v>
      </c>
      <c r="AB29" s="58">
        <f ca="1">-Debt!AB21</f>
        <v>-797999.99999999988</v>
      </c>
      <c r="AC29" s="58">
        <f ca="1">-Debt!AC21</f>
        <v>-783749.99999999988</v>
      </c>
      <c r="AD29" s="58">
        <f ca="1">-Debt!AD21</f>
        <v>-769499.99999999988</v>
      </c>
      <c r="AE29" s="58">
        <f ca="1">-Debt!AE21</f>
        <v>-755249.99999999988</v>
      </c>
      <c r="AF29" s="58">
        <f ca="1">-Debt!AF21</f>
        <v>-740999.99999999988</v>
      </c>
      <c r="AG29" s="58">
        <f ca="1">-Debt!AG21</f>
        <v>-726749.99999999988</v>
      </c>
      <c r="AH29" s="58">
        <f ca="1">-Debt!AH21</f>
        <v>-712499.99999999988</v>
      </c>
      <c r="AI29" s="58">
        <f ca="1">-Debt!AI21</f>
        <v>-698249.99999999988</v>
      </c>
      <c r="AJ29" s="58">
        <f ca="1">-Debt!AJ21</f>
        <v>-683999.99999999988</v>
      </c>
      <c r="AK29" s="58">
        <f ca="1">-Debt!AK21</f>
        <v>-669750</v>
      </c>
      <c r="AL29" s="58">
        <f ca="1">-Debt!AL21</f>
        <v>-655500</v>
      </c>
      <c r="AM29" s="58">
        <f ca="1">-Debt!AM21</f>
        <v>-641250</v>
      </c>
      <c r="AN29" s="58">
        <f ca="1">-Debt!AN21</f>
        <v>-627000</v>
      </c>
      <c r="AO29" s="58">
        <f ca="1">-Debt!AO21</f>
        <v>-612750</v>
      </c>
      <c r="AP29" s="58">
        <f ca="1">-Debt!AP21</f>
        <v>-598500</v>
      </c>
      <c r="AQ29" s="58">
        <f ca="1">-Debt!AQ21</f>
        <v>-584250</v>
      </c>
      <c r="AR29" s="58">
        <f ca="1">-Debt!AR21</f>
        <v>-570000</v>
      </c>
      <c r="AS29" s="58">
        <f ca="1">-Debt!AS21</f>
        <v>-555750</v>
      </c>
      <c r="AT29" s="58">
        <f ca="1">-Debt!AT21</f>
        <v>-541500</v>
      </c>
      <c r="AU29" s="58">
        <f ca="1">-Debt!AU21</f>
        <v>-527250</v>
      </c>
      <c r="AV29" s="58">
        <f ca="1">-Debt!AV21</f>
        <v>-512999.99999999994</v>
      </c>
      <c r="AW29" s="58">
        <f ca="1">-Debt!AW21</f>
        <v>-498749.99999999994</v>
      </c>
      <c r="AX29" s="58">
        <f ca="1">-Debt!AX21</f>
        <v>-484499.99999999994</v>
      </c>
      <c r="AY29" s="58">
        <f ca="1">-Debt!AY21</f>
        <v>-470249.99999999994</v>
      </c>
      <c r="AZ29" s="58">
        <f ca="1">-Debt!AZ21</f>
        <v>-455999.99999999994</v>
      </c>
      <c r="BA29" s="58">
        <f ca="1">-Debt!BA21</f>
        <v>-441749.99999999994</v>
      </c>
      <c r="BB29" s="58">
        <f ca="1">-Debt!BB21</f>
        <v>-427499.99999999994</v>
      </c>
      <c r="BC29" s="58">
        <f ca="1">-Debt!BC21</f>
        <v>-413249.99999999994</v>
      </c>
      <c r="BD29" s="58">
        <f ca="1">-Debt!BD21</f>
        <v>-398999.99999999994</v>
      </c>
      <c r="BE29" s="58">
        <f ca="1">-Debt!BE21</f>
        <v>-384749.99999999994</v>
      </c>
      <c r="BF29" s="58">
        <f ca="1">-Debt!BF21</f>
        <v>-370499.99999999994</v>
      </c>
      <c r="BG29" s="58">
        <f ca="1">-Debt!BG21</f>
        <v>-356249.99999999994</v>
      </c>
      <c r="BH29" s="58">
        <f ca="1">-Debt!BH21</f>
        <v>-341999.99999999994</v>
      </c>
      <c r="BI29" s="58">
        <f ca="1">-Debt!BI21</f>
        <v>-327750</v>
      </c>
      <c r="BJ29" s="58">
        <f ca="1">-Debt!BJ21</f>
        <v>-313500</v>
      </c>
      <c r="BK29" s="58">
        <f ca="1">-Debt!BK21</f>
        <v>-299250</v>
      </c>
      <c r="BL29" s="58">
        <f ca="1">-Debt!BL21</f>
        <v>-285000</v>
      </c>
      <c r="BM29" s="58">
        <f ca="1">-Debt!BM21</f>
        <v>-270750</v>
      </c>
      <c r="BN29" s="58">
        <f ca="1">-Debt!BN21</f>
        <v>-256499.99999999997</v>
      </c>
      <c r="BO29" s="58">
        <f ca="1">-Debt!BO21</f>
        <v>-242249.99999999997</v>
      </c>
      <c r="BP29" s="58">
        <f ca="1">-Debt!BP21</f>
        <v>-227999.99999999997</v>
      </c>
      <c r="BQ29" s="58">
        <f ca="1">-Debt!BQ21</f>
        <v>-213749.99999999997</v>
      </c>
      <c r="BR29" s="58">
        <f ca="1">-Debt!BR21</f>
        <v>-199499.99999999997</v>
      </c>
      <c r="BS29" s="58">
        <f ca="1">-Debt!BS21</f>
        <v>-185249.99999999997</v>
      </c>
      <c r="BT29" s="58">
        <f ca="1">-Debt!BT21</f>
        <v>-170999.99999999997</v>
      </c>
      <c r="BU29" s="58">
        <f ca="1">-Debt!BU21</f>
        <v>-156750</v>
      </c>
      <c r="BV29" s="58">
        <f ca="1">-Debt!BV21</f>
        <v>-142500</v>
      </c>
      <c r="BW29" s="58">
        <f ca="1">-Debt!BW21</f>
        <v>-128249.99999999999</v>
      </c>
      <c r="BX29" s="58">
        <f ca="1">-Debt!BX21</f>
        <v>-113999.99999999999</v>
      </c>
      <c r="BY29" s="58">
        <f ca="1">-Debt!BY21</f>
        <v>-99749.999999999985</v>
      </c>
      <c r="BZ29" s="58">
        <f ca="1">-Debt!BZ21</f>
        <v>-85499.999999999985</v>
      </c>
      <c r="CA29" s="58">
        <f ca="1">-Debt!CA21</f>
        <v>-71250</v>
      </c>
      <c r="CB29" s="58">
        <f ca="1">-Debt!CB21</f>
        <v>-56999.999999999993</v>
      </c>
      <c r="CC29" s="58">
        <f ca="1">-Debt!CC21</f>
        <v>-42749.999999999993</v>
      </c>
      <c r="CD29" s="58">
        <f ca="1">-Debt!CD21</f>
        <v>-28499.999999999996</v>
      </c>
      <c r="CE29" s="58">
        <f ca="1">-Debt!CE21</f>
        <v>-14249.999999999998</v>
      </c>
      <c r="CF29" s="58">
        <f ca="1">-Debt!CF21</f>
        <v>0</v>
      </c>
      <c r="CG29" s="58">
        <f ca="1">-Debt!CG21</f>
        <v>0</v>
      </c>
      <c r="CH29" s="58">
        <f ca="1">-Debt!CH21</f>
        <v>0</v>
      </c>
      <c r="CI29" s="58">
        <f ca="1">-Debt!CI21</f>
        <v>0</v>
      </c>
      <c r="CJ29" s="58">
        <f ca="1">-Debt!CJ21</f>
        <v>0</v>
      </c>
      <c r="CK29" s="58">
        <f ca="1">-Debt!CK21</f>
        <v>0</v>
      </c>
      <c r="CL29" s="58">
        <f ca="1">-Debt!CL21</f>
        <v>0</v>
      </c>
      <c r="CM29" s="58">
        <f ca="1">-Debt!CM21</f>
        <v>0</v>
      </c>
      <c r="CN29" s="58">
        <f ca="1">-Debt!CN21</f>
        <v>0</v>
      </c>
    </row>
    <row r="30" spans="3:92" ht="12.75" customHeight="1" x14ac:dyDescent="0.3">
      <c r="C30" s="17"/>
      <c r="D30" s="75"/>
      <c r="H30" s="1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</row>
    <row r="31" spans="3:92" ht="12.75" customHeight="1" x14ac:dyDescent="0.3">
      <c r="C31" s="17" t="s">
        <v>210</v>
      </c>
      <c r="D31" s="75"/>
      <c r="H31" s="16" t="s">
        <v>1</v>
      </c>
      <c r="J31" s="58">
        <f ca="1">SUM(L31:CN31)</f>
        <v>969780377.62727046</v>
      </c>
      <c r="L31" s="77">
        <f t="shared" ref="L31:AQ31" si="16">SUM(L27,L29)</f>
        <v>0</v>
      </c>
      <c r="M31" s="77">
        <f t="shared" ca="1" si="16"/>
        <v>-3521615.4776000008</v>
      </c>
      <c r="N31" s="77">
        <f t="shared" ca="1" si="16"/>
        <v>-3374255.2990558315</v>
      </c>
      <c r="O31" s="77">
        <f t="shared" ca="1" si="16"/>
        <v>-2984348.9846215709</v>
      </c>
      <c r="P31" s="77">
        <f t="shared" ca="1" si="16"/>
        <v>-3014435.0906525115</v>
      </c>
      <c r="Q31" s="77">
        <f t="shared" ca="1" si="16"/>
        <v>-3326250.0422806139</v>
      </c>
      <c r="R31" s="77">
        <f t="shared" ca="1" si="16"/>
        <v>-3146497.3977621081</v>
      </c>
      <c r="S31" s="77">
        <f t="shared" ca="1" si="16"/>
        <v>-2623306.8789155488</v>
      </c>
      <c r="T31" s="77">
        <f t="shared" ca="1" si="16"/>
        <v>-497157.38594733831</v>
      </c>
      <c r="U31" s="77">
        <f t="shared" ca="1" si="16"/>
        <v>-595274.2587311517</v>
      </c>
      <c r="V31" s="77">
        <f t="shared" ca="1" si="16"/>
        <v>-553170.02145582542</v>
      </c>
      <c r="W31" s="77">
        <f t="shared" ca="1" si="16"/>
        <v>49992.127229848411</v>
      </c>
      <c r="X31" s="77">
        <f t="shared" ca="1" si="16"/>
        <v>38929.670697811409</v>
      </c>
      <c r="Y31" s="77">
        <f t="shared" ca="1" si="16"/>
        <v>-273449.1862206409</v>
      </c>
      <c r="Z31" s="77">
        <f t="shared" ca="1" si="16"/>
        <v>-157521.21900571603</v>
      </c>
      <c r="AA31" s="77">
        <f t="shared" ca="1" si="16"/>
        <v>361954.54095309961</v>
      </c>
      <c r="AB31" s="77">
        <f t="shared" ca="1" si="16"/>
        <v>346577.39769565768</v>
      </c>
      <c r="AC31" s="77">
        <f t="shared" ca="1" si="16"/>
        <v>84001.479658785742</v>
      </c>
      <c r="AD31" s="77">
        <f t="shared" ca="1" si="16"/>
        <v>219286.73899944487</v>
      </c>
      <c r="AE31" s="77">
        <f t="shared" ca="1" si="16"/>
        <v>7099935.7117452323</v>
      </c>
      <c r="AF31" s="77">
        <f t="shared" ca="1" si="16"/>
        <v>9266590.9807825405</v>
      </c>
      <c r="AG31" s="77">
        <f t="shared" ca="1" si="16"/>
        <v>8907184.2630646285</v>
      </c>
      <c r="AH31" s="77">
        <f t="shared" ca="1" si="16"/>
        <v>9065862.5067118518</v>
      </c>
      <c r="AI31" s="77">
        <f t="shared" ca="1" si="16"/>
        <v>9797932.0755264238</v>
      </c>
      <c r="AJ31" s="77">
        <f t="shared" ca="1" si="16"/>
        <v>9810379.8831753097</v>
      </c>
      <c r="AK31" s="77">
        <f t="shared" ca="1" si="16"/>
        <v>9688835.1407140419</v>
      </c>
      <c r="AL31" s="77">
        <f t="shared" ca="1" si="16"/>
        <v>9704071.3143695183</v>
      </c>
      <c r="AM31" s="77">
        <f t="shared" ca="1" si="16"/>
        <v>10331155.61500345</v>
      </c>
      <c r="AN31" s="77">
        <f t="shared" ca="1" si="16"/>
        <v>10352009.604445415</v>
      </c>
      <c r="AO31" s="77">
        <f t="shared" ca="1" si="16"/>
        <v>10037139.147792812</v>
      </c>
      <c r="AP31" s="77">
        <f t="shared" ca="1" si="16"/>
        <v>10226486.192369472</v>
      </c>
      <c r="AQ31" s="77">
        <f t="shared" ca="1" si="16"/>
        <v>10959288.423354</v>
      </c>
      <c r="AR31" s="77">
        <f t="shared" ref="AR31:BW31" ca="1" si="17">SUM(AR27,AR29)</f>
        <v>10992373.75968533</v>
      </c>
      <c r="AS31" s="77">
        <f t="shared" ca="1" si="17"/>
        <v>10665232.670562096</v>
      </c>
      <c r="AT31" s="77">
        <f t="shared" ca="1" si="17"/>
        <v>10875084.064616295</v>
      </c>
      <c r="AU31" s="77">
        <f t="shared" ca="1" si="17"/>
        <v>11599592.784659972</v>
      </c>
      <c r="AV31" s="77">
        <f t="shared" ca="1" si="17"/>
        <v>11644784.714645712</v>
      </c>
      <c r="AW31" s="77">
        <f t="shared" ca="1" si="17"/>
        <v>11315363.192666059</v>
      </c>
      <c r="AX31" s="77">
        <f t="shared" ca="1" si="17"/>
        <v>11545972.558513191</v>
      </c>
      <c r="AY31" s="77">
        <f t="shared" ca="1" si="17"/>
        <v>12380353.331820669</v>
      </c>
      <c r="AZ31" s="77">
        <f t="shared" ca="1" si="17"/>
        <v>12443140.228471071</v>
      </c>
      <c r="BA31" s="77">
        <f t="shared" ca="1" si="17"/>
        <v>12312105.064324347</v>
      </c>
      <c r="BB31" s="77">
        <f t="shared" ca="1" si="17"/>
        <v>12380168.25803709</v>
      </c>
      <c r="BC31" s="77">
        <f t="shared" ca="1" si="17"/>
        <v>13293307.842438525</v>
      </c>
      <c r="BD31" s="77">
        <f t="shared" ca="1" si="17"/>
        <v>13376943.650306549</v>
      </c>
      <c r="BE31" s="77">
        <f t="shared" ca="1" si="17"/>
        <v>13053625.141406545</v>
      </c>
      <c r="BF31" s="77">
        <f t="shared" ca="1" si="17"/>
        <v>13345220.345995702</v>
      </c>
      <c r="BG31" s="77">
        <f t="shared" ca="1" si="17"/>
        <v>14238166.922683623</v>
      </c>
      <c r="BH31" s="77">
        <f t="shared" ca="1" si="17"/>
        <v>14342632.871682443</v>
      </c>
      <c r="BI31" s="77">
        <f t="shared" ca="1" si="17"/>
        <v>14014230.078428566</v>
      </c>
      <c r="BJ31" s="77">
        <f t="shared" ca="1" si="17"/>
        <v>14339286.250347832</v>
      </c>
      <c r="BK31" s="77">
        <f t="shared" ca="1" si="17"/>
        <v>15402700.225108974</v>
      </c>
      <c r="BL31" s="77">
        <f t="shared" ca="1" si="17"/>
        <v>15536100.922532436</v>
      </c>
      <c r="BM31" s="77">
        <f t="shared" ca="1" si="17"/>
        <v>15211019.0049688</v>
      </c>
      <c r="BN31" s="77">
        <f t="shared" ca="1" si="17"/>
        <v>15580504.247669918</v>
      </c>
      <c r="BO31" s="77">
        <f t="shared" ca="1" si="17"/>
        <v>16680561.780888543</v>
      </c>
      <c r="BP31" s="77">
        <f t="shared" ca="1" si="17"/>
        <v>16844896.428796254</v>
      </c>
      <c r="BQ31" s="77">
        <f t="shared" ca="1" si="17"/>
        <v>16767706.585857075</v>
      </c>
      <c r="BR31" s="77">
        <f t="shared" ca="1" si="17"/>
        <v>16942398.85034319</v>
      </c>
      <c r="BS31" s="77">
        <f t="shared" ca="1" si="17"/>
        <v>18263613.793868508</v>
      </c>
      <c r="BT31" s="77">
        <f t="shared" ca="1" si="17"/>
        <v>18470091.19782903</v>
      </c>
      <c r="BU31" s="77">
        <f t="shared" ca="1" si="17"/>
        <v>18147813.965802889</v>
      </c>
      <c r="BV31" s="77">
        <f t="shared" ca="1" si="17"/>
        <v>18628882.146849252</v>
      </c>
      <c r="BW31" s="77">
        <f t="shared" ca="1" si="17"/>
        <v>20045970.380774356</v>
      </c>
      <c r="BX31" s="77">
        <f t="shared" ref="BX31:CN31" ca="1" si="18">SUM(BX27,BX29)</f>
        <v>20300584.859472398</v>
      </c>
      <c r="BY31" s="77">
        <f t="shared" ca="1" si="18"/>
        <v>19991796.911239415</v>
      </c>
      <c r="BZ31" s="77">
        <f t="shared" ca="1" si="18"/>
        <v>20544436.495620154</v>
      </c>
      <c r="CA31" s="77">
        <f t="shared" ca="1" si="18"/>
        <v>22095273.480178446</v>
      </c>
      <c r="CB31" s="77">
        <f t="shared" ca="1" si="18"/>
        <v>22405144.30503729</v>
      </c>
      <c r="CC31" s="77">
        <f t="shared" ca="1" si="18"/>
        <v>22108472.131845597</v>
      </c>
      <c r="CD31" s="77">
        <f t="shared" ca="1" si="18"/>
        <v>22744045.68525001</v>
      </c>
      <c r="CE31" s="77">
        <f t="shared" ca="1" si="18"/>
        <v>24506126.818276577</v>
      </c>
      <c r="CF31" s="77">
        <f t="shared" ca="1" si="18"/>
        <v>24883037.094685022</v>
      </c>
      <c r="CG31" s="77">
        <f t="shared" ca="1" si="18"/>
        <v>24921383.084725779</v>
      </c>
      <c r="CH31" s="77">
        <f t="shared" ca="1" si="18"/>
        <v>25304480.44217537</v>
      </c>
      <c r="CI31" s="77">
        <f t="shared" ca="1" si="18"/>
        <v>27359262.234756224</v>
      </c>
      <c r="CJ31" s="77">
        <f t="shared" ca="1" si="18"/>
        <v>27804100.541945174</v>
      </c>
      <c r="CK31" s="77">
        <f t="shared" ca="1" si="18"/>
        <v>27521541.700034302</v>
      </c>
      <c r="CL31" s="77">
        <f t="shared" ca="1" si="18"/>
        <v>28361922.708026342</v>
      </c>
      <c r="CM31" s="77">
        <f t="shared" ca="1" si="18"/>
        <v>30528229.197070148</v>
      </c>
      <c r="CN31" s="77">
        <f t="shared" ca="1" si="18"/>
        <v>15440365.10231087</v>
      </c>
    </row>
    <row r="32" spans="3:92" ht="12.75" customHeight="1" x14ac:dyDescent="0.3">
      <c r="C32" s="17"/>
      <c r="D32" s="75"/>
      <c r="H32" s="16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</row>
    <row r="33" spans="1:92" ht="12.75" customHeight="1" x14ac:dyDescent="0.3">
      <c r="C33" s="17"/>
      <c r="D33" s="98" t="s">
        <v>239</v>
      </c>
      <c r="H33" s="16" t="s">
        <v>1</v>
      </c>
      <c r="J33" s="58">
        <f ca="1">SUM(L33:CN33)</f>
        <v>-232747290.63054493</v>
      </c>
      <c r="L33" s="58">
        <f>-L31*Ass!$I$19</f>
        <v>0</v>
      </c>
      <c r="M33" s="58">
        <f ca="1">-M31*Ass!$I$19</f>
        <v>845187.71462400013</v>
      </c>
      <c r="N33" s="58">
        <f ca="1">-N31*Ass!$I$19</f>
        <v>809821.27177339955</v>
      </c>
      <c r="O33" s="58">
        <f ca="1">-O31*Ass!$I$19</f>
        <v>716243.75630917703</v>
      </c>
      <c r="P33" s="58">
        <f ca="1">-P31*Ass!$I$19</f>
        <v>723464.42175660271</v>
      </c>
      <c r="Q33" s="58">
        <f ca="1">-Q31*Ass!$I$19</f>
        <v>798300.01014734735</v>
      </c>
      <c r="R33" s="58">
        <f ca="1">-R31*Ass!$I$19</f>
        <v>755159.37546290597</v>
      </c>
      <c r="S33" s="58">
        <f ca="1">-S31*Ass!$I$19</f>
        <v>629593.65093973174</v>
      </c>
      <c r="T33" s="58">
        <f ca="1">-T31*Ass!$I$19</f>
        <v>119317.77262736119</v>
      </c>
      <c r="U33" s="58">
        <f ca="1">-U31*Ass!$I$19</f>
        <v>142865.82209547641</v>
      </c>
      <c r="V33" s="58">
        <f ca="1">-V31*Ass!$I$19</f>
        <v>132760.8051493981</v>
      </c>
      <c r="W33" s="58">
        <f ca="1">-W31*Ass!$I$19</f>
        <v>-11998.110535163618</v>
      </c>
      <c r="X33" s="58">
        <f ca="1">-X31*Ass!$I$19</f>
        <v>-9343.120967474737</v>
      </c>
      <c r="Y33" s="58">
        <f ca="1">-Y31*Ass!$I$19</f>
        <v>65627.80469295381</v>
      </c>
      <c r="Z33" s="58">
        <f ca="1">-Z31*Ass!$I$19</f>
        <v>37805.09256137185</v>
      </c>
      <c r="AA33" s="58">
        <f ca="1">-AA31*Ass!$I$19</f>
        <v>-86869.089828743905</v>
      </c>
      <c r="AB33" s="58">
        <f ca="1">-AB31*Ass!$I$19</f>
        <v>-83178.575446957839</v>
      </c>
      <c r="AC33" s="58">
        <f ca="1">-AC31*Ass!$I$19</f>
        <v>-20160.355118108579</v>
      </c>
      <c r="AD33" s="58">
        <f ca="1">-AD31*Ass!$I$19</f>
        <v>-52628.817359866771</v>
      </c>
      <c r="AE33" s="58">
        <f ca="1">-AE31*Ass!$I$19</f>
        <v>-1703984.5708188557</v>
      </c>
      <c r="AF33" s="58">
        <f ca="1">-AF31*Ass!$I$19</f>
        <v>-2223981.8353878097</v>
      </c>
      <c r="AG33" s="58">
        <f ca="1">-AG31*Ass!$I$19</f>
        <v>-2137724.2231355109</v>
      </c>
      <c r="AH33" s="58">
        <f ca="1">-AH31*Ass!$I$19</f>
        <v>-2175807.0016108444</v>
      </c>
      <c r="AI33" s="58">
        <f ca="1">-AI31*Ass!$I$19</f>
        <v>-2351503.6981263417</v>
      </c>
      <c r="AJ33" s="58">
        <f ca="1">-AJ31*Ass!$I$19</f>
        <v>-2354491.1719620745</v>
      </c>
      <c r="AK33" s="58">
        <f ca="1">-AK31*Ass!$I$19</f>
        <v>-2325320.43377137</v>
      </c>
      <c r="AL33" s="58">
        <f ca="1">-AL31*Ass!$I$19</f>
        <v>-2328977.1154486844</v>
      </c>
      <c r="AM33" s="58">
        <f ca="1">-AM31*Ass!$I$19</f>
        <v>-2479477.3476008279</v>
      </c>
      <c r="AN33" s="58">
        <f ca="1">-AN31*Ass!$I$19</f>
        <v>-2484482.3050668994</v>
      </c>
      <c r="AO33" s="58">
        <f ca="1">-AO31*Ass!$I$19</f>
        <v>-2408913.3954702751</v>
      </c>
      <c r="AP33" s="58">
        <f ca="1">-AP31*Ass!$I$19</f>
        <v>-2454356.6861686734</v>
      </c>
      <c r="AQ33" s="58">
        <f ca="1">-AQ31*Ass!$I$19</f>
        <v>-2630229.22160496</v>
      </c>
      <c r="AR33" s="58">
        <f ca="1">-AR31*Ass!$I$19</f>
        <v>-2638169.7023244794</v>
      </c>
      <c r="AS33" s="58">
        <f ca="1">-AS31*Ass!$I$19</f>
        <v>-2559655.8409349029</v>
      </c>
      <c r="AT33" s="58">
        <f ca="1">-AT31*Ass!$I$19</f>
        <v>-2610020.1755079105</v>
      </c>
      <c r="AU33" s="58">
        <f ca="1">-AU31*Ass!$I$19</f>
        <v>-2783902.2683183933</v>
      </c>
      <c r="AV33" s="58">
        <f ca="1">-AV31*Ass!$I$19</f>
        <v>-2794748.3315149709</v>
      </c>
      <c r="AW33" s="58">
        <f ca="1">-AW31*Ass!$I$19</f>
        <v>-2715687.1662398539</v>
      </c>
      <c r="AX33" s="58">
        <f ca="1">-AX31*Ass!$I$19</f>
        <v>-2771033.4140431657</v>
      </c>
      <c r="AY33" s="58">
        <f ca="1">-AY31*Ass!$I$19</f>
        <v>-2971284.7996369605</v>
      </c>
      <c r="AZ33" s="58">
        <f ca="1">-AZ31*Ass!$I$19</f>
        <v>-2986353.654833057</v>
      </c>
      <c r="BA33" s="58">
        <f ca="1">-BA31*Ass!$I$19</f>
        <v>-2954905.2154378435</v>
      </c>
      <c r="BB33" s="58">
        <f ca="1">-BB31*Ass!$I$19</f>
        <v>-2971240.3819289017</v>
      </c>
      <c r="BC33" s="58">
        <f ca="1">-BC31*Ass!$I$19</f>
        <v>-3190393.8821852459</v>
      </c>
      <c r="BD33" s="58">
        <f ca="1">-BD31*Ass!$I$19</f>
        <v>-3210466.4760735715</v>
      </c>
      <c r="BE33" s="58">
        <f ca="1">-BE31*Ass!$I$19</f>
        <v>-3132870.0339375706</v>
      </c>
      <c r="BF33" s="58">
        <f ca="1">-BF31*Ass!$I$19</f>
        <v>-3202852.8830389683</v>
      </c>
      <c r="BG33" s="58">
        <f ca="1">-BG31*Ass!$I$19</f>
        <v>-3417160.0614440693</v>
      </c>
      <c r="BH33" s="58">
        <f ca="1">-BH31*Ass!$I$19</f>
        <v>-3442231.8892037859</v>
      </c>
      <c r="BI33" s="58">
        <f ca="1">-BI31*Ass!$I$19</f>
        <v>-3363415.218822856</v>
      </c>
      <c r="BJ33" s="58">
        <f ca="1">-BJ31*Ass!$I$19</f>
        <v>-3441428.7000834798</v>
      </c>
      <c r="BK33" s="58">
        <f ca="1">-BK31*Ass!$I$19</f>
        <v>-3696648.0540261534</v>
      </c>
      <c r="BL33" s="58">
        <f ca="1">-BL31*Ass!$I$19</f>
        <v>-3728664.2214077846</v>
      </c>
      <c r="BM33" s="58">
        <f ca="1">-BM31*Ass!$I$19</f>
        <v>-3650644.5611925116</v>
      </c>
      <c r="BN33" s="58">
        <f ca="1">-BN31*Ass!$I$19</f>
        <v>-3739321.0194407804</v>
      </c>
      <c r="BO33" s="58">
        <f ca="1">-BO31*Ass!$I$19</f>
        <v>-4003334.8274132502</v>
      </c>
      <c r="BP33" s="58">
        <f ca="1">-BP31*Ass!$I$19</f>
        <v>-4042775.1429111008</v>
      </c>
      <c r="BQ33" s="58">
        <f ca="1">-BQ31*Ass!$I$19</f>
        <v>-4024249.5806056978</v>
      </c>
      <c r="BR33" s="58">
        <f ca="1">-BR31*Ass!$I$19</f>
        <v>-4066175.7240823656</v>
      </c>
      <c r="BS33" s="58">
        <f ca="1">-BS31*Ass!$I$19</f>
        <v>-4383267.3105284423</v>
      </c>
      <c r="BT33" s="58">
        <f ca="1">-BT31*Ass!$I$19</f>
        <v>-4432821.8874789672</v>
      </c>
      <c r="BU33" s="58">
        <f ca="1">-BU31*Ass!$I$19</f>
        <v>-4355475.3517926931</v>
      </c>
      <c r="BV33" s="58">
        <f ca="1">-BV31*Ass!$I$19</f>
        <v>-4470931.7152438201</v>
      </c>
      <c r="BW33" s="58">
        <f ca="1">-BW31*Ass!$I$19</f>
        <v>-4811032.8913858449</v>
      </c>
      <c r="BX33" s="58">
        <f ca="1">-BX31*Ass!$I$19</f>
        <v>-4872140.3662733752</v>
      </c>
      <c r="BY33" s="58">
        <f ca="1">-BY31*Ass!$I$19</f>
        <v>-4798031.2586974595</v>
      </c>
      <c r="BZ33" s="58">
        <f ca="1">-BZ31*Ass!$I$19</f>
        <v>-4930664.7589488365</v>
      </c>
      <c r="CA33" s="58">
        <f ca="1">-CA31*Ass!$I$19</f>
        <v>-5302865.6352428263</v>
      </c>
      <c r="CB33" s="58">
        <f ca="1">-CB31*Ass!$I$19</f>
        <v>-5377234.6332089491</v>
      </c>
      <c r="CC33" s="58">
        <f ca="1">-CC31*Ass!$I$19</f>
        <v>-5306033.311642943</v>
      </c>
      <c r="CD33" s="58">
        <f ca="1">-CD31*Ass!$I$19</f>
        <v>-5458570.9644600023</v>
      </c>
      <c r="CE33" s="58">
        <f ca="1">-CE31*Ass!$I$19</f>
        <v>-5881470.4363863785</v>
      </c>
      <c r="CF33" s="58">
        <f ca="1">-CF31*Ass!$I$19</f>
        <v>-5971928.9027244048</v>
      </c>
      <c r="CG33" s="58">
        <f ca="1">-CG31*Ass!$I$19</f>
        <v>-5981131.9403341869</v>
      </c>
      <c r="CH33" s="58">
        <f ca="1">-CH31*Ass!$I$19</f>
        <v>-6073075.3061220888</v>
      </c>
      <c r="CI33" s="58">
        <f ca="1">-CI31*Ass!$I$19</f>
        <v>-6566222.9363414934</v>
      </c>
      <c r="CJ33" s="58">
        <f ca="1">-CJ31*Ass!$I$19</f>
        <v>-6672984.1300668418</v>
      </c>
      <c r="CK33" s="58">
        <f ca="1">-CK31*Ass!$I$19</f>
        <v>-6605170.0080082323</v>
      </c>
      <c r="CL33" s="58">
        <f ca="1">-CL31*Ass!$I$19</f>
        <v>-6806861.4499263214</v>
      </c>
      <c r="CM33" s="58">
        <f ca="1">-CM31*Ass!$I$19</f>
        <v>-7326775.0072968351</v>
      </c>
      <c r="CN33" s="58">
        <f ca="1">-CN31*Ass!$I$19</f>
        <v>-3705687.6245546085</v>
      </c>
    </row>
    <row r="34" spans="1:92" ht="12.75" customHeight="1" x14ac:dyDescent="0.3">
      <c r="C34" s="17"/>
      <c r="D34" s="75"/>
      <c r="H34" s="1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</row>
    <row r="35" spans="1:92" ht="12.75" customHeight="1" x14ac:dyDescent="0.3">
      <c r="C35" s="17" t="s">
        <v>211</v>
      </c>
      <c r="D35" s="75"/>
      <c r="H35" s="16" t="s">
        <v>1</v>
      </c>
      <c r="J35" s="58">
        <f ca="1">SUM(L35:CN35)</f>
        <v>737033086.99672556</v>
      </c>
      <c r="L35" s="77">
        <f>SUM(L31,L33)</f>
        <v>0</v>
      </c>
      <c r="M35" s="77">
        <f t="shared" ref="M35:O35" ca="1" si="19">SUM(M31,M33)</f>
        <v>-2676427.7629760006</v>
      </c>
      <c r="N35" s="77">
        <f t="shared" ca="1" si="19"/>
        <v>-2564434.0272824317</v>
      </c>
      <c r="O35" s="77">
        <f t="shared" ca="1" si="19"/>
        <v>-2268105.2283123937</v>
      </c>
      <c r="P35" s="77">
        <f t="shared" ref="P35:CA35" ca="1" si="20">SUM(P31,P33)</f>
        <v>-2290970.6688959086</v>
      </c>
      <c r="Q35" s="77">
        <f t="shared" ca="1" si="20"/>
        <v>-2527950.0321332663</v>
      </c>
      <c r="R35" s="77">
        <f t="shared" ca="1" si="20"/>
        <v>-2391338.0222992022</v>
      </c>
      <c r="S35" s="77">
        <f t="shared" ca="1" si="20"/>
        <v>-1993713.2279758169</v>
      </c>
      <c r="T35" s="77">
        <f t="shared" ca="1" si="20"/>
        <v>-377839.61331997713</v>
      </c>
      <c r="U35" s="77">
        <f ca="1">SUM(U31,U33)</f>
        <v>-452408.43663567526</v>
      </c>
      <c r="V35" s="77">
        <f t="shared" ca="1" si="20"/>
        <v>-420409.21630642732</v>
      </c>
      <c r="W35" s="77">
        <f t="shared" ca="1" si="20"/>
        <v>37994.016694684789</v>
      </c>
      <c r="X35" s="77">
        <f t="shared" ca="1" si="20"/>
        <v>29586.549730336672</v>
      </c>
      <c r="Y35" s="77">
        <f t="shared" ca="1" si="20"/>
        <v>-207821.38152768707</v>
      </c>
      <c r="Z35" s="77">
        <f t="shared" ca="1" si="20"/>
        <v>-119716.12644434418</v>
      </c>
      <c r="AA35" s="77">
        <f t="shared" ca="1" si="20"/>
        <v>275085.45112435572</v>
      </c>
      <c r="AB35" s="77">
        <f t="shared" ca="1" si="20"/>
        <v>263398.82224869984</v>
      </c>
      <c r="AC35" s="77">
        <f t="shared" ca="1" si="20"/>
        <v>63841.124540677163</v>
      </c>
      <c r="AD35" s="77">
        <f t="shared" ca="1" si="20"/>
        <v>166657.9216395781</v>
      </c>
      <c r="AE35" s="77">
        <f t="shared" ca="1" si="20"/>
        <v>5395951.1409263769</v>
      </c>
      <c r="AF35" s="77">
        <f t="shared" ca="1" si="20"/>
        <v>7042609.1453947313</v>
      </c>
      <c r="AG35" s="77">
        <f t="shared" ca="1" si="20"/>
        <v>6769460.039929118</v>
      </c>
      <c r="AH35" s="77">
        <f t="shared" ca="1" si="20"/>
        <v>6890055.5051010074</v>
      </c>
      <c r="AI35" s="77">
        <f t="shared" ca="1" si="20"/>
        <v>7446428.3774000816</v>
      </c>
      <c r="AJ35" s="77">
        <f t="shared" ca="1" si="20"/>
        <v>7455888.7112132348</v>
      </c>
      <c r="AK35" s="77">
        <f t="shared" ca="1" si="20"/>
        <v>7363514.7069426719</v>
      </c>
      <c r="AL35" s="77">
        <f t="shared" ca="1" si="20"/>
        <v>7375094.1989208339</v>
      </c>
      <c r="AM35" s="77">
        <f t="shared" ca="1" si="20"/>
        <v>7851678.2674026219</v>
      </c>
      <c r="AN35" s="77">
        <f t="shared" ca="1" si="20"/>
        <v>7867527.2993785152</v>
      </c>
      <c r="AO35" s="77">
        <f t="shared" ca="1" si="20"/>
        <v>7628225.7523225378</v>
      </c>
      <c r="AP35" s="77">
        <f t="shared" ca="1" si="20"/>
        <v>7772129.5062007988</v>
      </c>
      <c r="AQ35" s="77">
        <f t="shared" ca="1" si="20"/>
        <v>8329059.2017490398</v>
      </c>
      <c r="AR35" s="77">
        <f t="shared" ca="1" si="20"/>
        <v>8354204.0573608503</v>
      </c>
      <c r="AS35" s="77">
        <f t="shared" ca="1" si="20"/>
        <v>8105576.8296271935</v>
      </c>
      <c r="AT35" s="77">
        <f t="shared" ca="1" si="20"/>
        <v>8265063.889108384</v>
      </c>
      <c r="AU35" s="77">
        <f t="shared" ca="1" si="20"/>
        <v>8815690.5163415782</v>
      </c>
      <c r="AV35" s="77">
        <f t="shared" ca="1" si="20"/>
        <v>8850036.3831307404</v>
      </c>
      <c r="AW35" s="77">
        <f t="shared" ca="1" si="20"/>
        <v>8599676.0264262054</v>
      </c>
      <c r="AX35" s="77">
        <f t="shared" ca="1" si="20"/>
        <v>8774939.1444700249</v>
      </c>
      <c r="AY35" s="77">
        <f t="shared" ca="1" si="20"/>
        <v>9409068.5321837086</v>
      </c>
      <c r="AZ35" s="77">
        <f t="shared" ca="1" si="20"/>
        <v>9456786.5736380145</v>
      </c>
      <c r="BA35" s="77">
        <f t="shared" ca="1" si="20"/>
        <v>9357199.8488865048</v>
      </c>
      <c r="BB35" s="77">
        <f t="shared" ca="1" si="20"/>
        <v>9408927.8761081882</v>
      </c>
      <c r="BC35" s="77">
        <f t="shared" ca="1" si="20"/>
        <v>10102913.96025328</v>
      </c>
      <c r="BD35" s="77">
        <f t="shared" ca="1" si="20"/>
        <v>10166477.174232978</v>
      </c>
      <c r="BE35" s="77">
        <f t="shared" ca="1" si="20"/>
        <v>9920755.1074689738</v>
      </c>
      <c r="BF35" s="77">
        <f t="shared" ca="1" si="20"/>
        <v>10142367.462956734</v>
      </c>
      <c r="BG35" s="77">
        <f t="shared" ca="1" si="20"/>
        <v>10821006.861239552</v>
      </c>
      <c r="BH35" s="77">
        <f t="shared" ca="1" si="20"/>
        <v>10900400.982478656</v>
      </c>
      <c r="BI35" s="77">
        <f t="shared" ca="1" si="20"/>
        <v>10650814.859605711</v>
      </c>
      <c r="BJ35" s="77">
        <f t="shared" ca="1" si="20"/>
        <v>10897857.550264353</v>
      </c>
      <c r="BK35" s="77">
        <f t="shared" ca="1" si="20"/>
        <v>11706052.171082821</v>
      </c>
      <c r="BL35" s="77">
        <f t="shared" ca="1" si="20"/>
        <v>11807436.701124651</v>
      </c>
      <c r="BM35" s="77">
        <f t="shared" ca="1" si="20"/>
        <v>11560374.443776287</v>
      </c>
      <c r="BN35" s="77">
        <f t="shared" ca="1" si="20"/>
        <v>11841183.228229139</v>
      </c>
      <c r="BO35" s="77">
        <f t="shared" ca="1" si="20"/>
        <v>12677226.953475293</v>
      </c>
      <c r="BP35" s="77">
        <f t="shared" ca="1" si="20"/>
        <v>12802121.285885153</v>
      </c>
      <c r="BQ35" s="77">
        <f t="shared" ca="1" si="20"/>
        <v>12743457.005251378</v>
      </c>
      <c r="BR35" s="77">
        <f t="shared" ca="1" si="20"/>
        <v>12876223.126260825</v>
      </c>
      <c r="BS35" s="77">
        <f t="shared" ca="1" si="20"/>
        <v>13880346.483340066</v>
      </c>
      <c r="BT35" s="77">
        <f t="shared" ca="1" si="20"/>
        <v>14037269.310350064</v>
      </c>
      <c r="BU35" s="77">
        <f t="shared" ca="1" si="20"/>
        <v>13792338.614010196</v>
      </c>
      <c r="BV35" s="77">
        <f t="shared" ca="1" si="20"/>
        <v>14157950.431605432</v>
      </c>
      <c r="BW35" s="77">
        <f t="shared" ca="1" si="20"/>
        <v>15234937.489388511</v>
      </c>
      <c r="BX35" s="77">
        <f t="shared" ca="1" si="20"/>
        <v>15428444.493199022</v>
      </c>
      <c r="BY35" s="77">
        <f t="shared" ca="1" si="20"/>
        <v>15193765.652541956</v>
      </c>
      <c r="BZ35" s="77">
        <f t="shared" ca="1" si="20"/>
        <v>15613771.736671317</v>
      </c>
      <c r="CA35" s="77">
        <f t="shared" ca="1" si="20"/>
        <v>16792407.844935618</v>
      </c>
      <c r="CB35" s="77">
        <f t="shared" ref="CB35:CN35" ca="1" si="21">SUM(CB31,CB33)</f>
        <v>17027909.671828341</v>
      </c>
      <c r="CC35" s="77">
        <f t="shared" ca="1" si="21"/>
        <v>16802438.820202656</v>
      </c>
      <c r="CD35" s="77">
        <f t="shared" ca="1" si="21"/>
        <v>17285474.720790006</v>
      </c>
      <c r="CE35" s="77">
        <f t="shared" ca="1" si="21"/>
        <v>18624656.3818902</v>
      </c>
      <c r="CF35" s="77">
        <f t="shared" ca="1" si="21"/>
        <v>18911108.191960618</v>
      </c>
      <c r="CG35" s="77">
        <f t="shared" ca="1" si="21"/>
        <v>18940251.144391593</v>
      </c>
      <c r="CH35" s="77">
        <f t="shared" ca="1" si="21"/>
        <v>19231405.136053279</v>
      </c>
      <c r="CI35" s="77">
        <f t="shared" ca="1" si="21"/>
        <v>20793039.29841473</v>
      </c>
      <c r="CJ35" s="77">
        <f t="shared" ca="1" si="21"/>
        <v>21131116.411878332</v>
      </c>
      <c r="CK35" s="77">
        <f t="shared" ca="1" si="21"/>
        <v>20916371.692026071</v>
      </c>
      <c r="CL35" s="77">
        <f t="shared" ca="1" si="21"/>
        <v>21555061.258100022</v>
      </c>
      <c r="CM35" s="77">
        <f t="shared" ca="1" si="21"/>
        <v>23201454.189773314</v>
      </c>
      <c r="CN35" s="77">
        <f t="shared" ca="1" si="21"/>
        <v>11734677.477756262</v>
      </c>
    </row>
    <row r="36" spans="1:92" ht="12.75" customHeight="1" x14ac:dyDescent="0.3">
      <c r="D36" s="75"/>
      <c r="H36" s="1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</row>
    <row r="37" spans="1:92" ht="12.75" customHeight="1" x14ac:dyDescent="0.3">
      <c r="D37" s="75" t="s">
        <v>212</v>
      </c>
      <c r="H37" s="16" t="s">
        <v>1</v>
      </c>
      <c r="J37" s="58">
        <f ca="1">SUM(L37:CN37)</f>
        <v>-742682099.10194898</v>
      </c>
      <c r="L37" s="58">
        <f t="shared" ref="L37:AQ37" si="22">L86</f>
        <v>0</v>
      </c>
      <c r="M37" s="58">
        <f t="shared" ca="1" si="22"/>
        <v>0</v>
      </c>
      <c r="N37" s="58">
        <f t="shared" ca="1" si="22"/>
        <v>0</v>
      </c>
      <c r="O37" s="58">
        <f t="shared" ca="1" si="22"/>
        <v>0</v>
      </c>
      <c r="P37" s="58">
        <f t="shared" ca="1" si="22"/>
        <v>0</v>
      </c>
      <c r="Q37" s="58">
        <f t="shared" ca="1" si="22"/>
        <v>0</v>
      </c>
      <c r="R37" s="58">
        <f t="shared" ca="1" si="22"/>
        <v>0</v>
      </c>
      <c r="S37" s="58">
        <f t="shared" ca="1" si="22"/>
        <v>0</v>
      </c>
      <c r="T37" s="58">
        <f t="shared" ca="1" si="22"/>
        <v>0</v>
      </c>
      <c r="U37" s="58">
        <f t="shared" ca="1" si="22"/>
        <v>0</v>
      </c>
      <c r="V37" s="58">
        <f t="shared" ca="1" si="22"/>
        <v>0</v>
      </c>
      <c r="W37" s="58">
        <f t="shared" ca="1" si="22"/>
        <v>-37994.016694684789</v>
      </c>
      <c r="X37" s="58">
        <f t="shared" ca="1" si="22"/>
        <v>-29586.549730336672</v>
      </c>
      <c r="Y37" s="58">
        <f t="shared" ca="1" si="22"/>
        <v>0</v>
      </c>
      <c r="Z37" s="58">
        <f t="shared" ca="1" si="22"/>
        <v>0</v>
      </c>
      <c r="AA37" s="58">
        <f t="shared" ca="1" si="22"/>
        <v>-275085.45112435572</v>
      </c>
      <c r="AB37" s="58">
        <f t="shared" ca="1" si="22"/>
        <v>-263398.82224869984</v>
      </c>
      <c r="AC37" s="58">
        <f t="shared" ca="1" si="22"/>
        <v>-63841.124540677163</v>
      </c>
      <c r="AD37" s="58">
        <f t="shared" ca="1" si="22"/>
        <v>-166657.9216395781</v>
      </c>
      <c r="AE37" s="58">
        <f t="shared" ca="1" si="22"/>
        <v>-5395951.1409263769</v>
      </c>
      <c r="AF37" s="58">
        <f t="shared" ca="1" si="22"/>
        <v>-7042609.1453947313</v>
      </c>
      <c r="AG37" s="58">
        <f t="shared" ca="1" si="22"/>
        <v>-6769460.039929118</v>
      </c>
      <c r="AH37" s="58">
        <f t="shared" ca="1" si="22"/>
        <v>-6890055.5051010074</v>
      </c>
      <c r="AI37" s="58">
        <f t="shared" ca="1" si="22"/>
        <v>-7446428.3774000816</v>
      </c>
      <c r="AJ37" s="58">
        <f t="shared" ca="1" si="22"/>
        <v>-7455888.7112132348</v>
      </c>
      <c r="AK37" s="58">
        <f t="shared" ca="1" si="22"/>
        <v>-7363514.7069426719</v>
      </c>
      <c r="AL37" s="58">
        <f t="shared" ca="1" si="22"/>
        <v>-7375094.1989208339</v>
      </c>
      <c r="AM37" s="58">
        <f t="shared" ca="1" si="22"/>
        <v>-7851678.2674026219</v>
      </c>
      <c r="AN37" s="58">
        <f t="shared" ca="1" si="22"/>
        <v>-7867527.2993785152</v>
      </c>
      <c r="AO37" s="58">
        <f t="shared" ca="1" si="22"/>
        <v>-7628225.7523225378</v>
      </c>
      <c r="AP37" s="58">
        <f t="shared" ca="1" si="22"/>
        <v>-7772129.5062007988</v>
      </c>
      <c r="AQ37" s="58">
        <f t="shared" ca="1" si="22"/>
        <v>-8329059.2017490398</v>
      </c>
      <c r="AR37" s="58">
        <f t="shared" ref="AR37:BW37" ca="1" si="23">AR86</f>
        <v>-8354204.0573608503</v>
      </c>
      <c r="AS37" s="58">
        <f t="shared" ca="1" si="23"/>
        <v>-8105576.8296271935</v>
      </c>
      <c r="AT37" s="58">
        <f t="shared" ca="1" si="23"/>
        <v>-8265063.889108384</v>
      </c>
      <c r="AU37" s="58">
        <f t="shared" ca="1" si="23"/>
        <v>-8815690.5163415782</v>
      </c>
      <c r="AV37" s="58">
        <f t="shared" ca="1" si="23"/>
        <v>-8850036.3831307404</v>
      </c>
      <c r="AW37" s="58">
        <f t="shared" ca="1" si="23"/>
        <v>-8599676.0264262054</v>
      </c>
      <c r="AX37" s="58">
        <f t="shared" ca="1" si="23"/>
        <v>-8774939.1444700249</v>
      </c>
      <c r="AY37" s="58">
        <f t="shared" ca="1" si="23"/>
        <v>-9409068.5321837086</v>
      </c>
      <c r="AZ37" s="58">
        <f t="shared" ca="1" si="23"/>
        <v>-9456786.5736380145</v>
      </c>
      <c r="BA37" s="58">
        <f t="shared" ca="1" si="23"/>
        <v>-9357199.8488865048</v>
      </c>
      <c r="BB37" s="58">
        <f t="shared" ca="1" si="23"/>
        <v>-9408927.8761081882</v>
      </c>
      <c r="BC37" s="58">
        <f t="shared" ca="1" si="23"/>
        <v>-10102913.96025328</v>
      </c>
      <c r="BD37" s="58">
        <f t="shared" ca="1" si="23"/>
        <v>-10166477.174232978</v>
      </c>
      <c r="BE37" s="58">
        <f t="shared" ca="1" si="23"/>
        <v>-9920755.1074689738</v>
      </c>
      <c r="BF37" s="58">
        <f t="shared" ca="1" si="23"/>
        <v>-10142367.462956734</v>
      </c>
      <c r="BG37" s="58">
        <f t="shared" ca="1" si="23"/>
        <v>-10821006.861239552</v>
      </c>
      <c r="BH37" s="58">
        <f t="shared" ca="1" si="23"/>
        <v>-10900400.982478656</v>
      </c>
      <c r="BI37" s="58">
        <f t="shared" ca="1" si="23"/>
        <v>-10650814.859605711</v>
      </c>
      <c r="BJ37" s="58">
        <f t="shared" ca="1" si="23"/>
        <v>-10897857.550264353</v>
      </c>
      <c r="BK37" s="58">
        <f t="shared" ca="1" si="23"/>
        <v>-11706052.171082821</v>
      </c>
      <c r="BL37" s="58">
        <f t="shared" ca="1" si="23"/>
        <v>-11807436.701124651</v>
      </c>
      <c r="BM37" s="58">
        <f t="shared" ca="1" si="23"/>
        <v>-11560374.443776287</v>
      </c>
      <c r="BN37" s="58">
        <f t="shared" ca="1" si="23"/>
        <v>-11841183.228229139</v>
      </c>
      <c r="BO37" s="58">
        <f t="shared" ca="1" si="23"/>
        <v>-12677226.953475293</v>
      </c>
      <c r="BP37" s="58">
        <f t="shared" ca="1" si="23"/>
        <v>-12802121.285885153</v>
      </c>
      <c r="BQ37" s="58">
        <f t="shared" ca="1" si="23"/>
        <v>-12743457.005251378</v>
      </c>
      <c r="BR37" s="58">
        <f t="shared" ca="1" si="23"/>
        <v>-12876223.126260825</v>
      </c>
      <c r="BS37" s="58">
        <f t="shared" ca="1" si="23"/>
        <v>-13878475.673930611</v>
      </c>
      <c r="BT37" s="58">
        <f t="shared" ca="1" si="23"/>
        <v>-12975058.37909276</v>
      </c>
      <c r="BU37" s="58">
        <f t="shared" ca="1" si="23"/>
        <v>-12529601.224657895</v>
      </c>
      <c r="BV37" s="58">
        <f t="shared" ca="1" si="23"/>
        <v>-13137158.467497252</v>
      </c>
      <c r="BW37" s="58">
        <f t="shared" ca="1" si="23"/>
        <v>-14360049.761766039</v>
      </c>
      <c r="BX37" s="58">
        <f t="shared" ref="BX37:CN37" ca="1" si="24">BX86</f>
        <v>-14370037.854316846</v>
      </c>
      <c r="BY37" s="58">
        <f t="shared" ca="1" si="24"/>
        <v>-14004055.553525837</v>
      </c>
      <c r="BZ37" s="58">
        <f t="shared" ca="1" si="24"/>
        <v>-14601457.735345244</v>
      </c>
      <c r="CA37" s="58">
        <f t="shared" ca="1" si="24"/>
        <v>-15927609.059382938</v>
      </c>
      <c r="CB37" s="58">
        <f t="shared" ca="1" si="24"/>
        <v>-15975218.392679371</v>
      </c>
      <c r="CC37" s="58">
        <f t="shared" ca="1" si="24"/>
        <v>-15587219.058078155</v>
      </c>
      <c r="CD37" s="58">
        <f t="shared" ca="1" si="24"/>
        <v>-16282053.09724699</v>
      </c>
      <c r="CE37" s="58">
        <f t="shared" ca="1" si="24"/>
        <v>-17794845.229041256</v>
      </c>
      <c r="CF37" s="58">
        <f t="shared" ca="1" si="24"/>
        <v>-18865625.540976699</v>
      </c>
      <c r="CG37" s="58">
        <f t="shared" ca="1" si="24"/>
        <v>-18839212.422249097</v>
      </c>
      <c r="CH37" s="58">
        <f t="shared" ca="1" si="24"/>
        <v>-19184677.034486454</v>
      </c>
      <c r="CI37" s="58">
        <f t="shared" ca="1" si="24"/>
        <v>-20793039.29841473</v>
      </c>
      <c r="CJ37" s="58">
        <f t="shared" ca="1" si="24"/>
        <v>-21131116.411878332</v>
      </c>
      <c r="CK37" s="58">
        <f t="shared" ca="1" si="24"/>
        <v>-20916371.692026071</v>
      </c>
      <c r="CL37" s="58">
        <f t="shared" ca="1" si="24"/>
        <v>-21555061.258100022</v>
      </c>
      <c r="CM37" s="58">
        <f t="shared" ca="1" si="24"/>
        <v>-23201454.189773314</v>
      </c>
      <c r="CN37" s="58">
        <f t="shared" ca="1" si="24"/>
        <v>-11734677.477756262</v>
      </c>
    </row>
    <row r="38" spans="1:92" ht="12.75" customHeight="1" x14ac:dyDescent="0.3">
      <c r="D38" s="91" t="s">
        <v>213</v>
      </c>
      <c r="H38" s="16" t="s">
        <v>1</v>
      </c>
      <c r="J38" s="58">
        <f ca="1">SUM(L38:CN38)</f>
        <v>-5649012.1052237004</v>
      </c>
      <c r="L38" s="59">
        <f>SUM(L35,L37)</f>
        <v>0</v>
      </c>
      <c r="M38" s="59">
        <f t="shared" ref="M38:O38" ca="1" si="25">SUM(M35,M37)</f>
        <v>-2676427.7629760006</v>
      </c>
      <c r="N38" s="59">
        <f t="shared" ca="1" si="25"/>
        <v>-2564434.0272824317</v>
      </c>
      <c r="O38" s="59">
        <f t="shared" ca="1" si="25"/>
        <v>-2268105.2283123937</v>
      </c>
      <c r="P38" s="59">
        <f t="shared" ref="P38" ca="1" si="26">SUM(P35,P37)</f>
        <v>-2290970.6688959086</v>
      </c>
      <c r="Q38" s="59">
        <f t="shared" ref="Q38" ca="1" si="27">SUM(Q35,Q37)</f>
        <v>-2527950.0321332663</v>
      </c>
      <c r="R38" s="59">
        <f t="shared" ref="R38" ca="1" si="28">SUM(R35,R37)</f>
        <v>-2391338.0222992022</v>
      </c>
      <c r="S38" s="59">
        <f t="shared" ref="S38" ca="1" si="29">SUM(S35,S37)</f>
        <v>-1993713.2279758169</v>
      </c>
      <c r="T38" s="59">
        <f t="shared" ref="T38" ca="1" si="30">SUM(T35,T37)</f>
        <v>-377839.61331997713</v>
      </c>
      <c r="U38" s="59">
        <f t="shared" ref="U38" ca="1" si="31">SUM(U35,U37)</f>
        <v>-452408.43663567526</v>
      </c>
      <c r="V38" s="59">
        <f t="shared" ref="V38" ca="1" si="32">SUM(V35,V37)</f>
        <v>-420409.21630642732</v>
      </c>
      <c r="W38" s="59">
        <f t="shared" ref="W38" ca="1" si="33">SUM(W35,W37)</f>
        <v>0</v>
      </c>
      <c r="X38" s="59">
        <f t="shared" ref="X38" ca="1" si="34">SUM(X35,X37)</f>
        <v>0</v>
      </c>
      <c r="Y38" s="59">
        <f t="shared" ref="Y38" ca="1" si="35">SUM(Y35,Y37)</f>
        <v>-207821.38152768707</v>
      </c>
      <c r="Z38" s="59">
        <f t="shared" ref="Z38" ca="1" si="36">SUM(Z35,Z37)</f>
        <v>-119716.12644434418</v>
      </c>
      <c r="AA38" s="59">
        <f t="shared" ref="AA38" ca="1" si="37">SUM(AA35,AA37)</f>
        <v>0</v>
      </c>
      <c r="AB38" s="59">
        <f t="shared" ref="AB38" ca="1" si="38">SUM(AB35,AB37)</f>
        <v>0</v>
      </c>
      <c r="AC38" s="59">
        <f t="shared" ref="AC38" ca="1" si="39">SUM(AC35,AC37)</f>
        <v>0</v>
      </c>
      <c r="AD38" s="59">
        <f t="shared" ref="AD38" ca="1" si="40">SUM(AD35,AD37)</f>
        <v>0</v>
      </c>
      <c r="AE38" s="59">
        <f t="shared" ref="AE38" ca="1" si="41">SUM(AE35,AE37)</f>
        <v>0</v>
      </c>
      <c r="AF38" s="59">
        <f t="shared" ref="AF38" ca="1" si="42">SUM(AF35,AF37)</f>
        <v>0</v>
      </c>
      <c r="AG38" s="59">
        <f t="shared" ref="AG38" ca="1" si="43">SUM(AG35,AG37)</f>
        <v>0</v>
      </c>
      <c r="AH38" s="59">
        <f t="shared" ref="AH38" ca="1" si="44">SUM(AH35,AH37)</f>
        <v>0</v>
      </c>
      <c r="AI38" s="59">
        <f t="shared" ref="AI38" ca="1" si="45">SUM(AI35,AI37)</f>
        <v>0</v>
      </c>
      <c r="AJ38" s="59">
        <f t="shared" ref="AJ38" ca="1" si="46">SUM(AJ35,AJ37)</f>
        <v>0</v>
      </c>
      <c r="AK38" s="59">
        <f t="shared" ref="AK38" ca="1" si="47">SUM(AK35,AK37)</f>
        <v>0</v>
      </c>
      <c r="AL38" s="59">
        <f t="shared" ref="AL38" ca="1" si="48">SUM(AL35,AL37)</f>
        <v>0</v>
      </c>
      <c r="AM38" s="59">
        <f t="shared" ref="AM38" ca="1" si="49">SUM(AM35,AM37)</f>
        <v>0</v>
      </c>
      <c r="AN38" s="59">
        <f t="shared" ref="AN38" ca="1" si="50">SUM(AN35,AN37)</f>
        <v>0</v>
      </c>
      <c r="AO38" s="59">
        <f t="shared" ref="AO38" ca="1" si="51">SUM(AO35,AO37)</f>
        <v>0</v>
      </c>
      <c r="AP38" s="59">
        <f t="shared" ref="AP38" ca="1" si="52">SUM(AP35,AP37)</f>
        <v>0</v>
      </c>
      <c r="AQ38" s="59">
        <f t="shared" ref="AQ38" ca="1" si="53">SUM(AQ35,AQ37)</f>
        <v>0</v>
      </c>
      <c r="AR38" s="59">
        <f t="shared" ref="AR38" ca="1" si="54">SUM(AR35,AR37)</f>
        <v>0</v>
      </c>
      <c r="AS38" s="59">
        <f t="shared" ref="AS38" ca="1" si="55">SUM(AS35,AS37)</f>
        <v>0</v>
      </c>
      <c r="AT38" s="59">
        <f t="shared" ref="AT38" ca="1" si="56">SUM(AT35,AT37)</f>
        <v>0</v>
      </c>
      <c r="AU38" s="59">
        <f t="shared" ref="AU38" ca="1" si="57">SUM(AU35,AU37)</f>
        <v>0</v>
      </c>
      <c r="AV38" s="59">
        <f t="shared" ref="AV38" ca="1" si="58">SUM(AV35,AV37)</f>
        <v>0</v>
      </c>
      <c r="AW38" s="59">
        <f t="shared" ref="AW38" ca="1" si="59">SUM(AW35,AW37)</f>
        <v>0</v>
      </c>
      <c r="AX38" s="59">
        <f t="shared" ref="AX38" ca="1" si="60">SUM(AX35,AX37)</f>
        <v>0</v>
      </c>
      <c r="AY38" s="59">
        <f t="shared" ref="AY38" ca="1" si="61">SUM(AY35,AY37)</f>
        <v>0</v>
      </c>
      <c r="AZ38" s="59">
        <f t="shared" ref="AZ38" ca="1" si="62">SUM(AZ35,AZ37)</f>
        <v>0</v>
      </c>
      <c r="BA38" s="59">
        <f t="shared" ref="BA38" ca="1" si="63">SUM(BA35,BA37)</f>
        <v>0</v>
      </c>
      <c r="BB38" s="59">
        <f t="shared" ref="BB38" ca="1" si="64">SUM(BB35,BB37)</f>
        <v>0</v>
      </c>
      <c r="BC38" s="59">
        <f t="shared" ref="BC38" ca="1" si="65">SUM(BC35,BC37)</f>
        <v>0</v>
      </c>
      <c r="BD38" s="59">
        <f t="shared" ref="BD38" ca="1" si="66">SUM(BD35,BD37)</f>
        <v>0</v>
      </c>
      <c r="BE38" s="59">
        <f t="shared" ref="BE38" ca="1" si="67">SUM(BE35,BE37)</f>
        <v>0</v>
      </c>
      <c r="BF38" s="59">
        <f t="shared" ref="BF38" ca="1" si="68">SUM(BF35,BF37)</f>
        <v>0</v>
      </c>
      <c r="BG38" s="59">
        <f t="shared" ref="BG38" ca="1" si="69">SUM(BG35,BG37)</f>
        <v>0</v>
      </c>
      <c r="BH38" s="59">
        <f t="shared" ref="BH38" ca="1" si="70">SUM(BH35,BH37)</f>
        <v>0</v>
      </c>
      <c r="BI38" s="59">
        <f t="shared" ref="BI38" ca="1" si="71">SUM(BI35,BI37)</f>
        <v>0</v>
      </c>
      <c r="BJ38" s="59">
        <f t="shared" ref="BJ38" ca="1" si="72">SUM(BJ35,BJ37)</f>
        <v>0</v>
      </c>
      <c r="BK38" s="59">
        <f t="shared" ref="BK38" ca="1" si="73">SUM(BK35,BK37)</f>
        <v>0</v>
      </c>
      <c r="BL38" s="59">
        <f t="shared" ref="BL38" ca="1" si="74">SUM(BL35,BL37)</f>
        <v>0</v>
      </c>
      <c r="BM38" s="59">
        <f t="shared" ref="BM38" ca="1" si="75">SUM(BM35,BM37)</f>
        <v>0</v>
      </c>
      <c r="BN38" s="59">
        <f t="shared" ref="BN38" ca="1" si="76">SUM(BN35,BN37)</f>
        <v>0</v>
      </c>
      <c r="BO38" s="59">
        <f t="shared" ref="BO38" ca="1" si="77">SUM(BO35,BO37)</f>
        <v>0</v>
      </c>
      <c r="BP38" s="59">
        <f t="shared" ref="BP38" ca="1" si="78">SUM(BP35,BP37)</f>
        <v>0</v>
      </c>
      <c r="BQ38" s="59">
        <f t="shared" ref="BQ38" ca="1" si="79">SUM(BQ35,BQ37)</f>
        <v>0</v>
      </c>
      <c r="BR38" s="59">
        <f t="shared" ref="BR38" ca="1" si="80">SUM(BR35,BR37)</f>
        <v>0</v>
      </c>
      <c r="BS38" s="59">
        <f t="shared" ref="BS38" ca="1" si="81">SUM(BS35,BS37)</f>
        <v>1870.8094094544649</v>
      </c>
      <c r="BT38" s="59">
        <f t="shared" ref="BT38" ca="1" si="82">SUM(BT35,BT37)</f>
        <v>1062210.9312573038</v>
      </c>
      <c r="BU38" s="59">
        <f t="shared" ref="BU38" ca="1" si="83">SUM(BU35,BU37)</f>
        <v>1262737.3893523011</v>
      </c>
      <c r="BV38" s="59">
        <f t="shared" ref="BV38" ca="1" si="84">SUM(BV35,BV37)</f>
        <v>1020791.9641081803</v>
      </c>
      <c r="BW38" s="59">
        <f t="shared" ref="BW38" ca="1" si="85">SUM(BW35,BW37)</f>
        <v>874887.72762247175</v>
      </c>
      <c r="BX38" s="59">
        <f t="shared" ref="BX38" ca="1" si="86">SUM(BX35,BX37)</f>
        <v>1058406.638882177</v>
      </c>
      <c r="BY38" s="59">
        <f t="shared" ref="BY38" ca="1" si="87">SUM(BY35,BY37)</f>
        <v>1189710.0990161188</v>
      </c>
      <c r="BZ38" s="59">
        <f t="shared" ref="BZ38" ca="1" si="88">SUM(BZ35,BZ37)</f>
        <v>1012314.001326073</v>
      </c>
      <c r="CA38" s="59">
        <f t="shared" ref="CA38" ca="1" si="89">SUM(CA35,CA37)</f>
        <v>864798.78555268049</v>
      </c>
      <c r="CB38" s="59">
        <f t="shared" ref="CB38" ca="1" si="90">SUM(CB35,CB37)</f>
        <v>1052691.2791489698</v>
      </c>
      <c r="CC38" s="59">
        <f t="shared" ref="CC38" ca="1" si="91">SUM(CC35,CC37)</f>
        <v>1215219.7621245012</v>
      </c>
      <c r="CD38" s="59">
        <f t="shared" ref="CD38" ca="1" si="92">SUM(CD35,CD37)</f>
        <v>1003421.6235430166</v>
      </c>
      <c r="CE38" s="59">
        <f t="shared" ref="CE38" ca="1" si="93">SUM(CE35,CE37)</f>
        <v>829811.15284894407</v>
      </c>
      <c r="CF38" s="59">
        <f t="shared" ref="CF38" ca="1" si="94">SUM(CF35,CF37)</f>
        <v>45482.650983918458</v>
      </c>
      <c r="CG38" s="59">
        <f t="shared" ref="CG38" ca="1" si="95">SUM(CG35,CG37)</f>
        <v>101038.72214249521</v>
      </c>
      <c r="CH38" s="59">
        <f t="shared" ref="CH38" ca="1" si="96">SUM(CH35,CH37)</f>
        <v>46728.101566825062</v>
      </c>
      <c r="CI38" s="59">
        <f t="shared" ref="CI38" ca="1" si="97">SUM(CI35,CI37)</f>
        <v>0</v>
      </c>
      <c r="CJ38" s="59">
        <f t="shared" ref="CJ38" ca="1" si="98">SUM(CJ35,CJ37)</f>
        <v>0</v>
      </c>
      <c r="CK38" s="59">
        <f t="shared" ref="CK38" ca="1" si="99">SUM(CK35,CK37)</f>
        <v>0</v>
      </c>
      <c r="CL38" s="59">
        <f t="shared" ref="CL38" ca="1" si="100">SUM(CL35,CL37)</f>
        <v>0</v>
      </c>
      <c r="CM38" s="59">
        <f t="shared" ref="CM38" ca="1" si="101">SUM(CM35,CM37)</f>
        <v>0</v>
      </c>
      <c r="CN38" s="59">
        <f t="shared" ref="CN38" ca="1" si="102">SUM(CN35,CN37)</f>
        <v>0</v>
      </c>
    </row>
    <row r="39" spans="1:92" ht="12.75" customHeight="1" x14ac:dyDescent="0.3">
      <c r="D39" s="75"/>
      <c r="H39" s="16"/>
    </row>
    <row r="40" spans="1:92" ht="13.2" x14ac:dyDescent="0.25">
      <c r="A40" s="14">
        <f>MAX(A$3:A39)+0.01</f>
        <v>5.0199999999999996</v>
      </c>
      <c r="B40" s="14"/>
      <c r="C40" s="14" t="s">
        <v>214</v>
      </c>
      <c r="D40" s="20"/>
      <c r="E40" s="14"/>
      <c r="F40" s="14"/>
      <c r="G40" s="14"/>
      <c r="H40" s="57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</row>
    <row r="41" spans="1:92" ht="12.75" customHeight="1" x14ac:dyDescent="0.3">
      <c r="C41" s="17"/>
      <c r="D41" s="75"/>
      <c r="H41" s="16"/>
    </row>
    <row r="42" spans="1:92" ht="12.75" customHeight="1" x14ac:dyDescent="0.3">
      <c r="C42" s="17" t="s">
        <v>215</v>
      </c>
      <c r="D42" s="75"/>
      <c r="H42" s="16"/>
    </row>
    <row r="43" spans="1:92" ht="12.75" customHeight="1" x14ac:dyDescent="0.3">
      <c r="C43" s="17"/>
      <c r="D43" s="75" t="s">
        <v>17</v>
      </c>
      <c r="H43" s="16" t="s">
        <v>1</v>
      </c>
      <c r="L43" s="72">
        <f>Ass!I135</f>
        <v>1000000</v>
      </c>
      <c r="M43" s="58">
        <f t="shared" ref="M43:AR43" ca="1" si="103">M92</f>
        <v>1000000</v>
      </c>
      <c r="N43" s="58">
        <f t="shared" ca="1" si="103"/>
        <v>1000000</v>
      </c>
      <c r="O43" s="58">
        <f t="shared" ca="1" si="103"/>
        <v>1000000</v>
      </c>
      <c r="P43" s="58">
        <f t="shared" ca="1" si="103"/>
        <v>1000000</v>
      </c>
      <c r="Q43" s="58">
        <f t="shared" ca="1" si="103"/>
        <v>1000000</v>
      </c>
      <c r="R43" s="58">
        <f t="shared" ca="1" si="103"/>
        <v>1000000</v>
      </c>
      <c r="S43" s="58">
        <f t="shared" ca="1" si="103"/>
        <v>1000000</v>
      </c>
      <c r="T43" s="58">
        <f t="shared" ca="1" si="103"/>
        <v>1000000</v>
      </c>
      <c r="U43" s="58">
        <f t="shared" ca="1" si="103"/>
        <v>1000000</v>
      </c>
      <c r="V43" s="58">
        <f t="shared" ca="1" si="103"/>
        <v>1000000</v>
      </c>
      <c r="W43" s="58">
        <f t="shared" ca="1" si="103"/>
        <v>5622050.7693219157</v>
      </c>
      <c r="X43" s="58">
        <f t="shared" ca="1" si="103"/>
        <v>11297056.979357041</v>
      </c>
      <c r="Y43" s="58">
        <f t="shared" ca="1" si="103"/>
        <v>16213292.998891842</v>
      </c>
      <c r="Z43" s="58">
        <f t="shared" ca="1" si="103"/>
        <v>21350278.238555372</v>
      </c>
      <c r="AA43" s="58">
        <f t="shared" ca="1" si="103"/>
        <v>26673310.754366104</v>
      </c>
      <c r="AB43" s="58">
        <f t="shared" ca="1" si="103"/>
        <v>31951457.40546548</v>
      </c>
      <c r="AC43" s="58">
        <f t="shared" ca="1" si="103"/>
        <v>37181038.363385126</v>
      </c>
      <c r="AD43" s="58">
        <f t="shared" ca="1" si="103"/>
        <v>42532315.770598471</v>
      </c>
      <c r="AE43" s="58">
        <f t="shared" ca="1" si="103"/>
        <v>43196157.681529067</v>
      </c>
      <c r="AF43" s="58">
        <f t="shared" ca="1" si="103"/>
        <v>42152341.362140298</v>
      </c>
      <c r="AG43" s="58">
        <f t="shared" ca="1" si="103"/>
        <v>41044133.113632396</v>
      </c>
      <c r="AH43" s="58">
        <f t="shared" ca="1" si="103"/>
        <v>40059694.612005271</v>
      </c>
      <c r="AI43" s="58">
        <f t="shared" ca="1" si="103"/>
        <v>39111093.194047138</v>
      </c>
      <c r="AJ43" s="58">
        <f t="shared" ca="1" si="103"/>
        <v>38047840.384915665</v>
      </c>
      <c r="AK43" s="58">
        <f t="shared" ca="1" si="103"/>
        <v>36929699.427668355</v>
      </c>
      <c r="AL43" s="58">
        <f t="shared" ca="1" si="103"/>
        <v>35848484.435565904</v>
      </c>
      <c r="AM43" s="58">
        <f t="shared" ca="1" si="103"/>
        <v>34871968.001157649</v>
      </c>
      <c r="AN43" s="58">
        <f t="shared" ca="1" si="103"/>
        <v>33792331.610754296</v>
      </c>
      <c r="AO43" s="58">
        <f t="shared" ca="1" si="103"/>
        <v>32623017.837530985</v>
      </c>
      <c r="AP43" s="58">
        <f t="shared" ca="1" si="103"/>
        <v>31573993.967884049</v>
      </c>
      <c r="AQ43" s="58">
        <f t="shared" ca="1" si="103"/>
        <v>30619523.050971985</v>
      </c>
      <c r="AR43" s="58">
        <f t="shared" ca="1" si="103"/>
        <v>29542268.263713129</v>
      </c>
      <c r="AS43" s="58">
        <f t="shared" ref="AS43:BX43" ca="1" si="104">AS92</f>
        <v>28341178.653256007</v>
      </c>
      <c r="AT43" s="58">
        <f t="shared" ca="1" si="104"/>
        <v>27294728.69013986</v>
      </c>
      <c r="AU43" s="58">
        <f t="shared" ca="1" si="104"/>
        <v>26332304.566669095</v>
      </c>
      <c r="AV43" s="58">
        <f t="shared" ca="1" si="104"/>
        <v>25256121.684525702</v>
      </c>
      <c r="AW43" s="58">
        <f t="shared" ca="1" si="104"/>
        <v>24045179.262574568</v>
      </c>
      <c r="AX43" s="58">
        <f t="shared" ca="1" si="104"/>
        <v>23000170.612514019</v>
      </c>
      <c r="AY43" s="58">
        <f t="shared" ca="1" si="104"/>
        <v>22054561.387830883</v>
      </c>
      <c r="AZ43" s="58">
        <f t="shared" ca="1" si="104"/>
        <v>20979757.202538989</v>
      </c>
      <c r="BA43" s="58">
        <f t="shared" ca="1" si="104"/>
        <v>19842339.657492556</v>
      </c>
      <c r="BB43" s="58">
        <f t="shared" ca="1" si="104"/>
        <v>18767449.647668812</v>
      </c>
      <c r="BC43" s="58">
        <f t="shared" ca="1" si="104"/>
        <v>17833793.251866981</v>
      </c>
      <c r="BD43" s="58">
        <f t="shared" ca="1" si="104"/>
        <v>16760909.097751845</v>
      </c>
      <c r="BE43" s="58">
        <f t="shared" ca="1" si="104"/>
        <v>15588404.324701756</v>
      </c>
      <c r="BF43" s="58">
        <f t="shared" ca="1" si="104"/>
        <v>14550136.312410802</v>
      </c>
      <c r="BG43" s="58">
        <f t="shared" ca="1" si="104"/>
        <v>13606940.193515651</v>
      </c>
      <c r="BH43" s="58">
        <f t="shared" ca="1" si="104"/>
        <v>12535547.374083903</v>
      </c>
      <c r="BI43" s="58">
        <f t="shared" ca="1" si="104"/>
        <v>11334492.604230266</v>
      </c>
      <c r="BJ43" s="58">
        <f t="shared" ca="1" si="104"/>
        <v>10298887.447239185</v>
      </c>
      <c r="BK43" s="58">
        <f t="shared" ca="1" si="104"/>
        <v>9381806.7685876861</v>
      </c>
      <c r="BL43" s="58">
        <f t="shared" ca="1" si="104"/>
        <v>8312851.1285947468</v>
      </c>
      <c r="BM43" s="58">
        <f t="shared" ca="1" si="104"/>
        <v>7120281.3333893158</v>
      </c>
      <c r="BN43" s="58">
        <f t="shared" ca="1" si="104"/>
        <v>6089346.7936524823</v>
      </c>
      <c r="BO43" s="58">
        <f t="shared" ca="1" si="104"/>
        <v>5169923.8146081641</v>
      </c>
      <c r="BP43" s="58">
        <f t="shared" ca="1" si="104"/>
        <v>4103427.788399728</v>
      </c>
      <c r="BQ43" s="58">
        <f t="shared" ca="1" si="104"/>
        <v>2947718.132052552</v>
      </c>
      <c r="BR43" s="58">
        <f t="shared" ca="1" si="104"/>
        <v>1881186.8063284326</v>
      </c>
      <c r="BS43" s="58">
        <f t="shared" ca="1" si="104"/>
        <v>1000000</v>
      </c>
      <c r="BT43" s="58">
        <f t="shared" ca="1" si="104"/>
        <v>1000000</v>
      </c>
      <c r="BU43" s="58">
        <f t="shared" ca="1" si="104"/>
        <v>1000000</v>
      </c>
      <c r="BV43" s="58">
        <f t="shared" ca="1" si="104"/>
        <v>1000000</v>
      </c>
      <c r="BW43" s="58">
        <f t="shared" ca="1" si="104"/>
        <v>1000000</v>
      </c>
      <c r="BX43" s="58">
        <f t="shared" ca="1" si="104"/>
        <v>1000000</v>
      </c>
      <c r="BY43" s="58">
        <f t="shared" ref="BY43:CN43" ca="1" si="105">BY92</f>
        <v>1000000</v>
      </c>
      <c r="BZ43" s="58">
        <f t="shared" ca="1" si="105"/>
        <v>1000000</v>
      </c>
      <c r="CA43" s="58">
        <f t="shared" ca="1" si="105"/>
        <v>1000000</v>
      </c>
      <c r="CB43" s="58">
        <f t="shared" ca="1" si="105"/>
        <v>1000000</v>
      </c>
      <c r="CC43" s="58">
        <f t="shared" ca="1" si="105"/>
        <v>1000000</v>
      </c>
      <c r="CD43" s="58">
        <f t="shared" ca="1" si="105"/>
        <v>1000000</v>
      </c>
      <c r="CE43" s="58">
        <f t="shared" ca="1" si="105"/>
        <v>1000000</v>
      </c>
      <c r="CF43" s="58">
        <f t="shared" ca="1" si="105"/>
        <v>1000000</v>
      </c>
      <c r="CG43" s="58">
        <f t="shared" ca="1" si="105"/>
        <v>1000000</v>
      </c>
      <c r="CH43" s="58">
        <f t="shared" ca="1" si="105"/>
        <v>1000000</v>
      </c>
      <c r="CI43" s="58">
        <f t="shared" ca="1" si="105"/>
        <v>1211514.6276489832</v>
      </c>
      <c r="CJ43" s="58">
        <f t="shared" ca="1" si="105"/>
        <v>1173575.7402582429</v>
      </c>
      <c r="CK43" s="58">
        <f t="shared" ca="1" si="105"/>
        <v>1019034.9476248547</v>
      </c>
      <c r="CL43" s="58">
        <f t="shared" ca="1" si="105"/>
        <v>1043206.4668662772</v>
      </c>
      <c r="CM43" s="58">
        <f t="shared" ca="1" si="105"/>
        <v>1259205.3940725923</v>
      </c>
      <c r="CN43" s="58">
        <f t="shared" ca="1" si="105"/>
        <v>14833685.448290192</v>
      </c>
    </row>
    <row r="44" spans="1:92" ht="12.75" customHeight="1" x14ac:dyDescent="0.3">
      <c r="C44" s="17"/>
      <c r="D44" s="75" t="s">
        <v>20</v>
      </c>
      <c r="H44" s="16" t="s">
        <v>1</v>
      </c>
      <c r="L44" s="72">
        <f>Ass!I136</f>
        <v>160000</v>
      </c>
      <c r="M44" s="15">
        <f>Ops!M137</f>
        <v>863914.87223999994</v>
      </c>
      <c r="N44" s="15">
        <f>Ops!N137</f>
        <v>879777.57028761599</v>
      </c>
      <c r="O44" s="15">
        <f>Ops!O137</f>
        <v>918465.81638494751</v>
      </c>
      <c r="P44" s="15">
        <f>Ops!P137</f>
        <v>925609.08042692346</v>
      </c>
      <c r="Q44" s="15">
        <f>Ops!Q137</f>
        <v>961411.35413077439</v>
      </c>
      <c r="R44" s="15">
        <f>Ops!R137</f>
        <v>980321.1233532984</v>
      </c>
      <c r="S44" s="15">
        <f>Ops!S137</f>
        <v>1020205.2736239398</v>
      </c>
      <c r="T44" s="15">
        <f>Ops!T137</f>
        <v>1024799.5920458174</v>
      </c>
      <c r="U44" s="15">
        <f>Ops!U137</f>
        <v>1033124.6886489172</v>
      </c>
      <c r="V44" s="15">
        <f>Ops!V137</f>
        <v>1038321.5284461337</v>
      </c>
      <c r="W44" s="15">
        <f>Ops!W137</f>
        <v>1082543.9200991977</v>
      </c>
      <c r="X44" s="15">
        <f>Ops!X137</f>
        <v>1088581.2363404068</v>
      </c>
      <c r="Y44" s="15">
        <f>Ops!Y137</f>
        <v>1084118.6479595175</v>
      </c>
      <c r="Z44" s="15">
        <f>Ops!Z137</f>
        <v>1102955.9656335085</v>
      </c>
      <c r="AA44" s="15">
        <f>Ops!AA137</f>
        <v>1149634.2112026145</v>
      </c>
      <c r="AB44" s="15">
        <f>Ops!AB137</f>
        <v>1157545.2930710558</v>
      </c>
      <c r="AC44" s="15">
        <f>Ops!AC137</f>
        <v>1141753.5400532167</v>
      </c>
      <c r="AD44" s="15">
        <f>Ops!AD137</f>
        <v>1163222.641442829</v>
      </c>
      <c r="AE44" s="15">
        <f>Ops!AE137</f>
        <v>1215407.6087067216</v>
      </c>
      <c r="AF44" s="15">
        <f>Ops!AF137</f>
        <v>1225609.9181761071</v>
      </c>
      <c r="AG44" s="15">
        <f>Ops!AG137</f>
        <v>1238356.8663533626</v>
      </c>
      <c r="AH44" s="15">
        <f>Ops!AH137</f>
        <v>1258500.7258076177</v>
      </c>
      <c r="AI44" s="15">
        <f>Ops!AI137</f>
        <v>1311128.2790675778</v>
      </c>
      <c r="AJ44" s="15">
        <f>Ops!AJ137</f>
        <v>1318368.3838389367</v>
      </c>
      <c r="AK44" s="15">
        <f>Ops!AK137</f>
        <v>1317724.5830713643</v>
      </c>
      <c r="AL44" s="15">
        <f>Ops!AL137</f>
        <v>1325587.1787208882</v>
      </c>
      <c r="AM44" s="15">
        <f>Ops!AM137</f>
        <v>1381822.2908432826</v>
      </c>
      <c r="AN44" s="15">
        <f>Ops!AN137</f>
        <v>1390711.0027572301</v>
      </c>
      <c r="AO44" s="15">
        <f>Ops!AO137</f>
        <v>1395523.9625861002</v>
      </c>
      <c r="AP44" s="15">
        <f>Ops!AP137</f>
        <v>1420795.4760097018</v>
      </c>
      <c r="AQ44" s="15">
        <f>Ops!AQ137</f>
        <v>1482545.7470768297</v>
      </c>
      <c r="AR44" s="15">
        <f>Ops!AR137</f>
        <v>1493558.6265287527</v>
      </c>
      <c r="AS44" s="15">
        <f>Ops!AS137</f>
        <v>1525470.7525693262</v>
      </c>
      <c r="AT44" s="15">
        <f>Ops!AT137</f>
        <v>1554699.7054787464</v>
      </c>
      <c r="AU44" s="15">
        <f>Ops!AU137</f>
        <v>1623933.945096181</v>
      </c>
      <c r="AV44" s="15">
        <f>Ops!AV137</f>
        <v>1637741.3061186483</v>
      </c>
      <c r="AW44" s="15">
        <f>Ops!AW137</f>
        <v>1677977.4121129182</v>
      </c>
      <c r="AX44" s="15">
        <f>Ops!AX137</f>
        <v>1712025.9810130948</v>
      </c>
      <c r="AY44" s="15">
        <f>Ops!AY137</f>
        <v>1792094.294170185</v>
      </c>
      <c r="AZ44" s="15">
        <f>Ops!AZ137</f>
        <v>1809466.8036273331</v>
      </c>
      <c r="BA44" s="15">
        <f>Ops!BA137</f>
        <v>1833561.4041417809</v>
      </c>
      <c r="BB44" s="15">
        <f>Ops!BB137</f>
        <v>1852475.0899399014</v>
      </c>
      <c r="BC44" s="15">
        <f>Ops!BC137</f>
        <v>1940959.1650224207</v>
      </c>
      <c r="BD44" s="15">
        <f>Ops!BD137</f>
        <v>1962253.2308599986</v>
      </c>
      <c r="BE44" s="15">
        <f>Ops!BE137</f>
        <v>1967173.9105106276</v>
      </c>
      <c r="BF44" s="15">
        <f>Ops!BF137</f>
        <v>2012171.4242047286</v>
      </c>
      <c r="BG44" s="15">
        <f>Ops!BG137</f>
        <v>2107151.7470747828</v>
      </c>
      <c r="BH44" s="15">
        <f>Ops!BH137</f>
        <v>2133056.084629742</v>
      </c>
      <c r="BI44" s="15">
        <f>Ops!BI137</f>
        <v>2162527.6837476026</v>
      </c>
      <c r="BJ44" s="15">
        <f>Ops!BJ137</f>
        <v>2214965.8662226475</v>
      </c>
      <c r="BK44" s="15">
        <f>Ops!BK137</f>
        <v>2327010.2233473347</v>
      </c>
      <c r="BL44" s="15">
        <f>Ops!BL137</f>
        <v>2358909.309208754</v>
      </c>
      <c r="BM44" s="15">
        <f>Ops!BM137</f>
        <v>2380897.6611680444</v>
      </c>
      <c r="BN44" s="15">
        <f>Ops!BN137</f>
        <v>2442113.9265494039</v>
      </c>
      <c r="BO44" s="15">
        <f>Ops!BO137</f>
        <v>2568336.019401975</v>
      </c>
      <c r="BP44" s="15">
        <f>Ops!BP137</f>
        <v>2607326.0853317128</v>
      </c>
      <c r="BQ44" s="15">
        <f>Ops!BQ137</f>
        <v>2662714.201127334</v>
      </c>
      <c r="BR44" s="15">
        <f>Ops!BR137</f>
        <v>2705153.0265807002</v>
      </c>
      <c r="BS44" s="15">
        <f>Ops!BS137</f>
        <v>2852080.3270759238</v>
      </c>
      <c r="BT44" s="15">
        <f>Ops!BT137</f>
        <v>2899821.1689509838</v>
      </c>
      <c r="BU44" s="15">
        <f>Ops!BU137</f>
        <v>2986416.8525940981</v>
      </c>
      <c r="BV44" s="15">
        <f>Ops!BV137</f>
        <v>3072485.2021319345</v>
      </c>
      <c r="BW44" s="15">
        <f>Ops!BW137</f>
        <v>3239174.3401190094</v>
      </c>
      <c r="BX44" s="15">
        <f>Ops!BX137</f>
        <v>3298377.8868321059</v>
      </c>
      <c r="BY44" s="15">
        <f>Ops!BY137</f>
        <v>3322215.8272286723</v>
      </c>
      <c r="BZ44" s="15">
        <f>Ops!BZ137</f>
        <v>3423159.8603652492</v>
      </c>
      <c r="CA44" s="15">
        <f>Ops!CA137</f>
        <v>3618514.949040486</v>
      </c>
      <c r="CB44" s="15">
        <f>Ops!CB137</f>
        <v>3690419.9184234971</v>
      </c>
      <c r="CC44" s="15">
        <f>Ops!CC137</f>
        <v>3741427.8852792289</v>
      </c>
      <c r="CD44" s="15">
        <f>Ops!CD137</f>
        <v>3861139.1195287667</v>
      </c>
      <c r="CE44" s="15">
        <f>Ops!CE137</f>
        <v>4080534.9913637969</v>
      </c>
      <c r="CF44" s="15">
        <f>Ops!CF137</f>
        <v>4167891.6639202498</v>
      </c>
      <c r="CG44" s="15">
        <f>Ops!CG137</f>
        <v>4212446.4926688923</v>
      </c>
      <c r="CH44" s="15">
        <f>Ops!CH137</f>
        <v>4305891.8938040389</v>
      </c>
      <c r="CI44" s="15">
        <f>Ops!CI137</f>
        <v>4565018.1523958128</v>
      </c>
      <c r="CJ44" s="15">
        <f>Ops!CJ137</f>
        <v>4669784.6101506334</v>
      </c>
      <c r="CK44" s="15">
        <f>Ops!CK137</f>
        <v>4674844.7282478269</v>
      </c>
      <c r="CL44" s="15">
        <f>Ops!CL137</f>
        <v>4838846.3105045762</v>
      </c>
      <c r="CM44" s="15">
        <f>Ops!CM137</f>
        <v>5133744.8569019223</v>
      </c>
      <c r="CN44" s="15">
        <f>Ops!CN137</f>
        <v>5259304.3735642331</v>
      </c>
    </row>
    <row r="45" spans="1:92" ht="12.75" customHeight="1" x14ac:dyDescent="0.3">
      <c r="C45" s="17"/>
      <c r="D45" s="75" t="s">
        <v>124</v>
      </c>
      <c r="H45" s="16" t="s">
        <v>1</v>
      </c>
      <c r="L45" s="72">
        <f>Ass!I137</f>
        <v>0</v>
      </c>
      <c r="M45" s="58">
        <f t="shared" ref="M45:AR45" ca="1" si="106">M110</f>
        <v>0</v>
      </c>
      <c r="N45" s="58">
        <f t="shared" ca="1" si="106"/>
        <v>0</v>
      </c>
      <c r="O45" s="58">
        <f t="shared" ca="1" si="106"/>
        <v>0</v>
      </c>
      <c r="P45" s="58">
        <f t="shared" ca="1" si="106"/>
        <v>0</v>
      </c>
      <c r="Q45" s="58">
        <f t="shared" ca="1" si="106"/>
        <v>0</v>
      </c>
      <c r="R45" s="58">
        <f t="shared" ca="1" si="106"/>
        <v>0</v>
      </c>
      <c r="S45" s="58">
        <f t="shared" ca="1" si="106"/>
        <v>0</v>
      </c>
      <c r="T45" s="58">
        <f t="shared" ca="1" si="106"/>
        <v>0</v>
      </c>
      <c r="U45" s="58">
        <f t="shared" ca="1" si="106"/>
        <v>0</v>
      </c>
      <c r="V45" s="58">
        <f t="shared" ca="1" si="106"/>
        <v>0</v>
      </c>
      <c r="W45" s="58">
        <f t="shared" ca="1" si="106"/>
        <v>0</v>
      </c>
      <c r="X45" s="58">
        <f t="shared" ca="1" si="106"/>
        <v>0</v>
      </c>
      <c r="Y45" s="58">
        <f t="shared" ca="1" si="106"/>
        <v>0</v>
      </c>
      <c r="Z45" s="58">
        <f t="shared" ca="1" si="106"/>
        <v>0</v>
      </c>
      <c r="AA45" s="58">
        <f t="shared" ca="1" si="106"/>
        <v>0</v>
      </c>
      <c r="AB45" s="58">
        <f t="shared" ca="1" si="106"/>
        <v>0</v>
      </c>
      <c r="AC45" s="58">
        <f t="shared" ca="1" si="106"/>
        <v>0</v>
      </c>
      <c r="AD45" s="58">
        <f t="shared" ca="1" si="106"/>
        <v>0</v>
      </c>
      <c r="AE45" s="58">
        <f t="shared" ca="1" si="106"/>
        <v>0</v>
      </c>
      <c r="AF45" s="58">
        <f t="shared" ca="1" si="106"/>
        <v>0</v>
      </c>
      <c r="AG45" s="58">
        <f t="shared" ca="1" si="106"/>
        <v>0</v>
      </c>
      <c r="AH45" s="58">
        <f t="shared" ca="1" si="106"/>
        <v>0</v>
      </c>
      <c r="AI45" s="58">
        <f t="shared" ca="1" si="106"/>
        <v>0</v>
      </c>
      <c r="AJ45" s="58">
        <f t="shared" ca="1" si="106"/>
        <v>0</v>
      </c>
      <c r="AK45" s="58">
        <f t="shared" ca="1" si="106"/>
        <v>0</v>
      </c>
      <c r="AL45" s="58">
        <f t="shared" ca="1" si="106"/>
        <v>0</v>
      </c>
      <c r="AM45" s="58">
        <f t="shared" ca="1" si="106"/>
        <v>0</v>
      </c>
      <c r="AN45" s="58">
        <f t="shared" ca="1" si="106"/>
        <v>0</v>
      </c>
      <c r="AO45" s="58">
        <f t="shared" ca="1" si="106"/>
        <v>0</v>
      </c>
      <c r="AP45" s="58">
        <f t="shared" ca="1" si="106"/>
        <v>0</v>
      </c>
      <c r="AQ45" s="58">
        <f t="shared" ca="1" si="106"/>
        <v>0</v>
      </c>
      <c r="AR45" s="58">
        <f t="shared" ca="1" si="106"/>
        <v>0</v>
      </c>
      <c r="AS45" s="58">
        <f t="shared" ref="AS45:BX45" ca="1" si="107">AS110</f>
        <v>0</v>
      </c>
      <c r="AT45" s="58">
        <f t="shared" ca="1" si="107"/>
        <v>0</v>
      </c>
      <c r="AU45" s="58">
        <f t="shared" ca="1" si="107"/>
        <v>0</v>
      </c>
      <c r="AV45" s="58">
        <f t="shared" ca="1" si="107"/>
        <v>0</v>
      </c>
      <c r="AW45" s="58">
        <f t="shared" ca="1" si="107"/>
        <v>0</v>
      </c>
      <c r="AX45" s="58">
        <f t="shared" ca="1" si="107"/>
        <v>0</v>
      </c>
      <c r="AY45" s="58">
        <f t="shared" ca="1" si="107"/>
        <v>0</v>
      </c>
      <c r="AZ45" s="58">
        <f t="shared" ca="1" si="107"/>
        <v>0</v>
      </c>
      <c r="BA45" s="58">
        <f t="shared" ca="1" si="107"/>
        <v>0</v>
      </c>
      <c r="BB45" s="58">
        <f t="shared" ca="1" si="107"/>
        <v>0</v>
      </c>
      <c r="BC45" s="58">
        <f t="shared" ca="1" si="107"/>
        <v>0</v>
      </c>
      <c r="BD45" s="58">
        <f t="shared" ca="1" si="107"/>
        <v>0</v>
      </c>
      <c r="BE45" s="58">
        <f t="shared" ca="1" si="107"/>
        <v>0</v>
      </c>
      <c r="BF45" s="58">
        <f t="shared" ca="1" si="107"/>
        <v>0</v>
      </c>
      <c r="BG45" s="58">
        <f t="shared" ca="1" si="107"/>
        <v>0</v>
      </c>
      <c r="BH45" s="58">
        <f t="shared" ca="1" si="107"/>
        <v>0</v>
      </c>
      <c r="BI45" s="58">
        <f t="shared" ca="1" si="107"/>
        <v>0</v>
      </c>
      <c r="BJ45" s="58">
        <f t="shared" ca="1" si="107"/>
        <v>0</v>
      </c>
      <c r="BK45" s="58">
        <f t="shared" ca="1" si="107"/>
        <v>0</v>
      </c>
      <c r="BL45" s="58">
        <f t="shared" ca="1" si="107"/>
        <v>0</v>
      </c>
      <c r="BM45" s="58">
        <f t="shared" ca="1" si="107"/>
        <v>0</v>
      </c>
      <c r="BN45" s="58">
        <f t="shared" ca="1" si="107"/>
        <v>0</v>
      </c>
      <c r="BO45" s="58">
        <f t="shared" ca="1" si="107"/>
        <v>0</v>
      </c>
      <c r="BP45" s="58">
        <f t="shared" ca="1" si="107"/>
        <v>0</v>
      </c>
      <c r="BQ45" s="58">
        <f t="shared" ca="1" si="107"/>
        <v>0</v>
      </c>
      <c r="BR45" s="58">
        <f t="shared" ca="1" si="107"/>
        <v>0</v>
      </c>
      <c r="BS45" s="58">
        <f t="shared" ca="1" si="107"/>
        <v>0</v>
      </c>
      <c r="BT45" s="58">
        <f t="shared" ca="1" si="107"/>
        <v>0</v>
      </c>
      <c r="BU45" s="58">
        <f t="shared" ca="1" si="107"/>
        <v>0</v>
      </c>
      <c r="BV45" s="58">
        <f t="shared" ca="1" si="107"/>
        <v>0</v>
      </c>
      <c r="BW45" s="58">
        <f t="shared" ca="1" si="107"/>
        <v>0</v>
      </c>
      <c r="BX45" s="58">
        <f t="shared" ca="1" si="107"/>
        <v>0</v>
      </c>
      <c r="BY45" s="58">
        <f t="shared" ref="BY45:CN45" ca="1" si="108">BY110</f>
        <v>0</v>
      </c>
      <c r="BZ45" s="58">
        <f t="shared" ca="1" si="108"/>
        <v>0</v>
      </c>
      <c r="CA45" s="58">
        <f t="shared" ca="1" si="108"/>
        <v>0</v>
      </c>
      <c r="CB45" s="58">
        <f t="shared" ca="1" si="108"/>
        <v>0</v>
      </c>
      <c r="CC45" s="58">
        <f t="shared" ca="1" si="108"/>
        <v>0</v>
      </c>
      <c r="CD45" s="58">
        <f t="shared" ca="1" si="108"/>
        <v>0</v>
      </c>
      <c r="CE45" s="58">
        <f t="shared" ca="1" si="108"/>
        <v>0</v>
      </c>
      <c r="CF45" s="58">
        <f t="shared" ca="1" si="108"/>
        <v>0</v>
      </c>
      <c r="CG45" s="58">
        <f t="shared" ca="1" si="108"/>
        <v>0</v>
      </c>
      <c r="CH45" s="58">
        <f t="shared" ca="1" si="108"/>
        <v>0</v>
      </c>
      <c r="CI45" s="58">
        <f t="shared" ca="1" si="108"/>
        <v>0</v>
      </c>
      <c r="CJ45" s="58">
        <f t="shared" ca="1" si="108"/>
        <v>0</v>
      </c>
      <c r="CK45" s="58">
        <f t="shared" ca="1" si="108"/>
        <v>0</v>
      </c>
      <c r="CL45" s="58">
        <f t="shared" ca="1" si="108"/>
        <v>0</v>
      </c>
      <c r="CM45" s="58">
        <f t="shared" ca="1" si="108"/>
        <v>0</v>
      </c>
      <c r="CN45" s="58">
        <f t="shared" ca="1" si="108"/>
        <v>0</v>
      </c>
    </row>
    <row r="46" spans="1:92" ht="12.75" customHeight="1" x14ac:dyDescent="0.3">
      <c r="C46" s="17"/>
      <c r="D46" s="91" t="s">
        <v>24</v>
      </c>
      <c r="H46" s="16" t="s">
        <v>1</v>
      </c>
      <c r="L46" s="50">
        <f t="shared" ref="L46:AQ46" si="109">SUM(L43:L45)</f>
        <v>1160000</v>
      </c>
      <c r="M46" s="50">
        <f t="shared" ca="1" si="109"/>
        <v>1863914.8722399999</v>
      </c>
      <c r="N46" s="50">
        <f t="shared" ca="1" si="109"/>
        <v>1879777.570287616</v>
      </c>
      <c r="O46" s="50">
        <f t="shared" ca="1" si="109"/>
        <v>1918465.8163849474</v>
      </c>
      <c r="P46" s="50">
        <f t="shared" ca="1" si="109"/>
        <v>1925609.0804269235</v>
      </c>
      <c r="Q46" s="50">
        <f t="shared" ca="1" si="109"/>
        <v>1961411.3541307743</v>
      </c>
      <c r="R46" s="50">
        <f t="shared" ca="1" si="109"/>
        <v>1980321.1233532983</v>
      </c>
      <c r="S46" s="50">
        <f t="shared" ca="1" si="109"/>
        <v>2020205.2736239398</v>
      </c>
      <c r="T46" s="50">
        <f t="shared" ca="1" si="109"/>
        <v>2024799.5920458175</v>
      </c>
      <c r="U46" s="50">
        <f t="shared" ca="1" si="109"/>
        <v>2033124.6886489172</v>
      </c>
      <c r="V46" s="50">
        <f t="shared" ca="1" si="109"/>
        <v>2038321.5284461337</v>
      </c>
      <c r="W46" s="50">
        <f t="shared" ca="1" si="109"/>
        <v>6704594.6894211136</v>
      </c>
      <c r="X46" s="50">
        <f t="shared" ca="1" si="109"/>
        <v>12385638.215697449</v>
      </c>
      <c r="Y46" s="50">
        <f t="shared" ca="1" si="109"/>
        <v>17297411.646851361</v>
      </c>
      <c r="Z46" s="50">
        <f t="shared" ca="1" si="109"/>
        <v>22453234.20418888</v>
      </c>
      <c r="AA46" s="50">
        <f t="shared" ca="1" si="109"/>
        <v>27822944.965568718</v>
      </c>
      <c r="AB46" s="50">
        <f t="shared" ca="1" si="109"/>
        <v>33109002.698536538</v>
      </c>
      <c r="AC46" s="50">
        <f t="shared" ca="1" si="109"/>
        <v>38322791.903438345</v>
      </c>
      <c r="AD46" s="50">
        <f t="shared" ca="1" si="109"/>
        <v>43695538.412041299</v>
      </c>
      <c r="AE46" s="50">
        <f t="shared" ca="1" si="109"/>
        <v>44411565.290235788</v>
      </c>
      <c r="AF46" s="50">
        <f t="shared" ca="1" si="109"/>
        <v>43377951.280316405</v>
      </c>
      <c r="AG46" s="50">
        <f t="shared" ca="1" si="109"/>
        <v>42282489.979985759</v>
      </c>
      <c r="AH46" s="50">
        <f t="shared" ca="1" si="109"/>
        <v>41318195.337812886</v>
      </c>
      <c r="AI46" s="50">
        <f t="shared" ca="1" si="109"/>
        <v>40422221.473114714</v>
      </c>
      <c r="AJ46" s="50">
        <f t="shared" ca="1" si="109"/>
        <v>39366208.768754601</v>
      </c>
      <c r="AK46" s="50">
        <f t="shared" ca="1" si="109"/>
        <v>38247424.010739721</v>
      </c>
      <c r="AL46" s="50">
        <f t="shared" ca="1" si="109"/>
        <v>37174071.614286795</v>
      </c>
      <c r="AM46" s="50">
        <f t="shared" ca="1" si="109"/>
        <v>36253790.292000934</v>
      </c>
      <c r="AN46" s="50">
        <f t="shared" ca="1" si="109"/>
        <v>35183042.613511525</v>
      </c>
      <c r="AO46" s="50">
        <f t="shared" ca="1" si="109"/>
        <v>34018541.800117083</v>
      </c>
      <c r="AP46" s="50">
        <f t="shared" ca="1" si="109"/>
        <v>32994789.443893749</v>
      </c>
      <c r="AQ46" s="50">
        <f t="shared" ca="1" si="109"/>
        <v>32102068.798048813</v>
      </c>
      <c r="AR46" s="50">
        <f t="shared" ref="AR46:BW46" ca="1" si="110">SUM(AR43:AR45)</f>
        <v>31035826.89024188</v>
      </c>
      <c r="AS46" s="50">
        <f t="shared" ca="1" si="110"/>
        <v>29866649.405825332</v>
      </c>
      <c r="AT46" s="50">
        <f t="shared" ca="1" si="110"/>
        <v>28849428.395618606</v>
      </c>
      <c r="AU46" s="50">
        <f t="shared" ca="1" si="110"/>
        <v>27956238.511765275</v>
      </c>
      <c r="AV46" s="50">
        <f t="shared" ca="1" si="110"/>
        <v>26893862.990644351</v>
      </c>
      <c r="AW46" s="50">
        <f t="shared" ca="1" si="110"/>
        <v>25723156.674687486</v>
      </c>
      <c r="AX46" s="50">
        <f t="shared" ca="1" si="110"/>
        <v>24712196.593527112</v>
      </c>
      <c r="AY46" s="50">
        <f t="shared" ca="1" si="110"/>
        <v>23846655.682001069</v>
      </c>
      <c r="AZ46" s="50">
        <f t="shared" ca="1" si="110"/>
        <v>22789224.006166324</v>
      </c>
      <c r="BA46" s="50">
        <f t="shared" ca="1" si="110"/>
        <v>21675901.061634336</v>
      </c>
      <c r="BB46" s="50">
        <f t="shared" ca="1" si="110"/>
        <v>20619924.737608712</v>
      </c>
      <c r="BC46" s="50">
        <f t="shared" ca="1" si="110"/>
        <v>19774752.416889403</v>
      </c>
      <c r="BD46" s="50">
        <f t="shared" ca="1" si="110"/>
        <v>18723162.328611843</v>
      </c>
      <c r="BE46" s="50">
        <f t="shared" ca="1" si="110"/>
        <v>17555578.235212386</v>
      </c>
      <c r="BF46" s="50">
        <f t="shared" ca="1" si="110"/>
        <v>16562307.736615531</v>
      </c>
      <c r="BG46" s="50">
        <f t="shared" ca="1" si="110"/>
        <v>15714091.940590434</v>
      </c>
      <c r="BH46" s="50">
        <f t="shared" ca="1" si="110"/>
        <v>14668603.458713645</v>
      </c>
      <c r="BI46" s="50">
        <f t="shared" ca="1" si="110"/>
        <v>13497020.287977869</v>
      </c>
      <c r="BJ46" s="50">
        <f t="shared" ca="1" si="110"/>
        <v>12513853.313461833</v>
      </c>
      <c r="BK46" s="50">
        <f t="shared" ca="1" si="110"/>
        <v>11708816.99193502</v>
      </c>
      <c r="BL46" s="50">
        <f t="shared" ca="1" si="110"/>
        <v>10671760.437803501</v>
      </c>
      <c r="BM46" s="50">
        <f t="shared" ca="1" si="110"/>
        <v>9501178.9945573602</v>
      </c>
      <c r="BN46" s="50">
        <f t="shared" ca="1" si="110"/>
        <v>8531460.7202018872</v>
      </c>
      <c r="BO46" s="50">
        <f t="shared" ca="1" si="110"/>
        <v>7738259.8340101391</v>
      </c>
      <c r="BP46" s="50">
        <f t="shared" ca="1" si="110"/>
        <v>6710753.8737314409</v>
      </c>
      <c r="BQ46" s="50">
        <f t="shared" ca="1" si="110"/>
        <v>5610432.3331798855</v>
      </c>
      <c r="BR46" s="50">
        <f t="shared" ca="1" si="110"/>
        <v>4586339.8329091333</v>
      </c>
      <c r="BS46" s="50">
        <f t="shared" ca="1" si="110"/>
        <v>3852080.3270759238</v>
      </c>
      <c r="BT46" s="50">
        <f t="shared" ca="1" si="110"/>
        <v>3899821.1689509838</v>
      </c>
      <c r="BU46" s="50">
        <f t="shared" ca="1" si="110"/>
        <v>3986416.8525940981</v>
      </c>
      <c r="BV46" s="50">
        <f t="shared" ca="1" si="110"/>
        <v>4072485.2021319345</v>
      </c>
      <c r="BW46" s="50">
        <f t="shared" ca="1" si="110"/>
        <v>4239174.3401190098</v>
      </c>
      <c r="BX46" s="50">
        <f t="shared" ref="BX46:CN46" ca="1" si="111">SUM(BX43:BX45)</f>
        <v>4298377.8868321059</v>
      </c>
      <c r="BY46" s="50">
        <f t="shared" ca="1" si="111"/>
        <v>4322215.8272286728</v>
      </c>
      <c r="BZ46" s="50">
        <f t="shared" ca="1" si="111"/>
        <v>4423159.8603652492</v>
      </c>
      <c r="CA46" s="50">
        <f t="shared" ca="1" si="111"/>
        <v>4618514.9490404855</v>
      </c>
      <c r="CB46" s="50">
        <f t="shared" ca="1" si="111"/>
        <v>4690419.9184234971</v>
      </c>
      <c r="CC46" s="50">
        <f t="shared" ca="1" si="111"/>
        <v>4741427.8852792289</v>
      </c>
      <c r="CD46" s="50">
        <f t="shared" ca="1" si="111"/>
        <v>4861139.1195287667</v>
      </c>
      <c r="CE46" s="50">
        <f t="shared" ca="1" si="111"/>
        <v>5080534.9913637973</v>
      </c>
      <c r="CF46" s="50">
        <f t="shared" ca="1" si="111"/>
        <v>5167891.6639202498</v>
      </c>
      <c r="CG46" s="50">
        <f t="shared" ca="1" si="111"/>
        <v>5212446.4926688923</v>
      </c>
      <c r="CH46" s="50">
        <f t="shared" ca="1" si="111"/>
        <v>5305891.8938040389</v>
      </c>
      <c r="CI46" s="50">
        <f t="shared" ca="1" si="111"/>
        <v>5776532.7800447959</v>
      </c>
      <c r="CJ46" s="50">
        <f t="shared" ca="1" si="111"/>
        <v>5843360.3504088763</v>
      </c>
      <c r="CK46" s="50">
        <f t="shared" ca="1" si="111"/>
        <v>5693879.6758726817</v>
      </c>
      <c r="CL46" s="50">
        <f t="shared" ca="1" si="111"/>
        <v>5882052.7773708533</v>
      </c>
      <c r="CM46" s="50">
        <f t="shared" ca="1" si="111"/>
        <v>6392950.2509745145</v>
      </c>
      <c r="CN46" s="50">
        <f t="shared" ca="1" si="111"/>
        <v>20092989.821854424</v>
      </c>
    </row>
    <row r="47" spans="1:92" ht="12.75" customHeight="1" x14ac:dyDescent="0.3">
      <c r="C47" s="17"/>
      <c r="D47" s="75"/>
      <c r="H47" s="16"/>
      <c r="L47" s="72"/>
    </row>
    <row r="48" spans="1:92" ht="12.75" customHeight="1" x14ac:dyDescent="0.3">
      <c r="C48" s="17"/>
      <c r="D48" s="75" t="s">
        <v>18</v>
      </c>
      <c r="H48" s="16" t="s">
        <v>1</v>
      </c>
      <c r="L48" s="72">
        <f>Ass!I140</f>
        <v>168400000</v>
      </c>
      <c r="M48" s="15">
        <f>CapexDA!M120</f>
        <v>157875000</v>
      </c>
      <c r="N48" s="15">
        <f>CapexDA!N120</f>
        <v>147350000</v>
      </c>
      <c r="O48" s="15">
        <f>CapexDA!O120</f>
        <v>136825000</v>
      </c>
      <c r="P48" s="15">
        <f>CapexDA!P120</f>
        <v>126300000</v>
      </c>
      <c r="Q48" s="15">
        <f>CapexDA!Q120</f>
        <v>115775000</v>
      </c>
      <c r="R48" s="15">
        <f>CapexDA!R120</f>
        <v>105250000</v>
      </c>
      <c r="S48" s="15">
        <f>CapexDA!S120</f>
        <v>94725000</v>
      </c>
      <c r="T48" s="15">
        <f>CapexDA!T120</f>
        <v>86305000</v>
      </c>
      <c r="U48" s="15">
        <f>CapexDA!U120</f>
        <v>77885000</v>
      </c>
      <c r="V48" s="15">
        <f>CapexDA!V120</f>
        <v>69465000</v>
      </c>
      <c r="W48" s="15">
        <f>CapexDA!W120</f>
        <v>61045000</v>
      </c>
      <c r="X48" s="15">
        <f>CapexDA!X120</f>
        <v>52625000</v>
      </c>
      <c r="Y48" s="15">
        <f>CapexDA!Y120</f>
        <v>44205000</v>
      </c>
      <c r="Z48" s="15">
        <f>CapexDA!Z120</f>
        <v>35785000</v>
      </c>
      <c r="AA48" s="15">
        <f>CapexDA!AA120</f>
        <v>27365000</v>
      </c>
      <c r="AB48" s="15">
        <f>CapexDA!AB120</f>
        <v>18945000</v>
      </c>
      <c r="AC48" s="15">
        <f>CapexDA!AC120</f>
        <v>10525000</v>
      </c>
      <c r="AD48" s="15">
        <f>CapexDA!AD120</f>
        <v>2105000</v>
      </c>
      <c r="AE48" s="15">
        <f>CapexDA!AE120</f>
        <v>0</v>
      </c>
      <c r="AF48" s="15">
        <f>CapexDA!AF120</f>
        <v>0</v>
      </c>
      <c r="AG48" s="15">
        <f>CapexDA!AG120</f>
        <v>0</v>
      </c>
      <c r="AH48" s="15">
        <f>CapexDA!AH120</f>
        <v>0</v>
      </c>
      <c r="AI48" s="15">
        <f>CapexDA!AI120</f>
        <v>0</v>
      </c>
      <c r="AJ48" s="15">
        <f>CapexDA!AJ120</f>
        <v>0</v>
      </c>
      <c r="AK48" s="15">
        <f>CapexDA!AK120</f>
        <v>0</v>
      </c>
      <c r="AL48" s="15">
        <f>CapexDA!AL120</f>
        <v>0</v>
      </c>
      <c r="AM48" s="15">
        <f>CapexDA!AM120</f>
        <v>0</v>
      </c>
      <c r="AN48" s="15">
        <f>CapexDA!AN120</f>
        <v>0</v>
      </c>
      <c r="AO48" s="15">
        <f>CapexDA!AO120</f>
        <v>0</v>
      </c>
      <c r="AP48" s="15">
        <f>CapexDA!AP120</f>
        <v>0</v>
      </c>
      <c r="AQ48" s="15">
        <f>CapexDA!AQ120</f>
        <v>0</v>
      </c>
      <c r="AR48" s="15">
        <f>CapexDA!AR120</f>
        <v>0</v>
      </c>
      <c r="AS48" s="15">
        <f>CapexDA!AS120</f>
        <v>0</v>
      </c>
      <c r="AT48" s="15">
        <f>CapexDA!AT120</f>
        <v>0</v>
      </c>
      <c r="AU48" s="15">
        <f>CapexDA!AU120</f>
        <v>0</v>
      </c>
      <c r="AV48" s="15">
        <f>CapexDA!AV120</f>
        <v>0</v>
      </c>
      <c r="AW48" s="15">
        <f>CapexDA!AW120</f>
        <v>0</v>
      </c>
      <c r="AX48" s="15">
        <f>CapexDA!AX120</f>
        <v>0</v>
      </c>
      <c r="AY48" s="15">
        <f>CapexDA!AY120</f>
        <v>0</v>
      </c>
      <c r="AZ48" s="15">
        <f>CapexDA!AZ120</f>
        <v>0</v>
      </c>
      <c r="BA48" s="15">
        <f>CapexDA!BA120</f>
        <v>0</v>
      </c>
      <c r="BB48" s="15">
        <f>CapexDA!BB120</f>
        <v>0</v>
      </c>
      <c r="BC48" s="15">
        <f>CapexDA!BC120</f>
        <v>0</v>
      </c>
      <c r="BD48" s="15">
        <f>CapexDA!BD120</f>
        <v>0</v>
      </c>
      <c r="BE48" s="15">
        <f>CapexDA!BE120</f>
        <v>0</v>
      </c>
      <c r="BF48" s="15">
        <f>CapexDA!BF120</f>
        <v>0</v>
      </c>
      <c r="BG48" s="15">
        <f>CapexDA!BG120</f>
        <v>0</v>
      </c>
      <c r="BH48" s="15">
        <f>CapexDA!BH120</f>
        <v>0</v>
      </c>
      <c r="BI48" s="15">
        <f>CapexDA!BI120</f>
        <v>0</v>
      </c>
      <c r="BJ48" s="15">
        <f>CapexDA!BJ120</f>
        <v>0</v>
      </c>
      <c r="BK48" s="15">
        <f>CapexDA!BK120</f>
        <v>0</v>
      </c>
      <c r="BL48" s="15">
        <f>CapexDA!BL120</f>
        <v>0</v>
      </c>
      <c r="BM48" s="15">
        <f>CapexDA!BM120</f>
        <v>0</v>
      </c>
      <c r="BN48" s="15">
        <f>CapexDA!BN120</f>
        <v>0</v>
      </c>
      <c r="BO48" s="15">
        <f>CapexDA!BO120</f>
        <v>0</v>
      </c>
      <c r="BP48" s="15">
        <f>CapexDA!BP120</f>
        <v>0</v>
      </c>
      <c r="BQ48" s="15">
        <f>CapexDA!BQ120</f>
        <v>0</v>
      </c>
      <c r="BR48" s="15">
        <f>CapexDA!BR120</f>
        <v>0</v>
      </c>
      <c r="BS48" s="15">
        <f>CapexDA!BS120</f>
        <v>0</v>
      </c>
      <c r="BT48" s="15">
        <f>CapexDA!BT120</f>
        <v>0</v>
      </c>
      <c r="BU48" s="15">
        <f>CapexDA!BU120</f>
        <v>0</v>
      </c>
      <c r="BV48" s="15">
        <f>CapexDA!BV120</f>
        <v>0</v>
      </c>
      <c r="BW48" s="15">
        <f>CapexDA!BW120</f>
        <v>0</v>
      </c>
      <c r="BX48" s="15">
        <f>CapexDA!BX120</f>
        <v>0</v>
      </c>
      <c r="BY48" s="15">
        <f>CapexDA!BY120</f>
        <v>0</v>
      </c>
      <c r="BZ48" s="15">
        <f>CapexDA!BZ120</f>
        <v>0</v>
      </c>
      <c r="CA48" s="15">
        <f>CapexDA!CA120</f>
        <v>0</v>
      </c>
      <c r="CB48" s="15">
        <f>CapexDA!CB120</f>
        <v>0</v>
      </c>
      <c r="CC48" s="15">
        <f>CapexDA!CC120</f>
        <v>0</v>
      </c>
      <c r="CD48" s="15">
        <f>CapexDA!CD120</f>
        <v>0</v>
      </c>
      <c r="CE48" s="15">
        <f>CapexDA!CE120</f>
        <v>0</v>
      </c>
      <c r="CF48" s="15">
        <f>CapexDA!CF120</f>
        <v>0</v>
      </c>
      <c r="CG48" s="15">
        <f>CapexDA!CG120</f>
        <v>0</v>
      </c>
      <c r="CH48" s="15">
        <f>CapexDA!CH120</f>
        <v>0</v>
      </c>
      <c r="CI48" s="15">
        <f>CapexDA!CI120</f>
        <v>0</v>
      </c>
      <c r="CJ48" s="15">
        <f>CapexDA!CJ120</f>
        <v>0</v>
      </c>
      <c r="CK48" s="15">
        <f>CapexDA!CK120</f>
        <v>0</v>
      </c>
      <c r="CL48" s="15">
        <f>CapexDA!CL120</f>
        <v>0</v>
      </c>
      <c r="CM48" s="15">
        <f>CapexDA!CM120</f>
        <v>0</v>
      </c>
      <c r="CN48" s="15">
        <f>CapexDA!CN120</f>
        <v>0</v>
      </c>
    </row>
    <row r="49" spans="3:92" ht="12.75" customHeight="1" x14ac:dyDescent="0.3">
      <c r="C49" s="17"/>
      <c r="D49" s="75" t="s">
        <v>216</v>
      </c>
      <c r="H49" s="16" t="s">
        <v>1</v>
      </c>
      <c r="L49" s="72">
        <v>0</v>
      </c>
      <c r="M49" s="15">
        <f ca="1">CapexDA!M132</f>
        <v>1000000</v>
      </c>
      <c r="N49" s="15">
        <f ca="1">CapexDA!N132</f>
        <v>3870090.2658089679</v>
      </c>
      <c r="O49" s="15">
        <f ca="1">CapexDA!O132</f>
        <v>5685110.3214559527</v>
      </c>
      <c r="P49" s="15">
        <f ca="1">CapexDA!P132</f>
        <v>7400114.2419711603</v>
      </c>
      <c r="Q49" s="15">
        <f ca="1">CapexDA!Q132</f>
        <v>7982155.2838547658</v>
      </c>
      <c r="R49" s="15">
        <f ca="1">CapexDA!R132</f>
        <v>8519917.9785837568</v>
      </c>
      <c r="S49" s="15">
        <f ca="1">CapexDA!S132</f>
        <v>9013095.5800326448</v>
      </c>
      <c r="T49" s="15">
        <f ca="1">CapexDA!T132</f>
        <v>9461379.2170375958</v>
      </c>
      <c r="U49" s="15">
        <f ca="1">CapexDA!U132</f>
        <v>9864457.8786748555</v>
      </c>
      <c r="V49" s="15">
        <f ca="1">CapexDA!V132</f>
        <v>10222018.399437172</v>
      </c>
      <c r="W49" s="15">
        <f ca="1">CapexDA!W132</f>
        <v>10533745.444307543</v>
      </c>
      <c r="X49" s="15">
        <f ca="1">CapexDA!X132</f>
        <v>10799321.493729547</v>
      </c>
      <c r="Y49" s="15">
        <f ca="1">CapexDA!Y132</f>
        <v>11018426.828473562</v>
      </c>
      <c r="Z49" s="15">
        <f ca="1">CapexDA!Z132</f>
        <v>11190739.514398135</v>
      </c>
      <c r="AA49" s="15">
        <f ca="1">CapexDA!AA132</f>
        <v>11357890.707016837</v>
      </c>
      <c r="AB49" s="15">
        <f ca="1">CapexDA!AB132</f>
        <v>11477598.676314617</v>
      </c>
      <c r="AC49" s="15">
        <f ca="1">CapexDA!AC132</f>
        <v>11592073.390266567</v>
      </c>
      <c r="AD49" s="15">
        <f ca="1">CapexDA!AD132</f>
        <v>11658445.26123213</v>
      </c>
      <c r="AE49" s="15">
        <f ca="1">CapexDA!AE132</f>
        <v>11676381.048210699</v>
      </c>
      <c r="AF49" s="15">
        <f ca="1">CapexDA!AF132</f>
        <v>11708914.160893545</v>
      </c>
      <c r="AG49" s="15">
        <f ca="1">CapexDA!AG132</f>
        <v>11692337.765836127</v>
      </c>
      <c r="AH49" s="15">
        <f ca="1">CapexDA!AH132</f>
        <v>11676311.648188705</v>
      </c>
      <c r="AI49" s="15">
        <f ca="1">CapexDA!AI132</f>
        <v>11731324.55754647</v>
      </c>
      <c r="AJ49" s="15">
        <f ca="1">CapexDA!AJ132</f>
        <v>11786895.395012807</v>
      </c>
      <c r="AK49" s="15">
        <f ca="1">CapexDA!AK132</f>
        <v>11868551.209339809</v>
      </c>
      <c r="AL49" s="15">
        <f ca="1">CapexDA!AL132</f>
        <v>11950772.708844284</v>
      </c>
      <c r="AM49" s="15">
        <f ca="1">CapexDA!AM132</f>
        <v>12033563.812410917</v>
      </c>
      <c r="AN49" s="15">
        <f ca="1">CapexDA!AN132</f>
        <v>12116928.466073163</v>
      </c>
      <c r="AO49" s="15">
        <f ca="1">CapexDA!AO132</f>
        <v>12200870.64320132</v>
      </c>
      <c r="AP49" s="15">
        <f ca="1">CapexDA!AP132</f>
        <v>12285394.344691921</v>
      </c>
      <c r="AQ49" s="15">
        <f ca="1">CapexDA!AQ132</f>
        <v>12370503.599158419</v>
      </c>
      <c r="AR49" s="15">
        <f ca="1">CapexDA!AR132</f>
        <v>12456202.463123206</v>
      </c>
      <c r="AS49" s="15">
        <f ca="1">CapexDA!AS132</f>
        <v>12542495.02121095</v>
      </c>
      <c r="AT49" s="15">
        <f ca="1">CapexDA!AT132</f>
        <v>12629385.386343287</v>
      </c>
      <c r="AU49" s="15">
        <f ca="1">CapexDA!AU132</f>
        <v>12716877.69993485</v>
      </c>
      <c r="AV49" s="15">
        <f ca="1">CapexDA!AV132</f>
        <v>12804976.13209065</v>
      </c>
      <c r="AW49" s="15">
        <f ca="1">CapexDA!AW132</f>
        <v>12893684.881804854</v>
      </c>
      <c r="AX49" s="15">
        <f ca="1">CapexDA!AX132</f>
        <v>12983008.177160898</v>
      </c>
      <c r="AY49" s="15">
        <f ca="1">CapexDA!AY132</f>
        <v>13072950.275533024</v>
      </c>
      <c r="AZ49" s="15">
        <f ca="1">CapexDA!AZ132</f>
        <v>13163515.463789187</v>
      </c>
      <c r="BA49" s="15">
        <f ca="1">CapexDA!BA132</f>
        <v>13254708.058495387</v>
      </c>
      <c r="BB49" s="15">
        <f ca="1">CapexDA!BB132</f>
        <v>13346532.406121399</v>
      </c>
      <c r="BC49" s="15">
        <f ca="1">CapexDA!BC132</f>
        <v>13438992.883247944</v>
      </c>
      <c r="BD49" s="15">
        <f ca="1">CapexDA!BD132</f>
        <v>13532093.896775281</v>
      </c>
      <c r="BE49" s="15">
        <f ca="1">CapexDA!BE132</f>
        <v>13625839.884133255</v>
      </c>
      <c r="BF49" s="15">
        <f ca="1">CapexDA!BF132</f>
        <v>13720235.313492795</v>
      </c>
      <c r="BG49" s="15">
        <f ca="1">CapexDA!BG132</f>
        <v>13815284.683978882</v>
      </c>
      <c r="BH49" s="15">
        <f ca="1">CapexDA!BH132</f>
        <v>13910992.525884984</v>
      </c>
      <c r="BI49" s="15">
        <f ca="1">CapexDA!BI132</f>
        <v>14007363.400888981</v>
      </c>
      <c r="BJ49" s="15">
        <f ca="1">CapexDA!BJ132</f>
        <v>14104401.902270589</v>
      </c>
      <c r="BK49" s="15">
        <f ca="1">CapexDA!BK132</f>
        <v>14202112.655130286</v>
      </c>
      <c r="BL49" s="15">
        <f ca="1">CapexDA!BL132</f>
        <v>14300500.316609759</v>
      </c>
      <c r="BM49" s="15">
        <f ca="1">CapexDA!BM132</f>
        <v>14399569.576113867</v>
      </c>
      <c r="BN49" s="15">
        <f ca="1">CapexDA!BN132</f>
        <v>14499325.155534159</v>
      </c>
      <c r="BO49" s="15">
        <f ca="1">CapexDA!BO132</f>
        <v>14599771.809473928</v>
      </c>
      <c r="BP49" s="15">
        <f ca="1">CapexDA!BP132</f>
        <v>14700914.325474825</v>
      </c>
      <c r="BQ49" s="15">
        <f ca="1">CapexDA!BQ132</f>
        <v>14802757.524245048</v>
      </c>
      <c r="BR49" s="15">
        <f ca="1">CapexDA!BR132</f>
        <v>14905306.259889111</v>
      </c>
      <c r="BS49" s="15">
        <f ca="1">CapexDA!BS132</f>
        <v>15008565.420139194</v>
      </c>
      <c r="BT49" s="15">
        <f ca="1">CapexDA!BT132</f>
        <v>15112539.926588116</v>
      </c>
      <c r="BU49" s="15">
        <f ca="1">CapexDA!BU132</f>
        <v>15217234.734923907</v>
      </c>
      <c r="BV49" s="15">
        <f ca="1">CapexDA!BV132</f>
        <v>15322654.835166002</v>
      </c>
      <c r="BW49" s="15">
        <f ca="1">CapexDA!BW132</f>
        <v>15428805.251903087</v>
      </c>
      <c r="BX49" s="15">
        <f ca="1">CapexDA!BX132</f>
        <v>15535691.044532578</v>
      </c>
      <c r="BY49" s="15">
        <f ca="1">CapexDA!BY132</f>
        <v>15643317.307501771</v>
      </c>
      <c r="BZ49" s="15">
        <f ca="1">CapexDA!BZ132</f>
        <v>15751689.170550644</v>
      </c>
      <c r="CA49" s="15">
        <f ca="1">CapexDA!CA132</f>
        <v>15860811.798956368</v>
      </c>
      <c r="CB49" s="15">
        <f ca="1">CapexDA!CB132</f>
        <v>15970690.393779486</v>
      </c>
      <c r="CC49" s="15">
        <f ca="1">CapexDA!CC132</f>
        <v>16081330.192111816</v>
      </c>
      <c r="CD49" s="15">
        <f ca="1">CapexDA!CD132</f>
        <v>16192736.467326058</v>
      </c>
      <c r="CE49" s="15">
        <f ca="1">CapexDA!CE132</f>
        <v>16304914.529327141</v>
      </c>
      <c r="CF49" s="15">
        <f ca="1">CapexDA!CF132</f>
        <v>16417869.724805305</v>
      </c>
      <c r="CG49" s="15">
        <f ca="1">CapexDA!CG132</f>
        <v>16531607.43749094</v>
      </c>
      <c r="CH49" s="15">
        <f ca="1">CapexDA!CH132</f>
        <v>16646133.08841118</v>
      </c>
      <c r="CI49" s="15">
        <f ca="1">CapexDA!CI132</f>
        <v>16761452.136148294</v>
      </c>
      <c r="CJ49" s="15">
        <f ca="1">CapexDA!CJ132</f>
        <v>16877570.077099849</v>
      </c>
      <c r="CK49" s="15">
        <f ca="1">CapexDA!CK132</f>
        <v>16994492.445740681</v>
      </c>
      <c r="CL49" s="15">
        <f ca="1">CapexDA!CL132</f>
        <v>17112224.814886689</v>
      </c>
      <c r="CM49" s="15">
        <f ca="1">CapexDA!CM132</f>
        <v>17230772.795960441</v>
      </c>
      <c r="CN49" s="15">
        <f ca="1">CapexDA!CN132</f>
        <v>0</v>
      </c>
    </row>
    <row r="50" spans="3:92" ht="12.75" customHeight="1" x14ac:dyDescent="0.3">
      <c r="C50" s="17"/>
      <c r="D50" s="91" t="s">
        <v>25</v>
      </c>
      <c r="H50" s="16" t="s">
        <v>1</v>
      </c>
      <c r="L50" s="50">
        <f>SUM(L48:L49)</f>
        <v>168400000</v>
      </c>
      <c r="M50" s="50">
        <f t="shared" ref="M50:Q50" ca="1" si="112">SUM(M48:M49)</f>
        <v>158875000</v>
      </c>
      <c r="N50" s="50">
        <f t="shared" ca="1" si="112"/>
        <v>151220090.26580897</v>
      </c>
      <c r="O50" s="50">
        <f t="shared" ca="1" si="112"/>
        <v>142510110.32145596</v>
      </c>
      <c r="P50" s="50">
        <f t="shared" ca="1" si="112"/>
        <v>133700114.24197116</v>
      </c>
      <c r="Q50" s="50">
        <f t="shared" ca="1" si="112"/>
        <v>123757155.28385477</v>
      </c>
      <c r="R50" s="50">
        <f t="shared" ref="R50" ca="1" si="113">SUM(R48:R49)</f>
        <v>113769917.97858375</v>
      </c>
      <c r="S50" s="50">
        <f t="shared" ref="S50" ca="1" si="114">SUM(S48:S49)</f>
        <v>103738095.58003265</v>
      </c>
      <c r="T50" s="50">
        <f t="shared" ref="T50" ca="1" si="115">SUM(T48:T49)</f>
        <v>95766379.217037588</v>
      </c>
      <c r="U50" s="50">
        <f t="shared" ref="U50" ca="1" si="116">SUM(U48:U49)</f>
        <v>87749457.87867485</v>
      </c>
      <c r="V50" s="50">
        <f t="shared" ref="V50" ca="1" si="117">SUM(V48:V49)</f>
        <v>79687018.399437174</v>
      </c>
      <c r="W50" s="50">
        <f t="shared" ref="W50" ca="1" si="118">SUM(W48:W49)</f>
        <v>71578745.444307536</v>
      </c>
      <c r="X50" s="50">
        <f t="shared" ref="X50" ca="1" si="119">SUM(X48:X49)</f>
        <v>63424321.493729547</v>
      </c>
      <c r="Y50" s="50">
        <f t="shared" ref="Y50" ca="1" si="120">SUM(Y48:Y49)</f>
        <v>55223426.828473561</v>
      </c>
      <c r="Z50" s="50">
        <f t="shared" ref="Z50" ca="1" si="121">SUM(Z48:Z49)</f>
        <v>46975739.514398135</v>
      </c>
      <c r="AA50" s="50">
        <f t="shared" ref="AA50" ca="1" si="122">SUM(AA48:AA49)</f>
        <v>38722890.707016841</v>
      </c>
      <c r="AB50" s="50">
        <f t="shared" ref="AB50" ca="1" si="123">SUM(AB48:AB49)</f>
        <v>30422598.676314615</v>
      </c>
      <c r="AC50" s="50">
        <f t="shared" ref="AC50" ca="1" si="124">SUM(AC48:AC49)</f>
        <v>22117073.390266567</v>
      </c>
      <c r="AD50" s="50">
        <f t="shared" ref="AD50" ca="1" si="125">SUM(AD48:AD49)</f>
        <v>13763445.26123213</v>
      </c>
      <c r="AE50" s="50">
        <f t="shared" ref="AE50" ca="1" si="126">SUM(AE48:AE49)</f>
        <v>11676381.048210699</v>
      </c>
      <c r="AF50" s="50">
        <f t="shared" ref="AF50" ca="1" si="127">SUM(AF48:AF49)</f>
        <v>11708914.160893545</v>
      </c>
      <c r="AG50" s="50">
        <f t="shared" ref="AG50" ca="1" si="128">SUM(AG48:AG49)</f>
        <v>11692337.765836127</v>
      </c>
      <c r="AH50" s="50">
        <f t="shared" ref="AH50" ca="1" si="129">SUM(AH48:AH49)</f>
        <v>11676311.648188705</v>
      </c>
      <c r="AI50" s="50">
        <f t="shared" ref="AI50" ca="1" si="130">SUM(AI48:AI49)</f>
        <v>11731324.55754647</v>
      </c>
      <c r="AJ50" s="50">
        <f t="shared" ref="AJ50" ca="1" si="131">SUM(AJ48:AJ49)</f>
        <v>11786895.395012807</v>
      </c>
      <c r="AK50" s="50">
        <f t="shared" ref="AK50" ca="1" si="132">SUM(AK48:AK49)</f>
        <v>11868551.209339809</v>
      </c>
      <c r="AL50" s="50">
        <f t="shared" ref="AL50" ca="1" si="133">SUM(AL48:AL49)</f>
        <v>11950772.708844284</v>
      </c>
      <c r="AM50" s="50">
        <f t="shared" ref="AM50" ca="1" si="134">SUM(AM48:AM49)</f>
        <v>12033563.812410917</v>
      </c>
      <c r="AN50" s="50">
        <f t="shared" ref="AN50" ca="1" si="135">SUM(AN48:AN49)</f>
        <v>12116928.466073163</v>
      </c>
      <c r="AO50" s="50">
        <f t="shared" ref="AO50" ca="1" si="136">SUM(AO48:AO49)</f>
        <v>12200870.64320132</v>
      </c>
      <c r="AP50" s="50">
        <f t="shared" ref="AP50" ca="1" si="137">SUM(AP48:AP49)</f>
        <v>12285394.344691921</v>
      </c>
      <c r="AQ50" s="50">
        <f t="shared" ref="AQ50" ca="1" si="138">SUM(AQ48:AQ49)</f>
        <v>12370503.599158419</v>
      </c>
      <c r="AR50" s="50">
        <f t="shared" ref="AR50" ca="1" si="139">SUM(AR48:AR49)</f>
        <v>12456202.463123206</v>
      </c>
      <c r="AS50" s="50">
        <f t="shared" ref="AS50" ca="1" si="140">SUM(AS48:AS49)</f>
        <v>12542495.02121095</v>
      </c>
      <c r="AT50" s="50">
        <f t="shared" ref="AT50" ca="1" si="141">SUM(AT48:AT49)</f>
        <v>12629385.386343287</v>
      </c>
      <c r="AU50" s="50">
        <f t="shared" ref="AU50" ca="1" si="142">SUM(AU48:AU49)</f>
        <v>12716877.69993485</v>
      </c>
      <c r="AV50" s="50">
        <f t="shared" ref="AV50" ca="1" si="143">SUM(AV48:AV49)</f>
        <v>12804976.13209065</v>
      </c>
      <c r="AW50" s="50">
        <f t="shared" ref="AW50" ca="1" si="144">SUM(AW48:AW49)</f>
        <v>12893684.881804854</v>
      </c>
      <c r="AX50" s="50">
        <f t="shared" ref="AX50" ca="1" si="145">SUM(AX48:AX49)</f>
        <v>12983008.177160898</v>
      </c>
      <c r="AY50" s="50">
        <f t="shared" ref="AY50" ca="1" si="146">SUM(AY48:AY49)</f>
        <v>13072950.275533024</v>
      </c>
      <c r="AZ50" s="50">
        <f t="shared" ref="AZ50" ca="1" si="147">SUM(AZ48:AZ49)</f>
        <v>13163515.463789187</v>
      </c>
      <c r="BA50" s="50">
        <f t="shared" ref="BA50" ca="1" si="148">SUM(BA48:BA49)</f>
        <v>13254708.058495387</v>
      </c>
      <c r="BB50" s="50">
        <f t="shared" ref="BB50" ca="1" si="149">SUM(BB48:BB49)</f>
        <v>13346532.406121399</v>
      </c>
      <c r="BC50" s="50">
        <f t="shared" ref="BC50" ca="1" si="150">SUM(BC48:BC49)</f>
        <v>13438992.883247944</v>
      </c>
      <c r="BD50" s="50">
        <f t="shared" ref="BD50" ca="1" si="151">SUM(BD48:BD49)</f>
        <v>13532093.896775281</v>
      </c>
      <c r="BE50" s="50">
        <f t="shared" ref="BE50" ca="1" si="152">SUM(BE48:BE49)</f>
        <v>13625839.884133255</v>
      </c>
      <c r="BF50" s="50">
        <f t="shared" ref="BF50" ca="1" si="153">SUM(BF48:BF49)</f>
        <v>13720235.313492795</v>
      </c>
      <c r="BG50" s="50">
        <f t="shared" ref="BG50" ca="1" si="154">SUM(BG48:BG49)</f>
        <v>13815284.683978882</v>
      </c>
      <c r="BH50" s="50">
        <f t="shared" ref="BH50" ca="1" si="155">SUM(BH48:BH49)</f>
        <v>13910992.525884984</v>
      </c>
      <c r="BI50" s="50">
        <f t="shared" ref="BI50" ca="1" si="156">SUM(BI48:BI49)</f>
        <v>14007363.400888981</v>
      </c>
      <c r="BJ50" s="50">
        <f t="shared" ref="BJ50" ca="1" si="157">SUM(BJ48:BJ49)</f>
        <v>14104401.902270589</v>
      </c>
      <c r="BK50" s="50">
        <f t="shared" ref="BK50" ca="1" si="158">SUM(BK48:BK49)</f>
        <v>14202112.655130286</v>
      </c>
      <c r="BL50" s="50">
        <f t="shared" ref="BL50" ca="1" si="159">SUM(BL48:BL49)</f>
        <v>14300500.316609759</v>
      </c>
      <c r="BM50" s="50">
        <f t="shared" ref="BM50" ca="1" si="160">SUM(BM48:BM49)</f>
        <v>14399569.576113867</v>
      </c>
      <c r="BN50" s="50">
        <f t="shared" ref="BN50" ca="1" si="161">SUM(BN48:BN49)</f>
        <v>14499325.155534159</v>
      </c>
      <c r="BO50" s="50">
        <f t="shared" ref="BO50" ca="1" si="162">SUM(BO48:BO49)</f>
        <v>14599771.809473928</v>
      </c>
      <c r="BP50" s="50">
        <f t="shared" ref="BP50" ca="1" si="163">SUM(BP48:BP49)</f>
        <v>14700914.325474825</v>
      </c>
      <c r="BQ50" s="50">
        <f t="shared" ref="BQ50" ca="1" si="164">SUM(BQ48:BQ49)</f>
        <v>14802757.524245048</v>
      </c>
      <c r="BR50" s="50">
        <f t="shared" ref="BR50" ca="1" si="165">SUM(BR48:BR49)</f>
        <v>14905306.259889111</v>
      </c>
      <c r="BS50" s="50"/>
      <c r="BT50" s="50">
        <f t="shared" ref="BT50" ca="1" si="166">SUM(BT48:BT49)</f>
        <v>15112539.926588116</v>
      </c>
      <c r="BU50" s="50">
        <f t="shared" ref="BU50" ca="1" si="167">SUM(BU48:BU49)</f>
        <v>15217234.734923907</v>
      </c>
      <c r="BV50" s="50">
        <f t="shared" ref="BV50" ca="1" si="168">SUM(BV48:BV49)</f>
        <v>15322654.835166002</v>
      </c>
      <c r="BW50" s="50">
        <f t="shared" ref="BW50" ca="1" si="169">SUM(BW48:BW49)</f>
        <v>15428805.251903087</v>
      </c>
      <c r="BX50" s="50">
        <f t="shared" ref="BX50" ca="1" si="170">SUM(BX48:BX49)</f>
        <v>15535691.044532578</v>
      </c>
      <c r="BY50" s="50">
        <f t="shared" ref="BY50" ca="1" si="171">SUM(BY48:BY49)</f>
        <v>15643317.307501771</v>
      </c>
      <c r="BZ50" s="50">
        <f t="shared" ref="BZ50" ca="1" si="172">SUM(BZ48:BZ49)</f>
        <v>15751689.170550644</v>
      </c>
      <c r="CA50" s="50">
        <f t="shared" ref="CA50" ca="1" si="173">SUM(CA48:CA49)</f>
        <v>15860811.798956368</v>
      </c>
      <c r="CB50" s="50">
        <f t="shared" ref="CB50" ca="1" si="174">SUM(CB48:CB49)</f>
        <v>15970690.393779486</v>
      </c>
      <c r="CC50" s="50">
        <f t="shared" ref="CC50" ca="1" si="175">SUM(CC48:CC49)</f>
        <v>16081330.192111816</v>
      </c>
      <c r="CD50" s="50">
        <f t="shared" ref="CD50" ca="1" si="176">SUM(CD48:CD49)</f>
        <v>16192736.467326058</v>
      </c>
      <c r="CE50" s="50">
        <f t="shared" ref="CE50" ca="1" si="177">SUM(CE48:CE49)</f>
        <v>16304914.529327141</v>
      </c>
      <c r="CF50" s="50">
        <f t="shared" ref="CF50" ca="1" si="178">SUM(CF48:CF49)</f>
        <v>16417869.724805305</v>
      </c>
      <c r="CG50" s="50">
        <f t="shared" ref="CG50" ca="1" si="179">SUM(CG48:CG49)</f>
        <v>16531607.43749094</v>
      </c>
      <c r="CH50" s="50">
        <f t="shared" ref="CH50" ca="1" si="180">SUM(CH48:CH49)</f>
        <v>16646133.08841118</v>
      </c>
      <c r="CI50" s="50">
        <f t="shared" ref="CI50" ca="1" si="181">SUM(CI48:CI49)</f>
        <v>16761452.136148294</v>
      </c>
      <c r="CJ50" s="50">
        <f t="shared" ref="CJ50" ca="1" si="182">SUM(CJ48:CJ49)</f>
        <v>16877570.077099849</v>
      </c>
      <c r="CK50" s="50">
        <f t="shared" ref="CK50" ca="1" si="183">SUM(CK48:CK49)</f>
        <v>16994492.445740681</v>
      </c>
      <c r="CL50" s="50">
        <f t="shared" ref="CL50" ca="1" si="184">SUM(CL48:CL49)</f>
        <v>17112224.814886689</v>
      </c>
      <c r="CM50" s="50">
        <f t="shared" ref="CM50" ca="1" si="185">SUM(CM48:CM49)</f>
        <v>17230772.795960441</v>
      </c>
      <c r="CN50" s="50">
        <f t="shared" ref="CN50" ca="1" si="186">SUM(CN48:CN49)</f>
        <v>0</v>
      </c>
    </row>
    <row r="51" spans="3:92" ht="12.75" customHeight="1" x14ac:dyDescent="0.3">
      <c r="C51" s="17"/>
      <c r="D51" s="75"/>
      <c r="H51" s="16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</row>
    <row r="52" spans="3:92" ht="12.75" customHeight="1" x14ac:dyDescent="0.3">
      <c r="C52" s="17"/>
      <c r="D52" s="17" t="s">
        <v>26</v>
      </c>
      <c r="H52" s="16" t="s">
        <v>1</v>
      </c>
      <c r="L52" s="15">
        <f>SUM(L46,L50)</f>
        <v>169560000</v>
      </c>
      <c r="M52" s="15">
        <f t="shared" ref="M52:Q52" ca="1" si="187">SUM(M46,M50)</f>
        <v>160738914.87224001</v>
      </c>
      <c r="N52" s="15">
        <f t="shared" ca="1" si="187"/>
        <v>153099867.83609658</v>
      </c>
      <c r="O52" s="15">
        <f t="shared" ca="1" si="187"/>
        <v>144428576.1378409</v>
      </c>
      <c r="P52" s="15">
        <f t="shared" ca="1" si="187"/>
        <v>135625723.3223981</v>
      </c>
      <c r="Q52" s="15">
        <f t="shared" ca="1" si="187"/>
        <v>125718566.63798554</v>
      </c>
      <c r="R52" s="15">
        <f t="shared" ref="R52:CC52" ca="1" si="188">SUM(R46,R50)</f>
        <v>115750239.10193706</v>
      </c>
      <c r="S52" s="15">
        <f t="shared" ca="1" si="188"/>
        <v>105758300.85365659</v>
      </c>
      <c r="T52" s="15">
        <f t="shared" ca="1" si="188"/>
        <v>97791178.809083402</v>
      </c>
      <c r="U52" s="15">
        <f t="shared" ca="1" si="188"/>
        <v>89782582.567323774</v>
      </c>
      <c r="V52" s="15">
        <f t="shared" ca="1" si="188"/>
        <v>81725339.927883312</v>
      </c>
      <c r="W52" s="15">
        <f t="shared" ca="1" si="188"/>
        <v>78283340.133728653</v>
      </c>
      <c r="X52" s="15">
        <f t="shared" ca="1" si="188"/>
        <v>75809959.709426999</v>
      </c>
      <c r="Y52" s="15">
        <f t="shared" ca="1" si="188"/>
        <v>72520838.475324929</v>
      </c>
      <c r="Z52" s="15">
        <f t="shared" ca="1" si="188"/>
        <v>69428973.718587011</v>
      </c>
      <c r="AA52" s="15">
        <f t="shared" ca="1" si="188"/>
        <v>66545835.672585562</v>
      </c>
      <c r="AB52" s="15">
        <f t="shared" ca="1" si="188"/>
        <v>63531601.374851152</v>
      </c>
      <c r="AC52" s="15">
        <f t="shared" ca="1" si="188"/>
        <v>60439865.293704912</v>
      </c>
      <c r="AD52" s="15">
        <f t="shared" ca="1" si="188"/>
        <v>57458983.673273429</v>
      </c>
      <c r="AE52" s="15">
        <f t="shared" ca="1" si="188"/>
        <v>56087946.338446483</v>
      </c>
      <c r="AF52" s="15">
        <f t="shared" ca="1" si="188"/>
        <v>55086865.44120995</v>
      </c>
      <c r="AG52" s="15">
        <f t="shared" ca="1" si="188"/>
        <v>53974827.745821886</v>
      </c>
      <c r="AH52" s="15">
        <f t="shared" ca="1" si="188"/>
        <v>52994506.986001588</v>
      </c>
      <c r="AI52" s="15">
        <f t="shared" ca="1" si="188"/>
        <v>52153546.030661181</v>
      </c>
      <c r="AJ52" s="15">
        <f t="shared" ca="1" si="188"/>
        <v>51153104.163767412</v>
      </c>
      <c r="AK52" s="15">
        <f t="shared" ca="1" si="188"/>
        <v>50115975.220079526</v>
      </c>
      <c r="AL52" s="15">
        <f t="shared" ca="1" si="188"/>
        <v>49124844.323131077</v>
      </c>
      <c r="AM52" s="15">
        <f t="shared" ca="1" si="188"/>
        <v>48287354.104411855</v>
      </c>
      <c r="AN52" s="15">
        <f t="shared" ca="1" si="188"/>
        <v>47299971.079584688</v>
      </c>
      <c r="AO52" s="15">
        <f t="shared" ca="1" si="188"/>
        <v>46219412.443318404</v>
      </c>
      <c r="AP52" s="15">
        <f t="shared" ca="1" si="188"/>
        <v>45280183.78858567</v>
      </c>
      <c r="AQ52" s="15">
        <f t="shared" ca="1" si="188"/>
        <v>44472572.39720723</v>
      </c>
      <c r="AR52" s="15">
        <f t="shared" ca="1" si="188"/>
        <v>43492029.353365086</v>
      </c>
      <c r="AS52" s="15">
        <f t="shared" ca="1" si="188"/>
        <v>42409144.427036285</v>
      </c>
      <c r="AT52" s="15">
        <f t="shared" ca="1" si="188"/>
        <v>41478813.781961896</v>
      </c>
      <c r="AU52" s="15">
        <f t="shared" ca="1" si="188"/>
        <v>40673116.211700127</v>
      </c>
      <c r="AV52" s="15">
        <f t="shared" ca="1" si="188"/>
        <v>39698839.122735001</v>
      </c>
      <c r="AW52" s="15">
        <f t="shared" ca="1" si="188"/>
        <v>38616841.556492344</v>
      </c>
      <c r="AX52" s="15">
        <f t="shared" ca="1" si="188"/>
        <v>37695204.770688012</v>
      </c>
      <c r="AY52" s="15">
        <f t="shared" ca="1" si="188"/>
        <v>36919605.95753409</v>
      </c>
      <c r="AZ52" s="15">
        <f t="shared" ca="1" si="188"/>
        <v>35952739.469955511</v>
      </c>
      <c r="BA52" s="15">
        <f t="shared" ca="1" si="188"/>
        <v>34930609.120129719</v>
      </c>
      <c r="BB52" s="15">
        <f t="shared" ca="1" si="188"/>
        <v>33966457.143730111</v>
      </c>
      <c r="BC52" s="15">
        <f t="shared" ca="1" si="188"/>
        <v>33213745.300137348</v>
      </c>
      <c r="BD52" s="15">
        <f t="shared" ca="1" si="188"/>
        <v>32255256.225387126</v>
      </c>
      <c r="BE52" s="15">
        <f t="shared" ca="1" si="188"/>
        <v>31181418.119345643</v>
      </c>
      <c r="BF52" s="15">
        <f t="shared" ca="1" si="188"/>
        <v>30282543.050108328</v>
      </c>
      <c r="BG52" s="15">
        <f t="shared" ca="1" si="188"/>
        <v>29529376.624569315</v>
      </c>
      <c r="BH52" s="15">
        <f t="shared" ca="1" si="188"/>
        <v>28579595.984598629</v>
      </c>
      <c r="BI52" s="15">
        <f t="shared" ca="1" si="188"/>
        <v>27504383.68886685</v>
      </c>
      <c r="BJ52" s="15">
        <f t="shared" ca="1" si="188"/>
        <v>26618255.215732422</v>
      </c>
      <c r="BK52" s="15">
        <f t="shared" ca="1" si="188"/>
        <v>25910929.647065304</v>
      </c>
      <c r="BL52" s="15">
        <f t="shared" ca="1" si="188"/>
        <v>24972260.754413262</v>
      </c>
      <c r="BM52" s="15">
        <f t="shared" ca="1" si="188"/>
        <v>23900748.570671227</v>
      </c>
      <c r="BN52" s="15">
        <f t="shared" ca="1" si="188"/>
        <v>23030785.875736047</v>
      </c>
      <c r="BO52" s="15">
        <f t="shared" ca="1" si="188"/>
        <v>22338031.643484067</v>
      </c>
      <c r="BP52" s="15">
        <f t="shared" ca="1" si="188"/>
        <v>21411668.199206267</v>
      </c>
      <c r="BQ52" s="15">
        <f t="shared" ca="1" si="188"/>
        <v>20413189.857424933</v>
      </c>
      <c r="BR52" s="15">
        <f t="shared" ca="1" si="188"/>
        <v>19491646.092798244</v>
      </c>
      <c r="BS52" s="15">
        <f t="shared" ca="1" si="188"/>
        <v>3852080.3270759238</v>
      </c>
      <c r="BT52" s="15">
        <f t="shared" ca="1" si="188"/>
        <v>19012361.0955391</v>
      </c>
      <c r="BU52" s="15">
        <f t="shared" ca="1" si="188"/>
        <v>19203651.587518007</v>
      </c>
      <c r="BV52" s="15">
        <f t="shared" ca="1" si="188"/>
        <v>19395140.037297934</v>
      </c>
      <c r="BW52" s="15">
        <f t="shared" ca="1" si="188"/>
        <v>19667979.592022099</v>
      </c>
      <c r="BX52" s="15">
        <f t="shared" ca="1" si="188"/>
        <v>19834068.931364685</v>
      </c>
      <c r="BY52" s="15">
        <f t="shared" ca="1" si="188"/>
        <v>19965533.134730443</v>
      </c>
      <c r="BZ52" s="15">
        <f t="shared" ca="1" si="188"/>
        <v>20174849.030915894</v>
      </c>
      <c r="CA52" s="15">
        <f t="shared" ca="1" si="188"/>
        <v>20479326.747996852</v>
      </c>
      <c r="CB52" s="15">
        <f t="shared" ca="1" si="188"/>
        <v>20661110.312202983</v>
      </c>
      <c r="CC52" s="15">
        <f t="shared" ca="1" si="188"/>
        <v>20822758.077391043</v>
      </c>
      <c r="CD52" s="15">
        <f t="shared" ref="CD52:CN52" ca="1" si="189">SUM(CD46,CD50)</f>
        <v>21053875.586854823</v>
      </c>
      <c r="CE52" s="15">
        <f t="shared" ca="1" si="189"/>
        <v>21385449.52069094</v>
      </c>
      <c r="CF52" s="15">
        <f t="shared" ca="1" si="189"/>
        <v>21585761.388725556</v>
      </c>
      <c r="CG52" s="15">
        <f t="shared" ca="1" si="189"/>
        <v>21744053.930159833</v>
      </c>
      <c r="CH52" s="15">
        <f t="shared" ca="1" si="189"/>
        <v>21952024.982215218</v>
      </c>
      <c r="CI52" s="15">
        <f t="shared" ca="1" si="189"/>
        <v>22537984.91619309</v>
      </c>
      <c r="CJ52" s="15">
        <f t="shared" ca="1" si="189"/>
        <v>22720930.427508727</v>
      </c>
      <c r="CK52" s="15">
        <f t="shared" ca="1" si="189"/>
        <v>22688372.121613361</v>
      </c>
      <c r="CL52" s="15">
        <f t="shared" ca="1" si="189"/>
        <v>22994277.592257544</v>
      </c>
      <c r="CM52" s="15">
        <f t="shared" ca="1" si="189"/>
        <v>23623723.046934955</v>
      </c>
      <c r="CN52" s="15">
        <f t="shared" ca="1" si="189"/>
        <v>20092989.821854424</v>
      </c>
    </row>
    <row r="53" spans="3:92" ht="12.75" customHeight="1" x14ac:dyDescent="0.3">
      <c r="C53" s="17"/>
      <c r="D53" s="75"/>
      <c r="H53" s="16"/>
      <c r="L53" s="93"/>
    </row>
    <row r="54" spans="3:92" ht="12.75" customHeight="1" x14ac:dyDescent="0.3">
      <c r="C54" s="17" t="s">
        <v>217</v>
      </c>
      <c r="D54" s="75"/>
      <c r="H54" s="16"/>
      <c r="L54" s="93"/>
    </row>
    <row r="55" spans="3:92" ht="12.75" customHeight="1" x14ac:dyDescent="0.3">
      <c r="C55" s="17"/>
      <c r="D55" s="75" t="s">
        <v>21</v>
      </c>
      <c r="H55" s="16" t="s">
        <v>1</v>
      </c>
      <c r="L55" s="72">
        <f>Ass!I145</f>
        <v>178000</v>
      </c>
      <c r="M55" s="15">
        <f>Ops!M138</f>
        <v>584353.9</v>
      </c>
      <c r="N55" s="15">
        <f>Ops!N138</f>
        <v>595182.56052365329</v>
      </c>
      <c r="O55" s="15">
        <f>Ops!O138</f>
        <v>606427.36522122775</v>
      </c>
      <c r="P55" s="15">
        <f>Ops!P138</f>
        <v>614271.21461235685</v>
      </c>
      <c r="Q55" s="15">
        <f>Ops!Q138</f>
        <v>611324.85887981707</v>
      </c>
      <c r="R55" s="15">
        <f>Ops!R138</f>
        <v>623631.34713251423</v>
      </c>
      <c r="S55" s="15">
        <f>Ops!S138</f>
        <v>634456.05730379652</v>
      </c>
      <c r="T55" s="15">
        <f>Ops!T138</f>
        <v>641581.9864765096</v>
      </c>
      <c r="U55" s="15">
        <f>Ops!U138</f>
        <v>643843.8676856244</v>
      </c>
      <c r="V55" s="15">
        <f>Ops!V138</f>
        <v>651450.48700338032</v>
      </c>
      <c r="W55" s="15">
        <f>Ops!W138</f>
        <v>663604.26186547021</v>
      </c>
      <c r="X55" s="15">
        <f>Ops!X138</f>
        <v>671902.20750742371</v>
      </c>
      <c r="Y55" s="15">
        <f>Ops!Y138</f>
        <v>670860.3107501351</v>
      </c>
      <c r="Z55" s="15">
        <f>Ops!Z138</f>
        <v>684151.5965074813</v>
      </c>
      <c r="AA55" s="15">
        <f>Ops!AA138</f>
        <v>697983.14967078983</v>
      </c>
      <c r="AB55" s="15">
        <f>Ops!AB138</f>
        <v>707770.13589262892</v>
      </c>
      <c r="AC55" s="15">
        <f>Ops!AC138</f>
        <v>708486.74372574373</v>
      </c>
      <c r="AD55" s="15">
        <f>Ops!AD138</f>
        <v>723787.85358154483</v>
      </c>
      <c r="AE55" s="15">
        <f>Ops!AE138</f>
        <v>739771.4483956336</v>
      </c>
      <c r="AF55" s="15">
        <f>Ops!AF138</f>
        <v>751474.28442487388</v>
      </c>
      <c r="AG55" s="15">
        <f>Ops!AG138</f>
        <v>748331.07374429016</v>
      </c>
      <c r="AH55" s="15">
        <f>Ops!AH138</f>
        <v>763072.01650575723</v>
      </c>
      <c r="AI55" s="15">
        <f>Ops!AI138</f>
        <v>778294.34484519984</v>
      </c>
      <c r="AJ55" s="15">
        <f>Ops!AJ138</f>
        <v>788695.05426975805</v>
      </c>
      <c r="AK55" s="15">
        <f>Ops!AK138</f>
        <v>793551.2905831642</v>
      </c>
      <c r="AL55" s="15">
        <f>Ops!AL138</f>
        <v>804543.13373723649</v>
      </c>
      <c r="AM55" s="15">
        <f>Ops!AM138</f>
        <v>821518.14067652449</v>
      </c>
      <c r="AN55" s="15">
        <f>Ops!AN138</f>
        <v>833367.50614671316</v>
      </c>
      <c r="AO55" s="15">
        <f>Ops!AO138</f>
        <v>831964.16222835158</v>
      </c>
      <c r="AP55" s="15">
        <f>Ops!AP138</f>
        <v>850296.91464890901</v>
      </c>
      <c r="AQ55" s="15">
        <f>Ops!AQ138</f>
        <v>869298.18202274665</v>
      </c>
      <c r="AR55" s="15">
        <f>Ops!AR138</f>
        <v>882836.12522203149</v>
      </c>
      <c r="AS55" s="15">
        <f>Ops!AS138</f>
        <v>880072.80477469717</v>
      </c>
      <c r="AT55" s="15">
        <f>Ops!AT138</f>
        <v>900616.64613138442</v>
      </c>
      <c r="AU55" s="15">
        <f>Ops!AU138</f>
        <v>921946.99372029479</v>
      </c>
      <c r="AV55" s="15">
        <f>Ops!AV138</f>
        <v>937440.93600259768</v>
      </c>
      <c r="AW55" s="15">
        <f>Ops!AW138</f>
        <v>934860.81129694253</v>
      </c>
      <c r="AX55" s="15">
        <f>Ops!AX138</f>
        <v>958001.92001581751</v>
      </c>
      <c r="AY55" s="15">
        <f>Ops!AY138</f>
        <v>982069.34551290015</v>
      </c>
      <c r="AZ55" s="15">
        <f>Ops!AZ138</f>
        <v>999867.96824962355</v>
      </c>
      <c r="BA55" s="15">
        <f>Ops!BA138</f>
        <v>1008756.7489262456</v>
      </c>
      <c r="BB55" s="15">
        <f>Ops!BB138</f>
        <v>1027695.1859679245</v>
      </c>
      <c r="BC55" s="15">
        <f>Ops!BC138</f>
        <v>1055126.4819430371</v>
      </c>
      <c r="BD55" s="15">
        <f>Ops!BD138</f>
        <v>1075746.8982352919</v>
      </c>
      <c r="BE55" s="15">
        <f>Ops!BE138</f>
        <v>1078585.5495584146</v>
      </c>
      <c r="BF55" s="15">
        <f>Ops!BF138</f>
        <v>1108717.5292117537</v>
      </c>
      <c r="BG55" s="15">
        <f>Ops!BG138</f>
        <v>1140153.4763044796</v>
      </c>
      <c r="BH55" s="15">
        <f>Ops!BH138</f>
        <v>1164139.136149595</v>
      </c>
      <c r="BI55" s="15">
        <f>Ops!BI138</f>
        <v>1166518.113335676</v>
      </c>
      <c r="BJ55" s="15">
        <f>Ops!BJ138</f>
        <v>1201094.2191546306</v>
      </c>
      <c r="BK55" s="15">
        <f>Ops!BK138</f>
        <v>1237216.9796613764</v>
      </c>
      <c r="BL55" s="15">
        <f>Ops!BL138</f>
        <v>1265154.6615437432</v>
      </c>
      <c r="BM55" s="15">
        <f>Ops!BM138</f>
        <v>1270244.7243970772</v>
      </c>
      <c r="BN55" s="15">
        <f>Ops!BN138</f>
        <v>1310152.2084161378</v>
      </c>
      <c r="BO55" s="15">
        <f>Ops!BO138</f>
        <v>1351898.5468361222</v>
      </c>
      <c r="BP55" s="15">
        <f>Ops!BP138</f>
        <v>1384580.1389691518</v>
      </c>
      <c r="BQ55" s="15">
        <f>Ops!BQ138</f>
        <v>1403086.5086704083</v>
      </c>
      <c r="BR55" s="15">
        <f>Ops!BR138</f>
        <v>1438052.0088146753</v>
      </c>
      <c r="BS55" s="15">
        <f>Ops!BS138</f>
        <v>1486503.0750873047</v>
      </c>
      <c r="BT55" s="15">
        <f>Ops!BT138</f>
        <v>1524846.9778228328</v>
      </c>
      <c r="BU55" s="15">
        <f>Ops!BU138</f>
        <v>1529122.5367259451</v>
      </c>
      <c r="BV55" s="15">
        <f>Ops!BV138</f>
        <v>1582721.8172610134</v>
      </c>
      <c r="BW55" s="15">
        <f>Ops!BW138</f>
        <v>1638916.046638828</v>
      </c>
      <c r="BX55" s="15">
        <f>Ops!BX138</f>
        <v>1683820.278861389</v>
      </c>
      <c r="BY55" s="15">
        <f>Ops!BY138</f>
        <v>1697998.7801441865</v>
      </c>
      <c r="BZ55" s="15">
        <f>Ops!BZ138</f>
        <v>1760669.4659806469</v>
      </c>
      <c r="CA55" s="15">
        <f>Ops!CA138</f>
        <v>1826437.4144810089</v>
      </c>
      <c r="CB55" s="15">
        <f>Ops!CB138</f>
        <v>1879438.6925475069</v>
      </c>
      <c r="CC55" s="15">
        <f>Ops!CC138</f>
        <v>1895334.5099203205</v>
      </c>
      <c r="CD55" s="15">
        <f>Ops!CD138</f>
        <v>1968748.0614112273</v>
      </c>
      <c r="CE55" s="15">
        <f>Ops!CE138</f>
        <v>2045855.7683323738</v>
      </c>
      <c r="CF55" s="15">
        <f>Ops!CF138</f>
        <v>2108460.1891383077</v>
      </c>
      <c r="CG55" s="15">
        <f>Ops!CG138</f>
        <v>2154734.0527809821</v>
      </c>
      <c r="CH55" s="15">
        <f>Ops!CH138</f>
        <v>2222246.2248412366</v>
      </c>
      <c r="CI55" s="15">
        <f>Ops!CI138</f>
        <v>2313260.6749867834</v>
      </c>
      <c r="CJ55" s="15">
        <f>Ops!CJ138</f>
        <v>2387636.7171850419</v>
      </c>
      <c r="CK55" s="15">
        <f>Ops!CK138</f>
        <v>2421073.825750757</v>
      </c>
      <c r="CL55" s="15">
        <f>Ops!CL138</f>
        <v>2523458.6788627831</v>
      </c>
      <c r="CM55" s="15">
        <f>Ops!CM138</f>
        <v>2631150.8750626086</v>
      </c>
      <c r="CN55" s="15">
        <f>Ops!CN138</f>
        <v>2719654.7302429513</v>
      </c>
    </row>
    <row r="56" spans="3:92" ht="12.75" customHeight="1" x14ac:dyDescent="0.3">
      <c r="C56" s="17"/>
      <c r="D56" s="75" t="s">
        <v>22</v>
      </c>
      <c r="H56" s="16" t="s">
        <v>1</v>
      </c>
      <c r="L56" s="72">
        <f>Ass!I146</f>
        <v>120000</v>
      </c>
      <c r="M56" s="58">
        <f t="shared" ref="M56:AR56" ca="1" si="190">M103</f>
        <v>193117.60761599912</v>
      </c>
      <c r="N56" s="58">
        <f t="shared" ca="1" si="190"/>
        <v>365253.5182425995</v>
      </c>
      <c r="O56" s="58">
        <f t="shared" ca="1" si="190"/>
        <v>564714.33883369446</v>
      </c>
      <c r="P56" s="58">
        <f t="shared" ca="1" si="190"/>
        <v>672840.77262413222</v>
      </c>
      <c r="Q56" s="58">
        <f t="shared" ca="1" si="190"/>
        <v>694894.64162003028</v>
      </c>
      <c r="R56" s="58">
        <f t="shared" ca="1" si="190"/>
        <v>839639.8086829891</v>
      </c>
      <c r="S56" s="58">
        <f t="shared" ca="1" si="190"/>
        <v>1057767.8498547818</v>
      </c>
      <c r="T56" s="58">
        <f t="shared" ca="1" si="190"/>
        <v>1147282.3883323101</v>
      </c>
      <c r="U56" s="58">
        <f t="shared" ca="1" si="190"/>
        <v>1200875.1035191615</v>
      </c>
      <c r="V56" s="58">
        <f t="shared" ca="1" si="190"/>
        <v>1281565.3723237962</v>
      </c>
      <c r="W56" s="58">
        <f t="shared" ca="1" si="190"/>
        <v>1491021.490911091</v>
      </c>
      <c r="X56" s="58">
        <f t="shared" ca="1" si="190"/>
        <v>2014630.1511241479</v>
      </c>
      <c r="Y56" s="58">
        <f t="shared" ca="1" si="190"/>
        <v>1947634.8234895393</v>
      </c>
      <c r="Z56" s="58">
        <f t="shared" ca="1" si="190"/>
        <v>1983838.6889935161</v>
      </c>
      <c r="AA56" s="58">
        <f t="shared" ca="1" si="190"/>
        <v>2107199.8594032004</v>
      </c>
      <c r="AB56" s="58">
        <f t="shared" ca="1" si="190"/>
        <v>2112613.0440974659</v>
      </c>
      <c r="AC56" s="58">
        <f t="shared" ca="1" si="190"/>
        <v>2048811.5476471467</v>
      </c>
      <c r="AD56" s="58">
        <f t="shared" ca="1" si="190"/>
        <v>2091005.5004598883</v>
      </c>
      <c r="AE56" s="58">
        <f t="shared" ca="1" si="190"/>
        <v>2236765.5686535831</v>
      </c>
      <c r="AF56" s="58">
        <f t="shared" ca="1" si="190"/>
        <v>2246618.7078429889</v>
      </c>
      <c r="AG56" s="58">
        <f t="shared" ca="1" si="190"/>
        <v>2170868.7041925965</v>
      </c>
      <c r="AH56" s="58">
        <f t="shared" ca="1" si="190"/>
        <v>2207686.9818061958</v>
      </c>
      <c r="AI56" s="58">
        <f t="shared" ca="1" si="190"/>
        <v>2365333.7482804228</v>
      </c>
      <c r="AJ56" s="58">
        <f t="shared" ca="1" si="190"/>
        <v>2367305.6137726703</v>
      </c>
      <c r="AK56" s="58">
        <f t="shared" ca="1" si="190"/>
        <v>2331099.8555512144</v>
      </c>
      <c r="AL56" s="58">
        <f t="shared" ca="1" si="190"/>
        <v>2333942.5732593467</v>
      </c>
      <c r="AM56" s="58">
        <f t="shared" ca="1" si="190"/>
        <v>2483714.6953642522</v>
      </c>
      <c r="AN56" s="58">
        <f t="shared" ca="1" si="190"/>
        <v>2488068.687818191</v>
      </c>
      <c r="AO56" s="58">
        <f t="shared" ca="1" si="190"/>
        <v>2411918.0933219618</v>
      </c>
      <c r="AP56" s="58">
        <f t="shared" ca="1" si="190"/>
        <v>2456841.8803572268</v>
      </c>
      <c r="AQ56" s="58">
        <f t="shared" ca="1" si="190"/>
        <v>2632250.6893659062</v>
      </c>
      <c r="AR56" s="58">
        <f t="shared" ca="1" si="190"/>
        <v>2639777.4468163638</v>
      </c>
      <c r="AS56" s="58">
        <f t="shared" ref="AS56:BX56" ca="1" si="191">AS103</f>
        <v>2560894.6619389872</v>
      </c>
      <c r="AT56" s="58">
        <f t="shared" ca="1" si="191"/>
        <v>2610930.1861690762</v>
      </c>
      <c r="AU56" s="58">
        <f t="shared" ca="1" si="191"/>
        <v>2784519.3627624079</v>
      </c>
      <c r="AV56" s="58">
        <f t="shared" ca="1" si="191"/>
        <v>2795104.6077768565</v>
      </c>
      <c r="AW56" s="58">
        <f t="shared" ca="1" si="191"/>
        <v>2715811.3085663728</v>
      </c>
      <c r="AX56" s="58">
        <f t="shared" ca="1" si="191"/>
        <v>2770951.0382879651</v>
      </c>
      <c r="AY56" s="58">
        <f t="shared" ca="1" si="191"/>
        <v>2971018.7651483575</v>
      </c>
      <c r="AZ56" s="58">
        <f t="shared" ca="1" si="191"/>
        <v>2985924.3459402556</v>
      </c>
      <c r="BA56" s="58">
        <f t="shared" ca="1" si="191"/>
        <v>2954330.7953701937</v>
      </c>
      <c r="BB56" s="58">
        <f t="shared" ca="1" si="191"/>
        <v>2970537.0217531291</v>
      </c>
      <c r="BC56" s="58">
        <f t="shared" ca="1" si="191"/>
        <v>3189575.9671160453</v>
      </c>
      <c r="BD56" s="58">
        <f t="shared" ca="1" si="191"/>
        <v>3209546.7913021818</v>
      </c>
      <c r="BE56" s="58">
        <f t="shared" ca="1" si="191"/>
        <v>3131859.9319296246</v>
      </c>
      <c r="BF56" s="58">
        <f t="shared" ca="1" si="191"/>
        <v>3201762.4340758054</v>
      </c>
      <c r="BG56" s="58">
        <f t="shared" ca="1" si="191"/>
        <v>3415998.189019592</v>
      </c>
      <c r="BH56" s="58">
        <f t="shared" ca="1" si="191"/>
        <v>3441006.491740718</v>
      </c>
      <c r="BI56" s="58">
        <f t="shared" ca="1" si="191"/>
        <v>3362133.2790368637</v>
      </c>
      <c r="BJ56" s="58">
        <f t="shared" ca="1" si="191"/>
        <v>3440096.3832000187</v>
      </c>
      <c r="BK56" s="58">
        <f t="shared" ca="1" si="191"/>
        <v>3695270.7959421985</v>
      </c>
      <c r="BL56" s="58">
        <f t="shared" ca="1" si="191"/>
        <v>3727246.8077878752</v>
      </c>
      <c r="BM56" s="58">
        <f t="shared" ca="1" si="191"/>
        <v>3649191.1983950278</v>
      </c>
      <c r="BN56" s="58">
        <f t="shared" ca="1" si="191"/>
        <v>3737835.398085223</v>
      </c>
      <c r="BO56" s="58">
        <f t="shared" ca="1" si="191"/>
        <v>4001820.1793219298</v>
      </c>
      <c r="BP56" s="58">
        <f t="shared" ca="1" si="191"/>
        <v>4041234.2920882734</v>
      </c>
      <c r="BQ56" s="58">
        <f t="shared" ca="1" si="191"/>
        <v>4022684.9888533228</v>
      </c>
      <c r="BR56" s="58">
        <f t="shared" ca="1" si="191"/>
        <v>4064589.5317936582</v>
      </c>
      <c r="BS56" s="58">
        <f t="shared" ca="1" si="191"/>
        <v>4381661.373147808</v>
      </c>
      <c r="BT56" s="58">
        <f t="shared" ca="1" si="191"/>
        <v>4431197.8080692049</v>
      </c>
      <c r="BU56" s="58">
        <f t="shared" ca="1" si="191"/>
        <v>4353834.5101071382</v>
      </c>
      <c r="BV56" s="58">
        <f t="shared" ca="1" si="191"/>
        <v>4469275.2936619632</v>
      </c>
      <c r="BW56" s="58">
        <f t="shared" ca="1" si="191"/>
        <v>4809361.8980355272</v>
      </c>
      <c r="BX56" s="58">
        <f t="shared" ca="1" si="191"/>
        <v>4870455.655630609</v>
      </c>
      <c r="BY56" s="58">
        <f t="shared" ref="BY56:CN56" ca="1" si="192">BY103</f>
        <v>4796333.5499259261</v>
      </c>
      <c r="BZ56" s="58">
        <f t="shared" ca="1" si="192"/>
        <v>4928954.652214909</v>
      </c>
      <c r="CA56" s="58">
        <f t="shared" ca="1" si="192"/>
        <v>5301143.6262182882</v>
      </c>
      <c r="CB56" s="58">
        <f t="shared" ca="1" si="192"/>
        <v>5375501.1259521954</v>
      </c>
      <c r="CC56" s="58">
        <f t="shared" ca="1" si="192"/>
        <v>5304288.630030157</v>
      </c>
      <c r="CD56" s="58">
        <f t="shared" ca="1" si="192"/>
        <v>5456815.3623203551</v>
      </c>
      <c r="CE56" s="58">
        <f t="shared" ca="1" si="192"/>
        <v>5879704.1064796289</v>
      </c>
      <c r="CF56" s="58">
        <f t="shared" ca="1" si="192"/>
        <v>5970151.9846850792</v>
      </c>
      <c r="CG56" s="58">
        <f t="shared" ca="1" si="192"/>
        <v>5979344.5276937736</v>
      </c>
      <c r="CH56" s="58">
        <f t="shared" ca="1" si="192"/>
        <v>6071277.4525091834</v>
      </c>
      <c r="CI56" s="58">
        <f t="shared" ca="1" si="192"/>
        <v>6564414.6609494686</v>
      </c>
      <c r="CJ56" s="58">
        <f t="shared" ca="1" si="192"/>
        <v>6671165.4224693105</v>
      </c>
      <c r="CK56" s="58">
        <f t="shared" ca="1" si="192"/>
        <v>6603340.8323941827</v>
      </c>
      <c r="CL56" s="58">
        <f t="shared" ca="1" si="192"/>
        <v>6805021.7488192534</v>
      </c>
      <c r="CM56" s="58">
        <f t="shared" ca="1" si="192"/>
        <v>7324924.7048154753</v>
      </c>
      <c r="CN56" s="58">
        <f t="shared" ca="1" si="192"/>
        <v>3967943.9555129441</v>
      </c>
    </row>
    <row r="57" spans="3:92" ht="12.75" customHeight="1" x14ac:dyDescent="0.3">
      <c r="C57" s="17"/>
      <c r="D57" s="92" t="s">
        <v>125</v>
      </c>
      <c r="H57" s="16" t="s">
        <v>1</v>
      </c>
      <c r="L57" s="72">
        <f>Ass!I147</f>
        <v>30207596.758677851</v>
      </c>
      <c r="M57" s="58">
        <f t="shared" ref="M57:AR57" ca="1" si="193">M111</f>
        <v>29169291.436437853</v>
      </c>
      <c r="N57" s="58">
        <f t="shared" ca="1" si="193"/>
        <v>27994216.646421853</v>
      </c>
      <c r="O57" s="58">
        <f t="shared" ca="1" si="193"/>
        <v>26713258.551278982</v>
      </c>
      <c r="P57" s="58">
        <f t="shared" ca="1" si="193"/>
        <v>25316953.356898248</v>
      </c>
      <c r="Q57" s="58">
        <f t="shared" ca="1" si="193"/>
        <v>23823758.705130871</v>
      </c>
      <c r="R57" s="58">
        <f t="shared" ca="1" si="193"/>
        <v>22228959.520984977</v>
      </c>
      <c r="S57" s="58">
        <f t="shared" ca="1" si="193"/>
        <v>20541598.020190462</v>
      </c>
      <c r="T57" s="58">
        <f t="shared" ca="1" si="193"/>
        <v>19274997.85923079</v>
      </c>
      <c r="U57" s="58">
        <f t="shared" ca="1" si="193"/>
        <v>17931256.933616154</v>
      </c>
      <c r="V57" s="58">
        <f t="shared" ca="1" si="193"/>
        <v>16516930.756142959</v>
      </c>
      <c r="W57" s="58">
        <f t="shared" ca="1" si="193"/>
        <v>15037907.375767032</v>
      </c>
      <c r="X57" s="58">
        <f t="shared" ca="1" si="193"/>
        <v>13032620.345610358</v>
      </c>
      <c r="Y57" s="58">
        <f t="shared" ca="1" si="193"/>
        <v>11019357.717427865</v>
      </c>
      <c r="Z57" s="58">
        <f t="shared" ca="1" si="193"/>
        <v>8997713.9358729776</v>
      </c>
      <c r="AA57" s="58">
        <f t="shared" ca="1" si="193"/>
        <v>6977383.1662985208</v>
      </c>
      <c r="AB57" s="58">
        <f t="shared" ca="1" si="193"/>
        <v>4947948.697648013</v>
      </c>
      <c r="AC57" s="58">
        <f t="shared" ca="1" si="193"/>
        <v>2919297.505118975</v>
      </c>
      <c r="AD57" s="58">
        <f t="shared" ca="1" si="193"/>
        <v>880920.82201895351</v>
      </c>
      <c r="AE57" s="58">
        <f t="shared" ca="1" si="193"/>
        <v>348139.82418422587</v>
      </c>
      <c r="AF57" s="58">
        <f t="shared" ca="1" si="193"/>
        <v>325502.95172904688</v>
      </c>
      <c r="AG57" s="58">
        <f t="shared" ca="1" si="193"/>
        <v>292358.4706719612</v>
      </c>
      <c r="AH57" s="58">
        <f t="shared" ca="1" si="193"/>
        <v>260478.49047660962</v>
      </c>
      <c r="AI57" s="58">
        <f t="shared" ca="1" si="193"/>
        <v>246648.44032252903</v>
      </c>
      <c r="AJ57" s="58">
        <f t="shared" ca="1" si="193"/>
        <v>233833.99851193256</v>
      </c>
      <c r="AK57" s="58">
        <f t="shared" ca="1" si="193"/>
        <v>228054.5767320882</v>
      </c>
      <c r="AL57" s="58">
        <f t="shared" ca="1" si="193"/>
        <v>223089.11892142575</v>
      </c>
      <c r="AM57" s="58">
        <f t="shared" ca="1" si="193"/>
        <v>218851.77115800133</v>
      </c>
      <c r="AN57" s="58">
        <f t="shared" ca="1" si="193"/>
        <v>215265.38840670951</v>
      </c>
      <c r="AO57" s="58">
        <f t="shared" ca="1" si="193"/>
        <v>212260.69055502277</v>
      </c>
      <c r="AP57" s="58">
        <f t="shared" ca="1" si="193"/>
        <v>209775.49636646936</v>
      </c>
      <c r="AQ57" s="58">
        <f t="shared" ca="1" si="193"/>
        <v>207754.0286055234</v>
      </c>
      <c r="AR57" s="58">
        <f t="shared" ca="1" si="193"/>
        <v>206146.28411363883</v>
      </c>
      <c r="AS57" s="58">
        <f t="shared" ref="AS57:BX57" ca="1" si="194">AS111</f>
        <v>204907.46310955461</v>
      </c>
      <c r="AT57" s="58">
        <f t="shared" ca="1" si="194"/>
        <v>203997.45244838871</v>
      </c>
      <c r="AU57" s="58">
        <f t="shared" ca="1" si="194"/>
        <v>203380.3580043742</v>
      </c>
      <c r="AV57" s="58">
        <f t="shared" ca="1" si="194"/>
        <v>203024.08174248826</v>
      </c>
      <c r="AW57" s="58">
        <f t="shared" ca="1" si="194"/>
        <v>202899.93941596948</v>
      </c>
      <c r="AX57" s="58">
        <f t="shared" ca="1" si="194"/>
        <v>202982.31517116976</v>
      </c>
      <c r="AY57" s="58">
        <f t="shared" ca="1" si="194"/>
        <v>203248.34965977253</v>
      </c>
      <c r="AZ57" s="58">
        <f t="shared" ca="1" si="194"/>
        <v>203677.6585525737</v>
      </c>
      <c r="BA57" s="58">
        <f t="shared" ca="1" si="194"/>
        <v>204252.0786202235</v>
      </c>
      <c r="BB57" s="58">
        <f t="shared" ca="1" si="194"/>
        <v>204955.43879599622</v>
      </c>
      <c r="BC57" s="58">
        <f t="shared" ca="1" si="194"/>
        <v>205773.35386519649</v>
      </c>
      <c r="BD57" s="58">
        <f t="shared" ca="1" si="194"/>
        <v>206693.03863658593</v>
      </c>
      <c r="BE57" s="58">
        <f t="shared" ca="1" si="194"/>
        <v>207703.14064453181</v>
      </c>
      <c r="BF57" s="58">
        <f t="shared" ca="1" si="194"/>
        <v>208793.58960769465</v>
      </c>
      <c r="BG57" s="58">
        <f t="shared" ca="1" si="194"/>
        <v>209955.46203217233</v>
      </c>
      <c r="BH57" s="58">
        <f t="shared" ca="1" si="194"/>
        <v>211180.85949524041</v>
      </c>
      <c r="BI57" s="58">
        <f t="shared" ca="1" si="194"/>
        <v>212462.79928123279</v>
      </c>
      <c r="BJ57" s="58">
        <f t="shared" ca="1" si="194"/>
        <v>213795.11616469381</v>
      </c>
      <c r="BK57" s="58">
        <f t="shared" ca="1" si="194"/>
        <v>215172.37424864917</v>
      </c>
      <c r="BL57" s="58">
        <f t="shared" ca="1" si="194"/>
        <v>216589.78786855834</v>
      </c>
      <c r="BM57" s="58">
        <f t="shared" ca="1" si="194"/>
        <v>218043.15066604235</v>
      </c>
      <c r="BN57" s="58">
        <f t="shared" ca="1" si="194"/>
        <v>219528.77202159952</v>
      </c>
      <c r="BO57" s="58">
        <f t="shared" ca="1" si="194"/>
        <v>221043.42011291982</v>
      </c>
      <c r="BP57" s="58">
        <f t="shared" ca="1" si="194"/>
        <v>222584.27093574664</v>
      </c>
      <c r="BQ57" s="58">
        <f t="shared" ca="1" si="194"/>
        <v>224148.86268812153</v>
      </c>
      <c r="BR57" s="58">
        <f t="shared" ca="1" si="194"/>
        <v>225735.05497682912</v>
      </c>
      <c r="BS57" s="58">
        <f t="shared" ca="1" si="194"/>
        <v>227340.99235746349</v>
      </c>
      <c r="BT57" s="58">
        <f t="shared" ca="1" si="194"/>
        <v>228965.07176722575</v>
      </c>
      <c r="BU57" s="58">
        <f t="shared" ca="1" si="194"/>
        <v>230605.91345278069</v>
      </c>
      <c r="BV57" s="58">
        <f t="shared" ca="1" si="194"/>
        <v>232262.33503463832</v>
      </c>
      <c r="BW57" s="58">
        <f t="shared" ca="1" si="194"/>
        <v>233933.32838495675</v>
      </c>
      <c r="BX57" s="58">
        <f t="shared" ca="1" si="194"/>
        <v>235618.03902772316</v>
      </c>
      <c r="BY57" s="58">
        <f t="shared" ref="BY57:CN57" ca="1" si="195">BY111</f>
        <v>237315.74779925653</v>
      </c>
      <c r="BZ57" s="58">
        <f t="shared" ca="1" si="195"/>
        <v>239025.85453318452</v>
      </c>
      <c r="CA57" s="58">
        <f t="shared" ca="1" si="195"/>
        <v>240747.86355772414</v>
      </c>
      <c r="CB57" s="58">
        <f t="shared" ca="1" si="195"/>
        <v>242481.37081447837</v>
      </c>
      <c r="CC57" s="58">
        <f t="shared" ca="1" si="195"/>
        <v>244226.05242726518</v>
      </c>
      <c r="CD57" s="58">
        <f t="shared" ca="1" si="195"/>
        <v>245981.65456691242</v>
      </c>
      <c r="CE57" s="58">
        <f t="shared" ca="1" si="195"/>
        <v>247747.98447366149</v>
      </c>
      <c r="CF57" s="58">
        <f t="shared" ca="1" si="195"/>
        <v>249524.90251298674</v>
      </c>
      <c r="CG57" s="58">
        <f t="shared" ca="1" si="195"/>
        <v>251312.31515339957</v>
      </c>
      <c r="CH57" s="58">
        <f t="shared" ca="1" si="195"/>
        <v>253110.16876630503</v>
      </c>
      <c r="CI57" s="58">
        <f t="shared" ca="1" si="195"/>
        <v>254918.44415832977</v>
      </c>
      <c r="CJ57" s="58">
        <f t="shared" ca="1" si="195"/>
        <v>256737.15175586022</v>
      </c>
      <c r="CK57" s="58">
        <f t="shared" ca="1" si="195"/>
        <v>258566.32736991046</v>
      </c>
      <c r="CL57" s="58">
        <f t="shared" ca="1" si="195"/>
        <v>260406.02847697985</v>
      </c>
      <c r="CM57" s="58">
        <f t="shared" ca="1" si="195"/>
        <v>262256.33095833944</v>
      </c>
      <c r="CN57" s="58">
        <f t="shared" ca="1" si="195"/>
        <v>3.8999132812023163E-9</v>
      </c>
    </row>
    <row r="58" spans="3:92" ht="12.75" customHeight="1" x14ac:dyDescent="0.3">
      <c r="C58" s="17"/>
      <c r="D58" s="75" t="s">
        <v>87</v>
      </c>
      <c r="H58" s="16" t="s">
        <v>1</v>
      </c>
      <c r="L58" s="72">
        <f>Ass!I148</f>
        <v>120000000</v>
      </c>
      <c r="M58" s="15">
        <f>Debt!M16</f>
        <v>114414176.44983999</v>
      </c>
      <c r="N58" s="15">
        <f ca="1">Debt!N16</f>
        <v>110331673.65984476</v>
      </c>
      <c r="O58" s="15">
        <f ca="1">Debt!O16</f>
        <v>104998739.65975566</v>
      </c>
      <c r="P58" s="15">
        <f ca="1">Debt!P16</f>
        <v>99767192.424407929</v>
      </c>
      <c r="Q58" s="15">
        <f ca="1">Debt!Q16</f>
        <v>93862072.91063267</v>
      </c>
      <c r="R58" s="15">
        <f ca="1">Debt!R16</f>
        <v>87722830.925713629</v>
      </c>
      <c r="S58" s="15">
        <f ca="1">Debt!S16</f>
        <v>81183014.654860407</v>
      </c>
      <c r="T58" s="15">
        <f ca="1">Debt!T16</f>
        <v>74763691.916916639</v>
      </c>
      <c r="U58" s="15">
        <f ca="1">Debt!U16</f>
        <v>68495390.441011339</v>
      </c>
      <c r="V58" s="15">
        <f ca="1">Debt!V16</f>
        <v>62184586.307228103</v>
      </c>
      <c r="W58" s="15">
        <f ca="1">Debt!W16</f>
        <v>60000000</v>
      </c>
      <c r="X58" s="15">
        <f ca="1">Debt!X16</f>
        <v>59000000</v>
      </c>
      <c r="Y58" s="15">
        <f ca="1">Debt!Y16</f>
        <v>58000000</v>
      </c>
      <c r="Z58" s="15">
        <f ca="1">Debt!Z16</f>
        <v>57000000</v>
      </c>
      <c r="AA58" s="15">
        <f ca="1">Debt!AA16</f>
        <v>56000000</v>
      </c>
      <c r="AB58" s="15">
        <f ca="1">Debt!AB16</f>
        <v>55000000</v>
      </c>
      <c r="AC58" s="15">
        <f ca="1">Debt!AC16</f>
        <v>54000000</v>
      </c>
      <c r="AD58" s="15">
        <f ca="1">Debt!AD16</f>
        <v>53000000</v>
      </c>
      <c r="AE58" s="15">
        <f ca="1">Debt!AE16</f>
        <v>52000000</v>
      </c>
      <c r="AF58" s="15">
        <f ca="1">Debt!AF16</f>
        <v>51000000</v>
      </c>
      <c r="AG58" s="15">
        <f ca="1">Debt!AG16</f>
        <v>50000000</v>
      </c>
      <c r="AH58" s="15">
        <f ca="1">Debt!AH16</f>
        <v>49000000</v>
      </c>
      <c r="AI58" s="15">
        <f ca="1">Debt!AI16</f>
        <v>48000000</v>
      </c>
      <c r="AJ58" s="15">
        <f ca="1">Debt!AJ16</f>
        <v>47000000</v>
      </c>
      <c r="AK58" s="15">
        <f ca="1">Debt!AK16</f>
        <v>46000000</v>
      </c>
      <c r="AL58" s="15">
        <f ca="1">Debt!AL16</f>
        <v>45000000</v>
      </c>
      <c r="AM58" s="15">
        <f ca="1">Debt!AM16</f>
        <v>44000000</v>
      </c>
      <c r="AN58" s="15">
        <f ca="1">Debt!AN16</f>
        <v>43000000</v>
      </c>
      <c r="AO58" s="15">
        <f ca="1">Debt!AO16</f>
        <v>42000000</v>
      </c>
      <c r="AP58" s="15">
        <f ca="1">Debt!AP16</f>
        <v>41000000</v>
      </c>
      <c r="AQ58" s="15">
        <f ca="1">Debt!AQ16</f>
        <v>40000000</v>
      </c>
      <c r="AR58" s="15">
        <f ca="1">Debt!AR16</f>
        <v>39000000</v>
      </c>
      <c r="AS58" s="15">
        <f ca="1">Debt!AS16</f>
        <v>38000000</v>
      </c>
      <c r="AT58" s="15">
        <f ca="1">Debt!AT16</f>
        <v>37000000</v>
      </c>
      <c r="AU58" s="15">
        <f ca="1">Debt!AU16</f>
        <v>36000000</v>
      </c>
      <c r="AV58" s="15">
        <f ca="1">Debt!AV16</f>
        <v>35000000</v>
      </c>
      <c r="AW58" s="15">
        <f ca="1">Debt!AW16</f>
        <v>34000000</v>
      </c>
      <c r="AX58" s="15">
        <f ca="1">Debt!AX16</f>
        <v>33000000</v>
      </c>
      <c r="AY58" s="15">
        <f ca="1">Debt!AY16</f>
        <v>32000000</v>
      </c>
      <c r="AZ58" s="15">
        <f ca="1">Debt!AZ16</f>
        <v>31000000</v>
      </c>
      <c r="BA58" s="15">
        <f ca="1">Debt!BA16</f>
        <v>30000000</v>
      </c>
      <c r="BB58" s="15">
        <f ca="1">Debt!BB16</f>
        <v>29000000</v>
      </c>
      <c r="BC58" s="15">
        <f ca="1">Debt!BC16</f>
        <v>28000000</v>
      </c>
      <c r="BD58" s="15">
        <f ca="1">Debt!BD16</f>
        <v>27000000</v>
      </c>
      <c r="BE58" s="15">
        <f ca="1">Debt!BE16</f>
        <v>26000000</v>
      </c>
      <c r="BF58" s="15">
        <f ca="1">Debt!BF16</f>
        <v>25000000</v>
      </c>
      <c r="BG58" s="15">
        <f ca="1">Debt!BG16</f>
        <v>24000000</v>
      </c>
      <c r="BH58" s="15">
        <f ca="1">Debt!BH16</f>
        <v>23000000</v>
      </c>
      <c r="BI58" s="15">
        <f ca="1">Debt!BI16</f>
        <v>22000000</v>
      </c>
      <c r="BJ58" s="15">
        <f ca="1">Debt!BJ16</f>
        <v>21000000</v>
      </c>
      <c r="BK58" s="15">
        <f ca="1">Debt!BK16</f>
        <v>20000000</v>
      </c>
      <c r="BL58" s="15">
        <f ca="1">Debt!BL16</f>
        <v>19000000</v>
      </c>
      <c r="BM58" s="15">
        <f ca="1">Debt!BM16</f>
        <v>18000000</v>
      </c>
      <c r="BN58" s="15">
        <f ca="1">Debt!BN16</f>
        <v>17000000</v>
      </c>
      <c r="BO58" s="15">
        <f ca="1">Debt!BO16</f>
        <v>16000000</v>
      </c>
      <c r="BP58" s="15">
        <f ca="1">Debt!BP16</f>
        <v>15000000</v>
      </c>
      <c r="BQ58" s="15">
        <f ca="1">Debt!BQ16</f>
        <v>14000000</v>
      </c>
      <c r="BR58" s="15">
        <f ca="1">Debt!BR16</f>
        <v>13000000</v>
      </c>
      <c r="BS58" s="15">
        <f ca="1">Debt!BS16</f>
        <v>12000000</v>
      </c>
      <c r="BT58" s="15">
        <f ca="1">Debt!BT16</f>
        <v>11000000</v>
      </c>
      <c r="BU58" s="15">
        <f ca="1">Debt!BU16</f>
        <v>10000000</v>
      </c>
      <c r="BV58" s="15">
        <f ca="1">Debt!BV16</f>
        <v>9000000</v>
      </c>
      <c r="BW58" s="15">
        <f ca="1">Debt!BW16</f>
        <v>8000000</v>
      </c>
      <c r="BX58" s="15">
        <f ca="1">Debt!BX16</f>
        <v>7000000</v>
      </c>
      <c r="BY58" s="15">
        <f ca="1">Debt!BY16</f>
        <v>6000000</v>
      </c>
      <c r="BZ58" s="15">
        <f ca="1">Debt!BZ16</f>
        <v>5000000</v>
      </c>
      <c r="CA58" s="15">
        <f ca="1">Debt!CA16</f>
        <v>4000000</v>
      </c>
      <c r="CB58" s="15">
        <f ca="1">Debt!CB16</f>
        <v>3000000</v>
      </c>
      <c r="CC58" s="15">
        <f ca="1">Debt!CC16</f>
        <v>2000000</v>
      </c>
      <c r="CD58" s="15">
        <f ca="1">Debt!CD16</f>
        <v>1000000</v>
      </c>
      <c r="CE58" s="15">
        <f ca="1">Debt!CE16</f>
        <v>0</v>
      </c>
      <c r="CF58" s="15">
        <f ca="1">Debt!CF16</f>
        <v>0</v>
      </c>
      <c r="CG58" s="15">
        <f ca="1">Debt!CG16</f>
        <v>0</v>
      </c>
      <c r="CH58" s="15">
        <f ca="1">Debt!CH16</f>
        <v>0</v>
      </c>
      <c r="CI58" s="15">
        <f ca="1">Debt!CI16</f>
        <v>0</v>
      </c>
      <c r="CJ58" s="15">
        <f ca="1">Debt!CJ16</f>
        <v>0</v>
      </c>
      <c r="CK58" s="15">
        <f ca="1">Debt!CK16</f>
        <v>0</v>
      </c>
      <c r="CL58" s="15">
        <f ca="1">Debt!CL16</f>
        <v>0</v>
      </c>
      <c r="CM58" s="15">
        <f ca="1">Debt!CM16</f>
        <v>0</v>
      </c>
      <c r="CN58" s="15">
        <f ca="1">Debt!CN16</f>
        <v>0</v>
      </c>
    </row>
    <row r="59" spans="3:92" ht="12.75" customHeight="1" x14ac:dyDescent="0.3">
      <c r="C59" s="17"/>
      <c r="D59" s="51" t="s">
        <v>27</v>
      </c>
      <c r="H59" s="16" t="s">
        <v>1</v>
      </c>
      <c r="L59" s="50">
        <f t="shared" ref="L59:AQ59" si="196">SUM(L55:L58)</f>
        <v>150505596.75867784</v>
      </c>
      <c r="M59" s="50">
        <f t="shared" ca="1" si="196"/>
        <v>144360939.39389384</v>
      </c>
      <c r="N59" s="50">
        <f t="shared" ca="1" si="196"/>
        <v>139286326.38503286</v>
      </c>
      <c r="O59" s="50">
        <f t="shared" ca="1" si="196"/>
        <v>132883139.91508956</v>
      </c>
      <c r="P59" s="50">
        <f t="shared" ca="1" si="196"/>
        <v>126371257.76854266</v>
      </c>
      <c r="Q59" s="50">
        <f t="shared" ca="1" si="196"/>
        <v>118992051.11626339</v>
      </c>
      <c r="R59" s="50">
        <f t="shared" ca="1" si="196"/>
        <v>111415061.60251412</v>
      </c>
      <c r="S59" s="50">
        <f t="shared" ca="1" si="196"/>
        <v>103416836.58220945</v>
      </c>
      <c r="T59" s="50">
        <f t="shared" ca="1" si="196"/>
        <v>95827554.150956243</v>
      </c>
      <c r="U59" s="50">
        <f t="shared" ca="1" si="196"/>
        <v>88271366.345832288</v>
      </c>
      <c r="V59" s="50">
        <f t="shared" ca="1" si="196"/>
        <v>80634532.92269823</v>
      </c>
      <c r="W59" s="50">
        <f t="shared" ca="1" si="196"/>
        <v>77192533.128543586</v>
      </c>
      <c r="X59" s="50">
        <f t="shared" ca="1" si="196"/>
        <v>74719152.704241931</v>
      </c>
      <c r="Y59" s="50">
        <f t="shared" ca="1" si="196"/>
        <v>71637852.851667538</v>
      </c>
      <c r="Z59" s="50">
        <f t="shared" ca="1" si="196"/>
        <v>68665704.221373975</v>
      </c>
      <c r="AA59" s="50">
        <f t="shared" ca="1" si="196"/>
        <v>65782566.175372511</v>
      </c>
      <c r="AB59" s="50">
        <f t="shared" ca="1" si="196"/>
        <v>62768331.877638109</v>
      </c>
      <c r="AC59" s="50">
        <f t="shared" ca="1" si="196"/>
        <v>59676595.796491861</v>
      </c>
      <c r="AD59" s="50">
        <f t="shared" ca="1" si="196"/>
        <v>56695714.176060386</v>
      </c>
      <c r="AE59" s="50">
        <f t="shared" ca="1" si="196"/>
        <v>55324676.84123344</v>
      </c>
      <c r="AF59" s="50">
        <f t="shared" ca="1" si="196"/>
        <v>54323595.943996906</v>
      </c>
      <c r="AG59" s="50">
        <f t="shared" ca="1" si="196"/>
        <v>53211558.24860885</v>
      </c>
      <c r="AH59" s="50">
        <f t="shared" ca="1" si="196"/>
        <v>52231237.48878856</v>
      </c>
      <c r="AI59" s="50">
        <f t="shared" ca="1" si="196"/>
        <v>51390276.533448152</v>
      </c>
      <c r="AJ59" s="50">
        <f t="shared" ca="1" si="196"/>
        <v>50389834.666554362</v>
      </c>
      <c r="AK59" s="50">
        <f t="shared" ca="1" si="196"/>
        <v>49352705.722866468</v>
      </c>
      <c r="AL59" s="50">
        <f t="shared" ca="1" si="196"/>
        <v>48361574.825918011</v>
      </c>
      <c r="AM59" s="50">
        <f t="shared" ca="1" si="196"/>
        <v>47524084.607198775</v>
      </c>
      <c r="AN59" s="50">
        <f t="shared" ca="1" si="196"/>
        <v>46536701.582371615</v>
      </c>
      <c r="AO59" s="50">
        <f t="shared" ca="1" si="196"/>
        <v>45456142.946105339</v>
      </c>
      <c r="AP59" s="50">
        <f t="shared" ca="1" si="196"/>
        <v>44516914.291372605</v>
      </c>
      <c r="AQ59" s="50">
        <f t="shared" ca="1" si="196"/>
        <v>43709302.89999418</v>
      </c>
      <c r="AR59" s="50">
        <f t="shared" ref="AR59:BW59" ca="1" si="197">SUM(AR55:AR58)</f>
        <v>42728759.856152035</v>
      </c>
      <c r="AS59" s="50">
        <f t="shared" ca="1" si="197"/>
        <v>41645874.929823242</v>
      </c>
      <c r="AT59" s="50">
        <f t="shared" ca="1" si="197"/>
        <v>40715544.284748852</v>
      </c>
      <c r="AU59" s="50">
        <f t="shared" ca="1" si="197"/>
        <v>39909846.714487076</v>
      </c>
      <c r="AV59" s="50">
        <f t="shared" ca="1" si="197"/>
        <v>38935569.625521943</v>
      </c>
      <c r="AW59" s="50">
        <f t="shared" ca="1" si="197"/>
        <v>37853572.059279285</v>
      </c>
      <c r="AX59" s="50">
        <f t="shared" ca="1" si="197"/>
        <v>36931935.273474954</v>
      </c>
      <c r="AY59" s="50">
        <f t="shared" ca="1" si="197"/>
        <v>36156336.460321032</v>
      </c>
      <c r="AZ59" s="50">
        <f t="shared" ca="1" si="197"/>
        <v>35189469.972742453</v>
      </c>
      <c r="BA59" s="50">
        <f t="shared" ca="1" si="197"/>
        <v>34167339.622916661</v>
      </c>
      <c r="BB59" s="50">
        <f t="shared" ca="1" si="197"/>
        <v>33203187.64651705</v>
      </c>
      <c r="BC59" s="50">
        <f t="shared" ca="1" si="197"/>
        <v>32450475.802924279</v>
      </c>
      <c r="BD59" s="50">
        <f t="shared" ca="1" si="197"/>
        <v>31491986.728174061</v>
      </c>
      <c r="BE59" s="50">
        <f t="shared" ca="1" si="197"/>
        <v>30418148.62213257</v>
      </c>
      <c r="BF59" s="50">
        <f t="shared" ca="1" si="197"/>
        <v>29519273.552895255</v>
      </c>
      <c r="BG59" s="50">
        <f t="shared" ca="1" si="197"/>
        <v>28766107.127356242</v>
      </c>
      <c r="BH59" s="50">
        <f t="shared" ca="1" si="197"/>
        <v>27816326.487385552</v>
      </c>
      <c r="BI59" s="50">
        <f t="shared" ca="1" si="197"/>
        <v>26741114.191653773</v>
      </c>
      <c r="BJ59" s="50">
        <f t="shared" ca="1" si="197"/>
        <v>25854985.718519345</v>
      </c>
      <c r="BK59" s="50">
        <f t="shared" ca="1" si="197"/>
        <v>25147660.149852224</v>
      </c>
      <c r="BL59" s="50">
        <f t="shared" ca="1" si="197"/>
        <v>24208991.257200178</v>
      </c>
      <c r="BM59" s="50">
        <f t="shared" ca="1" si="197"/>
        <v>23137479.073458146</v>
      </c>
      <c r="BN59" s="50">
        <f t="shared" ca="1" si="197"/>
        <v>22267516.378522962</v>
      </c>
      <c r="BO59" s="50">
        <f t="shared" ca="1" si="197"/>
        <v>21574762.146270972</v>
      </c>
      <c r="BP59" s="50">
        <f t="shared" ca="1" si="197"/>
        <v>20648398.701993171</v>
      </c>
      <c r="BQ59" s="50">
        <f t="shared" ca="1" si="197"/>
        <v>19649920.360211853</v>
      </c>
      <c r="BR59" s="50">
        <f t="shared" ca="1" si="197"/>
        <v>18728376.595585164</v>
      </c>
      <c r="BS59" s="50">
        <f t="shared" ca="1" si="197"/>
        <v>18095505.440592576</v>
      </c>
      <c r="BT59" s="50">
        <f t="shared" ca="1" si="197"/>
        <v>17185009.857659265</v>
      </c>
      <c r="BU59" s="50">
        <f t="shared" ca="1" si="197"/>
        <v>16113562.960285865</v>
      </c>
      <c r="BV59" s="50">
        <f t="shared" ca="1" si="197"/>
        <v>15284259.445957616</v>
      </c>
      <c r="BW59" s="50">
        <f t="shared" ca="1" si="197"/>
        <v>14682211.273059312</v>
      </c>
      <c r="BX59" s="50">
        <f t="shared" ref="BX59:CN59" ca="1" si="198">SUM(BX55:BX58)</f>
        <v>13789893.97351972</v>
      </c>
      <c r="BY59" s="50">
        <f t="shared" ca="1" si="198"/>
        <v>12731648.077869371</v>
      </c>
      <c r="BZ59" s="50">
        <f t="shared" ca="1" si="198"/>
        <v>11928649.97272874</v>
      </c>
      <c r="CA59" s="50">
        <f t="shared" ca="1" si="198"/>
        <v>11368328.904257022</v>
      </c>
      <c r="CB59" s="50">
        <f t="shared" ca="1" si="198"/>
        <v>10497421.189314179</v>
      </c>
      <c r="CC59" s="50">
        <f t="shared" ca="1" si="198"/>
        <v>9443849.1923777424</v>
      </c>
      <c r="CD59" s="50">
        <f t="shared" ca="1" si="198"/>
        <v>8671545.0782984942</v>
      </c>
      <c r="CE59" s="50">
        <f t="shared" ca="1" si="198"/>
        <v>8173307.8592856647</v>
      </c>
      <c r="CF59" s="50">
        <f t="shared" ca="1" si="198"/>
        <v>8328137.0763363736</v>
      </c>
      <c r="CG59" s="50">
        <f t="shared" ca="1" si="198"/>
        <v>8385390.8956281552</v>
      </c>
      <c r="CH59" s="50">
        <f t="shared" ca="1" si="198"/>
        <v>8546633.8461167254</v>
      </c>
      <c r="CI59" s="50">
        <f t="shared" ca="1" si="198"/>
        <v>9132593.7800945826</v>
      </c>
      <c r="CJ59" s="50">
        <f t="shared" ca="1" si="198"/>
        <v>9315539.2914102133</v>
      </c>
      <c r="CK59" s="50">
        <f t="shared" ca="1" si="198"/>
        <v>9282980.9855148494</v>
      </c>
      <c r="CL59" s="50">
        <f t="shared" ca="1" si="198"/>
        <v>9588886.4561590161</v>
      </c>
      <c r="CM59" s="50">
        <f t="shared" ca="1" si="198"/>
        <v>10218331.910836425</v>
      </c>
      <c r="CN59" s="50">
        <f t="shared" ca="1" si="198"/>
        <v>6687598.6857558992</v>
      </c>
    </row>
    <row r="60" spans="3:92" ht="12.75" customHeight="1" x14ac:dyDescent="0.3">
      <c r="C60" s="17"/>
      <c r="D60" s="75"/>
      <c r="H60" s="1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</row>
    <row r="61" spans="3:92" ht="12.75" customHeight="1" x14ac:dyDescent="0.3">
      <c r="C61" s="17" t="s">
        <v>28</v>
      </c>
      <c r="D61" s="75"/>
      <c r="H61" s="16" t="s">
        <v>1</v>
      </c>
      <c r="L61" s="15">
        <f t="shared" ref="L61:AQ61" si="199">SUM(L52,-L59)</f>
        <v>19054403.24132216</v>
      </c>
      <c r="M61" s="15">
        <f t="shared" ca="1" si="199"/>
        <v>16377975.478346169</v>
      </c>
      <c r="N61" s="15">
        <f t="shared" ca="1" si="199"/>
        <v>13813541.451063722</v>
      </c>
      <c r="O61" s="15">
        <f t="shared" ca="1" si="199"/>
        <v>11545436.222751334</v>
      </c>
      <c r="P61" s="15">
        <f t="shared" ca="1" si="199"/>
        <v>9254465.5538554341</v>
      </c>
      <c r="Q61" s="15">
        <f t="shared" ca="1" si="199"/>
        <v>6726515.5217221528</v>
      </c>
      <c r="R61" s="15">
        <f t="shared" ca="1" si="199"/>
        <v>4335177.4994229376</v>
      </c>
      <c r="S61" s="15">
        <f t="shared" ca="1" si="199"/>
        <v>2341464.271447137</v>
      </c>
      <c r="T61" s="15">
        <f t="shared" ca="1" si="199"/>
        <v>1963624.6581271589</v>
      </c>
      <c r="U61" s="15">
        <f t="shared" ca="1" si="199"/>
        <v>1511216.2214914858</v>
      </c>
      <c r="V61" s="15">
        <f t="shared" ca="1" si="199"/>
        <v>1090807.0051850826</v>
      </c>
      <c r="W61" s="15">
        <f t="shared" ca="1" si="199"/>
        <v>1090807.0051850677</v>
      </c>
      <c r="X61" s="15">
        <f t="shared" ca="1" si="199"/>
        <v>1090807.0051850677</v>
      </c>
      <c r="Y61" s="15">
        <f t="shared" ca="1" si="199"/>
        <v>882985.62365739048</v>
      </c>
      <c r="Z61" s="15">
        <f t="shared" ca="1" si="199"/>
        <v>763269.49721303582</v>
      </c>
      <c r="AA61" s="15">
        <f t="shared" ca="1" si="199"/>
        <v>763269.49721305072</v>
      </c>
      <c r="AB61" s="15">
        <f t="shared" ca="1" si="199"/>
        <v>763269.49721304327</v>
      </c>
      <c r="AC61" s="15">
        <f t="shared" ca="1" si="199"/>
        <v>763269.49721305072</v>
      </c>
      <c r="AD61" s="15">
        <f t="shared" ca="1" si="199"/>
        <v>763269.49721304327</v>
      </c>
      <c r="AE61" s="15">
        <f t="shared" ca="1" si="199"/>
        <v>763269.49721304327</v>
      </c>
      <c r="AF61" s="15">
        <f t="shared" ca="1" si="199"/>
        <v>763269.49721304327</v>
      </c>
      <c r="AG61" s="15">
        <f t="shared" ca="1" si="199"/>
        <v>763269.49721303582</v>
      </c>
      <c r="AH61" s="15">
        <f t="shared" ca="1" si="199"/>
        <v>763269.49721302837</v>
      </c>
      <c r="AI61" s="15">
        <f t="shared" ca="1" si="199"/>
        <v>763269.49721302837</v>
      </c>
      <c r="AJ61" s="15">
        <f t="shared" ca="1" si="199"/>
        <v>763269.49721305072</v>
      </c>
      <c r="AK61" s="15">
        <f t="shared" ca="1" si="199"/>
        <v>763269.49721305817</v>
      </c>
      <c r="AL61" s="15">
        <f t="shared" ca="1" si="199"/>
        <v>763269.49721306562</v>
      </c>
      <c r="AM61" s="15">
        <f t="shared" ca="1" si="199"/>
        <v>763269.49721308053</v>
      </c>
      <c r="AN61" s="15">
        <f t="shared" ca="1" si="199"/>
        <v>763269.49721307307</v>
      </c>
      <c r="AO61" s="15">
        <f t="shared" ca="1" si="199"/>
        <v>763269.49721306562</v>
      </c>
      <c r="AP61" s="15">
        <f t="shared" ca="1" si="199"/>
        <v>763269.49721306562</v>
      </c>
      <c r="AQ61" s="15">
        <f t="shared" ca="1" si="199"/>
        <v>763269.49721305072</v>
      </c>
      <c r="AR61" s="15">
        <f t="shared" ref="AR61:BW61" ca="1" si="200">SUM(AR52,-AR59)</f>
        <v>763269.49721305072</v>
      </c>
      <c r="AS61" s="15">
        <f t="shared" ca="1" si="200"/>
        <v>763269.49721304327</v>
      </c>
      <c r="AT61" s="15">
        <f t="shared" ca="1" si="200"/>
        <v>763269.49721304327</v>
      </c>
      <c r="AU61" s="15">
        <f t="shared" ca="1" si="200"/>
        <v>763269.49721305072</v>
      </c>
      <c r="AV61" s="15">
        <f t="shared" ca="1" si="200"/>
        <v>763269.49721305817</v>
      </c>
      <c r="AW61" s="15">
        <f t="shared" ca="1" si="200"/>
        <v>763269.49721305817</v>
      </c>
      <c r="AX61" s="15">
        <f t="shared" ca="1" si="200"/>
        <v>763269.49721305817</v>
      </c>
      <c r="AY61" s="15">
        <f t="shared" ca="1" si="200"/>
        <v>763269.49721305817</v>
      </c>
      <c r="AZ61" s="15">
        <f t="shared" ca="1" si="200"/>
        <v>763269.49721305817</v>
      </c>
      <c r="BA61" s="15">
        <f t="shared" ca="1" si="200"/>
        <v>763269.49721305817</v>
      </c>
      <c r="BB61" s="15">
        <f t="shared" ca="1" si="200"/>
        <v>763269.4972130619</v>
      </c>
      <c r="BC61" s="15">
        <f t="shared" ca="1" si="200"/>
        <v>763269.49721306935</v>
      </c>
      <c r="BD61" s="15">
        <f t="shared" ca="1" si="200"/>
        <v>763269.49721306562</v>
      </c>
      <c r="BE61" s="15">
        <f t="shared" ca="1" si="200"/>
        <v>763269.49721307307</v>
      </c>
      <c r="BF61" s="15">
        <f t="shared" ca="1" si="200"/>
        <v>763269.49721307307</v>
      </c>
      <c r="BG61" s="15">
        <f t="shared" ca="1" si="200"/>
        <v>763269.49721307307</v>
      </c>
      <c r="BH61" s="15">
        <f t="shared" ca="1" si="200"/>
        <v>763269.4972130768</v>
      </c>
      <c r="BI61" s="15">
        <f t="shared" ca="1" si="200"/>
        <v>763269.4972130768</v>
      </c>
      <c r="BJ61" s="15">
        <f t="shared" ca="1" si="200"/>
        <v>763269.4972130768</v>
      </c>
      <c r="BK61" s="15">
        <f t="shared" ca="1" si="200"/>
        <v>763269.49721308053</v>
      </c>
      <c r="BL61" s="15">
        <f t="shared" ca="1" si="200"/>
        <v>763269.49721308425</v>
      </c>
      <c r="BM61" s="15">
        <f t="shared" ca="1" si="200"/>
        <v>763269.49721308053</v>
      </c>
      <c r="BN61" s="15">
        <f t="shared" ca="1" si="200"/>
        <v>763269.49721308425</v>
      </c>
      <c r="BO61" s="15">
        <f t="shared" ca="1" si="200"/>
        <v>763269.49721309543</v>
      </c>
      <c r="BP61" s="15">
        <f t="shared" ca="1" si="200"/>
        <v>763269.49721309543</v>
      </c>
      <c r="BQ61" s="15">
        <f t="shared" ca="1" si="200"/>
        <v>763269.49721308053</v>
      </c>
      <c r="BR61" s="15">
        <f t="shared" ca="1" si="200"/>
        <v>763269.49721308053</v>
      </c>
      <c r="BS61" s="15">
        <f t="shared" ca="1" si="200"/>
        <v>-14243425.113516651</v>
      </c>
      <c r="BT61" s="15">
        <f t="shared" ca="1" si="200"/>
        <v>1827351.2378798351</v>
      </c>
      <c r="BU61" s="15">
        <f t="shared" ca="1" si="200"/>
        <v>3090088.6272321418</v>
      </c>
      <c r="BV61" s="15">
        <f t="shared" ca="1" si="200"/>
        <v>4110880.5913403183</v>
      </c>
      <c r="BW61" s="15">
        <f t="shared" ca="1" si="200"/>
        <v>4985768.3189627863</v>
      </c>
      <c r="BX61" s="15">
        <f t="shared" ref="BX61:CN61" ca="1" si="201">SUM(BX52,-BX59)</f>
        <v>6044174.9578449652</v>
      </c>
      <c r="BY61" s="15">
        <f t="shared" ca="1" si="201"/>
        <v>7233885.0568610728</v>
      </c>
      <c r="BZ61" s="15">
        <f t="shared" ca="1" si="201"/>
        <v>8246199.0581871532</v>
      </c>
      <c r="CA61" s="15">
        <f t="shared" ca="1" si="201"/>
        <v>9110997.84373983</v>
      </c>
      <c r="CB61" s="15">
        <f t="shared" ca="1" si="201"/>
        <v>10163689.122888803</v>
      </c>
      <c r="CC61" s="15">
        <f t="shared" ca="1" si="201"/>
        <v>11378908.885013301</v>
      </c>
      <c r="CD61" s="15">
        <f t="shared" ca="1" si="201"/>
        <v>12382330.508556329</v>
      </c>
      <c r="CE61" s="15">
        <f t="shared" ca="1" si="201"/>
        <v>13212141.661405277</v>
      </c>
      <c r="CF61" s="15">
        <f t="shared" ca="1" si="201"/>
        <v>13257624.312389184</v>
      </c>
      <c r="CG61" s="15">
        <f t="shared" ca="1" si="201"/>
        <v>13358663.034531679</v>
      </c>
      <c r="CH61" s="15">
        <f t="shared" ca="1" si="201"/>
        <v>13405391.136098493</v>
      </c>
      <c r="CI61" s="15">
        <f t="shared" ca="1" si="201"/>
        <v>13405391.136098508</v>
      </c>
      <c r="CJ61" s="15">
        <f t="shared" ca="1" si="201"/>
        <v>13405391.136098513</v>
      </c>
      <c r="CK61" s="15">
        <f t="shared" ca="1" si="201"/>
        <v>13405391.136098512</v>
      </c>
      <c r="CL61" s="15">
        <f t="shared" ca="1" si="201"/>
        <v>13405391.136098528</v>
      </c>
      <c r="CM61" s="15">
        <f t="shared" ca="1" si="201"/>
        <v>13405391.13609853</v>
      </c>
      <c r="CN61" s="15">
        <f t="shared" ca="1" si="201"/>
        <v>13405391.136098525</v>
      </c>
    </row>
    <row r="62" spans="3:92" ht="12.75" customHeight="1" x14ac:dyDescent="0.3">
      <c r="C62" s="17"/>
      <c r="D62" s="75"/>
      <c r="H62" s="16"/>
      <c r="L62" s="15"/>
    </row>
    <row r="63" spans="3:92" ht="12.75" customHeight="1" x14ac:dyDescent="0.3">
      <c r="C63" s="17"/>
      <c r="D63" s="75" t="s">
        <v>29</v>
      </c>
      <c r="H63" s="16" t="s">
        <v>1</v>
      </c>
      <c r="L63" s="72">
        <f>Ass!I153</f>
        <v>19054403.24132216</v>
      </c>
      <c r="M63" s="58">
        <f>L63</f>
        <v>19054403.24132216</v>
      </c>
      <c r="N63" s="58">
        <f t="shared" ref="N63:R63" si="202">M63</f>
        <v>19054403.24132216</v>
      </c>
      <c r="O63" s="58">
        <f t="shared" si="202"/>
        <v>19054403.24132216</v>
      </c>
      <c r="P63" s="58">
        <f t="shared" si="202"/>
        <v>19054403.24132216</v>
      </c>
      <c r="Q63" s="58">
        <f t="shared" si="202"/>
        <v>19054403.24132216</v>
      </c>
      <c r="R63" s="58">
        <f t="shared" si="202"/>
        <v>19054403.24132216</v>
      </c>
      <c r="S63" s="58">
        <f t="shared" ref="S63:CD63" si="203">R63</f>
        <v>19054403.24132216</v>
      </c>
      <c r="T63" s="58">
        <f t="shared" si="203"/>
        <v>19054403.24132216</v>
      </c>
      <c r="U63" s="58">
        <f t="shared" si="203"/>
        <v>19054403.24132216</v>
      </c>
      <c r="V63" s="58">
        <f t="shared" si="203"/>
        <v>19054403.24132216</v>
      </c>
      <c r="W63" s="58">
        <f t="shared" si="203"/>
        <v>19054403.24132216</v>
      </c>
      <c r="X63" s="58">
        <f t="shared" si="203"/>
        <v>19054403.24132216</v>
      </c>
      <c r="Y63" s="58">
        <f t="shared" si="203"/>
        <v>19054403.24132216</v>
      </c>
      <c r="Z63" s="58">
        <f t="shared" si="203"/>
        <v>19054403.24132216</v>
      </c>
      <c r="AA63" s="58">
        <f t="shared" si="203"/>
        <v>19054403.24132216</v>
      </c>
      <c r="AB63" s="58">
        <f t="shared" si="203"/>
        <v>19054403.24132216</v>
      </c>
      <c r="AC63" s="58">
        <f t="shared" si="203"/>
        <v>19054403.24132216</v>
      </c>
      <c r="AD63" s="58">
        <f t="shared" si="203"/>
        <v>19054403.24132216</v>
      </c>
      <c r="AE63" s="58">
        <f t="shared" si="203"/>
        <v>19054403.24132216</v>
      </c>
      <c r="AF63" s="58">
        <f t="shared" si="203"/>
        <v>19054403.24132216</v>
      </c>
      <c r="AG63" s="58">
        <f t="shared" si="203"/>
        <v>19054403.24132216</v>
      </c>
      <c r="AH63" s="58">
        <f t="shared" si="203"/>
        <v>19054403.24132216</v>
      </c>
      <c r="AI63" s="58">
        <f t="shared" si="203"/>
        <v>19054403.24132216</v>
      </c>
      <c r="AJ63" s="58">
        <f t="shared" si="203"/>
        <v>19054403.24132216</v>
      </c>
      <c r="AK63" s="58">
        <f t="shared" si="203"/>
        <v>19054403.24132216</v>
      </c>
      <c r="AL63" s="58">
        <f t="shared" si="203"/>
        <v>19054403.24132216</v>
      </c>
      <c r="AM63" s="58">
        <f t="shared" si="203"/>
        <v>19054403.24132216</v>
      </c>
      <c r="AN63" s="58">
        <f t="shared" si="203"/>
        <v>19054403.24132216</v>
      </c>
      <c r="AO63" s="58">
        <f t="shared" si="203"/>
        <v>19054403.24132216</v>
      </c>
      <c r="AP63" s="58">
        <f t="shared" si="203"/>
        <v>19054403.24132216</v>
      </c>
      <c r="AQ63" s="58">
        <f t="shared" si="203"/>
        <v>19054403.24132216</v>
      </c>
      <c r="AR63" s="58">
        <f t="shared" si="203"/>
        <v>19054403.24132216</v>
      </c>
      <c r="AS63" s="58">
        <f t="shared" si="203"/>
        <v>19054403.24132216</v>
      </c>
      <c r="AT63" s="58">
        <f t="shared" si="203"/>
        <v>19054403.24132216</v>
      </c>
      <c r="AU63" s="58">
        <f t="shared" si="203"/>
        <v>19054403.24132216</v>
      </c>
      <c r="AV63" s="58">
        <f t="shared" si="203"/>
        <v>19054403.24132216</v>
      </c>
      <c r="AW63" s="58">
        <f t="shared" si="203"/>
        <v>19054403.24132216</v>
      </c>
      <c r="AX63" s="58">
        <f t="shared" si="203"/>
        <v>19054403.24132216</v>
      </c>
      <c r="AY63" s="58">
        <f t="shared" si="203"/>
        <v>19054403.24132216</v>
      </c>
      <c r="AZ63" s="58">
        <f t="shared" si="203"/>
        <v>19054403.24132216</v>
      </c>
      <c r="BA63" s="58">
        <f t="shared" si="203"/>
        <v>19054403.24132216</v>
      </c>
      <c r="BB63" s="58">
        <f t="shared" si="203"/>
        <v>19054403.24132216</v>
      </c>
      <c r="BC63" s="58">
        <f t="shared" si="203"/>
        <v>19054403.24132216</v>
      </c>
      <c r="BD63" s="58">
        <f t="shared" si="203"/>
        <v>19054403.24132216</v>
      </c>
      <c r="BE63" s="58">
        <f t="shared" si="203"/>
        <v>19054403.24132216</v>
      </c>
      <c r="BF63" s="58">
        <f t="shared" si="203"/>
        <v>19054403.24132216</v>
      </c>
      <c r="BG63" s="58">
        <f t="shared" si="203"/>
        <v>19054403.24132216</v>
      </c>
      <c r="BH63" s="58">
        <f t="shared" si="203"/>
        <v>19054403.24132216</v>
      </c>
      <c r="BI63" s="58">
        <f t="shared" si="203"/>
        <v>19054403.24132216</v>
      </c>
      <c r="BJ63" s="58">
        <f t="shared" si="203"/>
        <v>19054403.24132216</v>
      </c>
      <c r="BK63" s="58">
        <f t="shared" si="203"/>
        <v>19054403.24132216</v>
      </c>
      <c r="BL63" s="58">
        <f t="shared" si="203"/>
        <v>19054403.24132216</v>
      </c>
      <c r="BM63" s="58">
        <f t="shared" si="203"/>
        <v>19054403.24132216</v>
      </c>
      <c r="BN63" s="58">
        <f t="shared" si="203"/>
        <v>19054403.24132216</v>
      </c>
      <c r="BO63" s="58">
        <f t="shared" si="203"/>
        <v>19054403.24132216</v>
      </c>
      <c r="BP63" s="58">
        <f t="shared" si="203"/>
        <v>19054403.24132216</v>
      </c>
      <c r="BQ63" s="58">
        <f t="shared" si="203"/>
        <v>19054403.24132216</v>
      </c>
      <c r="BR63" s="58">
        <f t="shared" si="203"/>
        <v>19054403.24132216</v>
      </c>
      <c r="BS63" s="58">
        <f t="shared" si="203"/>
        <v>19054403.24132216</v>
      </c>
      <c r="BT63" s="58">
        <f t="shared" si="203"/>
        <v>19054403.24132216</v>
      </c>
      <c r="BU63" s="58">
        <f t="shared" si="203"/>
        <v>19054403.24132216</v>
      </c>
      <c r="BV63" s="58">
        <f t="shared" si="203"/>
        <v>19054403.24132216</v>
      </c>
      <c r="BW63" s="58">
        <f t="shared" si="203"/>
        <v>19054403.24132216</v>
      </c>
      <c r="BX63" s="58">
        <f t="shared" si="203"/>
        <v>19054403.24132216</v>
      </c>
      <c r="BY63" s="58">
        <f t="shared" si="203"/>
        <v>19054403.24132216</v>
      </c>
      <c r="BZ63" s="58">
        <f t="shared" si="203"/>
        <v>19054403.24132216</v>
      </c>
      <c r="CA63" s="58">
        <f t="shared" si="203"/>
        <v>19054403.24132216</v>
      </c>
      <c r="CB63" s="58">
        <f t="shared" si="203"/>
        <v>19054403.24132216</v>
      </c>
      <c r="CC63" s="58">
        <f t="shared" si="203"/>
        <v>19054403.24132216</v>
      </c>
      <c r="CD63" s="58">
        <f t="shared" si="203"/>
        <v>19054403.24132216</v>
      </c>
      <c r="CE63" s="58">
        <f t="shared" ref="CE63:CN63" si="204">CD63</f>
        <v>19054403.24132216</v>
      </c>
      <c r="CF63" s="58">
        <f t="shared" si="204"/>
        <v>19054403.24132216</v>
      </c>
      <c r="CG63" s="58">
        <f t="shared" si="204"/>
        <v>19054403.24132216</v>
      </c>
      <c r="CH63" s="58">
        <f t="shared" si="204"/>
        <v>19054403.24132216</v>
      </c>
      <c r="CI63" s="58">
        <f t="shared" si="204"/>
        <v>19054403.24132216</v>
      </c>
      <c r="CJ63" s="58">
        <f t="shared" si="204"/>
        <v>19054403.24132216</v>
      </c>
      <c r="CK63" s="58">
        <f t="shared" si="204"/>
        <v>19054403.24132216</v>
      </c>
      <c r="CL63" s="58">
        <f t="shared" si="204"/>
        <v>19054403.24132216</v>
      </c>
      <c r="CM63" s="58">
        <f t="shared" si="204"/>
        <v>19054403.24132216</v>
      </c>
      <c r="CN63" s="58">
        <f t="shared" si="204"/>
        <v>19054403.24132216</v>
      </c>
    </row>
    <row r="64" spans="3:92" ht="12.75" customHeight="1" x14ac:dyDescent="0.3">
      <c r="C64" s="17"/>
      <c r="D64" s="92" t="s">
        <v>219</v>
      </c>
      <c r="H64" s="16" t="s">
        <v>1</v>
      </c>
      <c r="L64" s="72">
        <v>0</v>
      </c>
      <c r="M64" s="58">
        <f t="shared" ref="M64:AR64" ca="1" si="205">SUM(L64,M38)</f>
        <v>-2676427.7629760006</v>
      </c>
      <c r="N64" s="58">
        <f t="shared" ca="1" si="205"/>
        <v>-5240861.7902584318</v>
      </c>
      <c r="O64" s="58">
        <f t="shared" ca="1" si="205"/>
        <v>-7508967.0185708255</v>
      </c>
      <c r="P64" s="58">
        <f t="shared" ca="1" si="205"/>
        <v>-9799937.6874667332</v>
      </c>
      <c r="Q64" s="58">
        <f t="shared" ca="1" si="205"/>
        <v>-12327887.719599999</v>
      </c>
      <c r="R64" s="58">
        <f t="shared" ca="1" si="205"/>
        <v>-14719225.741899202</v>
      </c>
      <c r="S64" s="58">
        <f t="shared" ca="1" si="205"/>
        <v>-16712938.969875019</v>
      </c>
      <c r="T64" s="58">
        <f t="shared" ca="1" si="205"/>
        <v>-17090778.583194997</v>
      </c>
      <c r="U64" s="58">
        <f t="shared" ca="1" si="205"/>
        <v>-17543187.019830674</v>
      </c>
      <c r="V64" s="58">
        <f t="shared" ca="1" si="205"/>
        <v>-17963596.2361371</v>
      </c>
      <c r="W64" s="58">
        <f t="shared" ca="1" si="205"/>
        <v>-17963596.2361371</v>
      </c>
      <c r="X64" s="58">
        <f t="shared" ca="1" si="205"/>
        <v>-17963596.2361371</v>
      </c>
      <c r="Y64" s="58">
        <f t="shared" ca="1" si="205"/>
        <v>-18171417.617664788</v>
      </c>
      <c r="Z64" s="58">
        <f t="shared" ca="1" si="205"/>
        <v>-18291133.744109131</v>
      </c>
      <c r="AA64" s="58">
        <f t="shared" ca="1" si="205"/>
        <v>-18291133.744109131</v>
      </c>
      <c r="AB64" s="58">
        <f t="shared" ca="1" si="205"/>
        <v>-18291133.744109131</v>
      </c>
      <c r="AC64" s="58">
        <f t="shared" ca="1" si="205"/>
        <v>-18291133.744109131</v>
      </c>
      <c r="AD64" s="58">
        <f t="shared" ca="1" si="205"/>
        <v>-18291133.744109131</v>
      </c>
      <c r="AE64" s="58">
        <f t="shared" ca="1" si="205"/>
        <v>-18291133.744109131</v>
      </c>
      <c r="AF64" s="58">
        <f t="shared" ca="1" si="205"/>
        <v>-18291133.744109131</v>
      </c>
      <c r="AG64" s="58">
        <f t="shared" ca="1" si="205"/>
        <v>-18291133.744109131</v>
      </c>
      <c r="AH64" s="58">
        <f t="shared" ca="1" si="205"/>
        <v>-18291133.744109131</v>
      </c>
      <c r="AI64" s="58">
        <f t="shared" ca="1" si="205"/>
        <v>-18291133.744109131</v>
      </c>
      <c r="AJ64" s="58">
        <f t="shared" ca="1" si="205"/>
        <v>-18291133.744109131</v>
      </c>
      <c r="AK64" s="58">
        <f t="shared" ca="1" si="205"/>
        <v>-18291133.744109131</v>
      </c>
      <c r="AL64" s="58">
        <f t="shared" ca="1" si="205"/>
        <v>-18291133.744109131</v>
      </c>
      <c r="AM64" s="58">
        <f t="shared" ca="1" si="205"/>
        <v>-18291133.744109131</v>
      </c>
      <c r="AN64" s="58">
        <f t="shared" ca="1" si="205"/>
        <v>-18291133.744109131</v>
      </c>
      <c r="AO64" s="58">
        <f t="shared" ca="1" si="205"/>
        <v>-18291133.744109131</v>
      </c>
      <c r="AP64" s="58">
        <f t="shared" ca="1" si="205"/>
        <v>-18291133.744109131</v>
      </c>
      <c r="AQ64" s="58">
        <f t="shared" ca="1" si="205"/>
        <v>-18291133.744109131</v>
      </c>
      <c r="AR64" s="58">
        <f t="shared" ca="1" si="205"/>
        <v>-18291133.744109131</v>
      </c>
      <c r="AS64" s="58">
        <f t="shared" ref="AS64:BX64" ca="1" si="206">SUM(AR64,AS38)</f>
        <v>-18291133.744109131</v>
      </c>
      <c r="AT64" s="58">
        <f t="shared" ca="1" si="206"/>
        <v>-18291133.744109131</v>
      </c>
      <c r="AU64" s="58">
        <f t="shared" ca="1" si="206"/>
        <v>-18291133.744109131</v>
      </c>
      <c r="AV64" s="58">
        <f t="shared" ca="1" si="206"/>
        <v>-18291133.744109131</v>
      </c>
      <c r="AW64" s="58">
        <f t="shared" ca="1" si="206"/>
        <v>-18291133.744109131</v>
      </c>
      <c r="AX64" s="58">
        <f t="shared" ca="1" si="206"/>
        <v>-18291133.744109131</v>
      </c>
      <c r="AY64" s="58">
        <f t="shared" ca="1" si="206"/>
        <v>-18291133.744109131</v>
      </c>
      <c r="AZ64" s="58">
        <f t="shared" ca="1" si="206"/>
        <v>-18291133.744109131</v>
      </c>
      <c r="BA64" s="58">
        <f t="shared" ca="1" si="206"/>
        <v>-18291133.744109131</v>
      </c>
      <c r="BB64" s="58">
        <f t="shared" ca="1" si="206"/>
        <v>-18291133.744109131</v>
      </c>
      <c r="BC64" s="58">
        <f t="shared" ca="1" si="206"/>
        <v>-18291133.744109131</v>
      </c>
      <c r="BD64" s="58">
        <f t="shared" ca="1" si="206"/>
        <v>-18291133.744109131</v>
      </c>
      <c r="BE64" s="58">
        <f t="shared" ca="1" si="206"/>
        <v>-18291133.744109131</v>
      </c>
      <c r="BF64" s="58">
        <f t="shared" ca="1" si="206"/>
        <v>-18291133.744109131</v>
      </c>
      <c r="BG64" s="58">
        <f t="shared" ca="1" si="206"/>
        <v>-18291133.744109131</v>
      </c>
      <c r="BH64" s="58">
        <f t="shared" ca="1" si="206"/>
        <v>-18291133.744109131</v>
      </c>
      <c r="BI64" s="58">
        <f t="shared" ca="1" si="206"/>
        <v>-18291133.744109131</v>
      </c>
      <c r="BJ64" s="58">
        <f t="shared" ca="1" si="206"/>
        <v>-18291133.744109131</v>
      </c>
      <c r="BK64" s="58">
        <f t="shared" ca="1" si="206"/>
        <v>-18291133.744109131</v>
      </c>
      <c r="BL64" s="58">
        <f t="shared" ca="1" si="206"/>
        <v>-18291133.744109131</v>
      </c>
      <c r="BM64" s="58">
        <f t="shared" ca="1" si="206"/>
        <v>-18291133.744109131</v>
      </c>
      <c r="BN64" s="58">
        <f t="shared" ca="1" si="206"/>
        <v>-18291133.744109131</v>
      </c>
      <c r="BO64" s="58">
        <f t="shared" ca="1" si="206"/>
        <v>-18291133.744109131</v>
      </c>
      <c r="BP64" s="58">
        <f t="shared" ca="1" si="206"/>
        <v>-18291133.744109131</v>
      </c>
      <c r="BQ64" s="58">
        <f t="shared" ca="1" si="206"/>
        <v>-18291133.744109131</v>
      </c>
      <c r="BR64" s="58">
        <f t="shared" ca="1" si="206"/>
        <v>-18291133.744109131</v>
      </c>
      <c r="BS64" s="58">
        <f t="shared" ca="1" si="206"/>
        <v>-18289262.934699677</v>
      </c>
      <c r="BT64" s="58">
        <f t="shared" ca="1" si="206"/>
        <v>-17227052.003442373</v>
      </c>
      <c r="BU64" s="58">
        <f t="shared" ca="1" si="206"/>
        <v>-15964314.614090072</v>
      </c>
      <c r="BV64" s="58">
        <f t="shared" ca="1" si="206"/>
        <v>-14943522.649981892</v>
      </c>
      <c r="BW64" s="58">
        <f t="shared" ca="1" si="206"/>
        <v>-14068634.92235942</v>
      </c>
      <c r="BX64" s="58">
        <f t="shared" ca="1" si="206"/>
        <v>-13010228.283477243</v>
      </c>
      <c r="BY64" s="58">
        <f t="shared" ref="BY64:CN64" ca="1" si="207">SUM(BX64,BY38)</f>
        <v>-11820518.184461124</v>
      </c>
      <c r="BZ64" s="58">
        <f t="shared" ca="1" si="207"/>
        <v>-10808204.183135051</v>
      </c>
      <c r="CA64" s="58">
        <f t="shared" ca="1" si="207"/>
        <v>-9943405.3975823708</v>
      </c>
      <c r="CB64" s="58">
        <f t="shared" ca="1" si="207"/>
        <v>-8890714.118433401</v>
      </c>
      <c r="CC64" s="58">
        <f t="shared" ca="1" si="207"/>
        <v>-7675494.3563088998</v>
      </c>
      <c r="CD64" s="58">
        <f t="shared" ca="1" si="207"/>
        <v>-6672072.7327658832</v>
      </c>
      <c r="CE64" s="58">
        <f t="shared" ca="1" si="207"/>
        <v>-5842261.5799169391</v>
      </c>
      <c r="CF64" s="58">
        <f t="shared" ca="1" si="207"/>
        <v>-5796778.9289330207</v>
      </c>
      <c r="CG64" s="58">
        <f t="shared" ca="1" si="207"/>
        <v>-5695740.2067905255</v>
      </c>
      <c r="CH64" s="58">
        <f t="shared" ca="1" si="207"/>
        <v>-5649012.1052237004</v>
      </c>
      <c r="CI64" s="58">
        <f t="shared" ca="1" si="207"/>
        <v>-5649012.1052237004</v>
      </c>
      <c r="CJ64" s="58">
        <f t="shared" ca="1" si="207"/>
        <v>-5649012.1052237004</v>
      </c>
      <c r="CK64" s="58">
        <f t="shared" ca="1" si="207"/>
        <v>-5649012.1052237004</v>
      </c>
      <c r="CL64" s="58">
        <f t="shared" ca="1" si="207"/>
        <v>-5649012.1052237004</v>
      </c>
      <c r="CM64" s="58">
        <f t="shared" ca="1" si="207"/>
        <v>-5649012.1052237004</v>
      </c>
      <c r="CN64" s="58">
        <f t="shared" ca="1" si="207"/>
        <v>-5649012.1052237004</v>
      </c>
    </row>
    <row r="65" spans="1:92" ht="12.75" customHeight="1" x14ac:dyDescent="0.3">
      <c r="C65" s="17"/>
      <c r="D65" s="51" t="s">
        <v>30</v>
      </c>
      <c r="H65" s="16" t="s">
        <v>1</v>
      </c>
      <c r="L65" s="50">
        <f t="shared" ref="L65:AQ65" si="208">SUM(L63:L64)</f>
        <v>19054403.24132216</v>
      </c>
      <c r="M65" s="50">
        <f t="shared" ca="1" si="208"/>
        <v>16377975.47834616</v>
      </c>
      <c r="N65" s="50">
        <f t="shared" ca="1" si="208"/>
        <v>13813541.451063728</v>
      </c>
      <c r="O65" s="50">
        <f t="shared" ca="1" si="208"/>
        <v>11545436.222751334</v>
      </c>
      <c r="P65" s="50">
        <f t="shared" ca="1" si="208"/>
        <v>9254465.5538554266</v>
      </c>
      <c r="Q65" s="50">
        <f t="shared" ca="1" si="208"/>
        <v>6726515.5217221603</v>
      </c>
      <c r="R65" s="50">
        <f t="shared" ca="1" si="208"/>
        <v>4335177.4994229581</v>
      </c>
      <c r="S65" s="50">
        <f t="shared" ca="1" si="208"/>
        <v>2341464.2714471407</v>
      </c>
      <c r="T65" s="50">
        <f t="shared" ca="1" si="208"/>
        <v>1963624.6581271626</v>
      </c>
      <c r="U65" s="50">
        <f t="shared" ca="1" si="208"/>
        <v>1511216.2214914858</v>
      </c>
      <c r="V65" s="50">
        <f t="shared" ca="1" si="208"/>
        <v>1090807.0051850602</v>
      </c>
      <c r="W65" s="50">
        <f t="shared" ca="1" si="208"/>
        <v>1090807.0051850602</v>
      </c>
      <c r="X65" s="50">
        <f t="shared" ca="1" si="208"/>
        <v>1090807.0051850602</v>
      </c>
      <c r="Y65" s="50">
        <f t="shared" ca="1" si="208"/>
        <v>882985.62365737185</v>
      </c>
      <c r="Z65" s="50">
        <f t="shared" ca="1" si="208"/>
        <v>763269.49721302837</v>
      </c>
      <c r="AA65" s="50">
        <f t="shared" ca="1" si="208"/>
        <v>763269.49721302837</v>
      </c>
      <c r="AB65" s="50">
        <f t="shared" ca="1" si="208"/>
        <v>763269.49721302837</v>
      </c>
      <c r="AC65" s="50">
        <f t="shared" ca="1" si="208"/>
        <v>763269.49721302837</v>
      </c>
      <c r="AD65" s="50">
        <f t="shared" ca="1" si="208"/>
        <v>763269.49721302837</v>
      </c>
      <c r="AE65" s="50">
        <f t="shared" ca="1" si="208"/>
        <v>763269.49721302837</v>
      </c>
      <c r="AF65" s="50">
        <f t="shared" ca="1" si="208"/>
        <v>763269.49721302837</v>
      </c>
      <c r="AG65" s="50">
        <f t="shared" ca="1" si="208"/>
        <v>763269.49721302837</v>
      </c>
      <c r="AH65" s="50">
        <f t="shared" ca="1" si="208"/>
        <v>763269.49721302837</v>
      </c>
      <c r="AI65" s="50">
        <f t="shared" ca="1" si="208"/>
        <v>763269.49721302837</v>
      </c>
      <c r="AJ65" s="50">
        <f t="shared" ca="1" si="208"/>
        <v>763269.49721302837</v>
      </c>
      <c r="AK65" s="50">
        <f t="shared" ca="1" si="208"/>
        <v>763269.49721302837</v>
      </c>
      <c r="AL65" s="50">
        <f t="shared" ca="1" si="208"/>
        <v>763269.49721302837</v>
      </c>
      <c r="AM65" s="50">
        <f t="shared" ca="1" si="208"/>
        <v>763269.49721302837</v>
      </c>
      <c r="AN65" s="50">
        <f t="shared" ca="1" si="208"/>
        <v>763269.49721302837</v>
      </c>
      <c r="AO65" s="50">
        <f t="shared" ca="1" si="208"/>
        <v>763269.49721302837</v>
      </c>
      <c r="AP65" s="50">
        <f t="shared" ca="1" si="208"/>
        <v>763269.49721302837</v>
      </c>
      <c r="AQ65" s="50">
        <f t="shared" ca="1" si="208"/>
        <v>763269.49721302837</v>
      </c>
      <c r="AR65" s="50">
        <f t="shared" ref="AR65:BW65" ca="1" si="209">SUM(AR63:AR64)</f>
        <v>763269.49721302837</v>
      </c>
      <c r="AS65" s="50">
        <f t="shared" ca="1" si="209"/>
        <v>763269.49721302837</v>
      </c>
      <c r="AT65" s="50">
        <f t="shared" ca="1" si="209"/>
        <v>763269.49721302837</v>
      </c>
      <c r="AU65" s="50">
        <f t="shared" ca="1" si="209"/>
        <v>763269.49721302837</v>
      </c>
      <c r="AV65" s="50">
        <f t="shared" ca="1" si="209"/>
        <v>763269.49721302837</v>
      </c>
      <c r="AW65" s="50">
        <f t="shared" ca="1" si="209"/>
        <v>763269.49721302837</v>
      </c>
      <c r="AX65" s="50">
        <f t="shared" ca="1" si="209"/>
        <v>763269.49721302837</v>
      </c>
      <c r="AY65" s="50">
        <f t="shared" ca="1" si="209"/>
        <v>763269.49721302837</v>
      </c>
      <c r="AZ65" s="50">
        <f t="shared" ca="1" si="209"/>
        <v>763269.49721302837</v>
      </c>
      <c r="BA65" s="50">
        <f t="shared" ca="1" si="209"/>
        <v>763269.49721302837</v>
      </c>
      <c r="BB65" s="50">
        <f t="shared" ca="1" si="209"/>
        <v>763269.49721302837</v>
      </c>
      <c r="BC65" s="50">
        <f t="shared" ca="1" si="209"/>
        <v>763269.49721302837</v>
      </c>
      <c r="BD65" s="50">
        <f t="shared" ca="1" si="209"/>
        <v>763269.49721302837</v>
      </c>
      <c r="BE65" s="50">
        <f t="shared" ca="1" si="209"/>
        <v>763269.49721302837</v>
      </c>
      <c r="BF65" s="50">
        <f t="shared" ca="1" si="209"/>
        <v>763269.49721302837</v>
      </c>
      <c r="BG65" s="50">
        <f t="shared" ca="1" si="209"/>
        <v>763269.49721302837</v>
      </c>
      <c r="BH65" s="50">
        <f t="shared" ca="1" si="209"/>
        <v>763269.49721302837</v>
      </c>
      <c r="BI65" s="50">
        <f t="shared" ca="1" si="209"/>
        <v>763269.49721302837</v>
      </c>
      <c r="BJ65" s="50">
        <f t="shared" ca="1" si="209"/>
        <v>763269.49721302837</v>
      </c>
      <c r="BK65" s="50">
        <f t="shared" ca="1" si="209"/>
        <v>763269.49721302837</v>
      </c>
      <c r="BL65" s="50">
        <f t="shared" ca="1" si="209"/>
        <v>763269.49721302837</v>
      </c>
      <c r="BM65" s="50">
        <f t="shared" ca="1" si="209"/>
        <v>763269.49721302837</v>
      </c>
      <c r="BN65" s="50">
        <f t="shared" ca="1" si="209"/>
        <v>763269.49721302837</v>
      </c>
      <c r="BO65" s="50">
        <f t="shared" ca="1" si="209"/>
        <v>763269.49721302837</v>
      </c>
      <c r="BP65" s="50">
        <f t="shared" ca="1" si="209"/>
        <v>763269.49721302837</v>
      </c>
      <c r="BQ65" s="50">
        <f t="shared" ca="1" si="209"/>
        <v>763269.49721302837</v>
      </c>
      <c r="BR65" s="50">
        <f t="shared" ca="1" si="209"/>
        <v>763269.49721302837</v>
      </c>
      <c r="BS65" s="50">
        <f t="shared" ca="1" si="209"/>
        <v>765140.30662248284</v>
      </c>
      <c r="BT65" s="50">
        <f t="shared" ca="1" si="209"/>
        <v>1827351.2378797866</v>
      </c>
      <c r="BU65" s="50">
        <f t="shared" ca="1" si="209"/>
        <v>3090088.6272320878</v>
      </c>
      <c r="BV65" s="50">
        <f t="shared" ca="1" si="209"/>
        <v>4110880.591340268</v>
      </c>
      <c r="BW65" s="50">
        <f t="shared" ca="1" si="209"/>
        <v>4985768.3189627398</v>
      </c>
      <c r="BX65" s="50">
        <f t="shared" ref="BX65:CN65" ca="1" si="210">SUM(BX63:BX64)</f>
        <v>6044174.9578449167</v>
      </c>
      <c r="BY65" s="50">
        <f t="shared" ca="1" si="210"/>
        <v>7233885.0568610355</v>
      </c>
      <c r="BZ65" s="50">
        <f t="shared" ca="1" si="210"/>
        <v>8246199.0581871085</v>
      </c>
      <c r="CA65" s="50">
        <f t="shared" ca="1" si="210"/>
        <v>9110997.843739789</v>
      </c>
      <c r="CB65" s="50">
        <f t="shared" ca="1" si="210"/>
        <v>10163689.122888759</v>
      </c>
      <c r="CC65" s="50">
        <f t="shared" ca="1" si="210"/>
        <v>11378908.88501326</v>
      </c>
      <c r="CD65" s="50">
        <f t="shared" ca="1" si="210"/>
        <v>12382330.508556277</v>
      </c>
      <c r="CE65" s="50">
        <f t="shared" ca="1" si="210"/>
        <v>13212141.661405221</v>
      </c>
      <c r="CF65" s="50">
        <f t="shared" ca="1" si="210"/>
        <v>13257624.312389139</v>
      </c>
      <c r="CG65" s="50">
        <f t="shared" ca="1" si="210"/>
        <v>13358663.034531634</v>
      </c>
      <c r="CH65" s="50">
        <f t="shared" ca="1" si="210"/>
        <v>13405391.136098459</v>
      </c>
      <c r="CI65" s="50">
        <f t="shared" ca="1" si="210"/>
        <v>13405391.136098459</v>
      </c>
      <c r="CJ65" s="50">
        <f t="shared" ca="1" si="210"/>
        <v>13405391.136098459</v>
      </c>
      <c r="CK65" s="50">
        <f t="shared" ca="1" si="210"/>
        <v>13405391.136098459</v>
      </c>
      <c r="CL65" s="50">
        <f t="shared" ca="1" si="210"/>
        <v>13405391.136098459</v>
      </c>
      <c r="CM65" s="50">
        <f t="shared" ca="1" si="210"/>
        <v>13405391.136098459</v>
      </c>
      <c r="CN65" s="50">
        <f t="shared" ca="1" si="210"/>
        <v>13405391.136098459</v>
      </c>
    </row>
    <row r="66" spans="1:92" ht="12.75" customHeight="1" x14ac:dyDescent="0.3">
      <c r="C66" s="17"/>
      <c r="D66" s="75"/>
      <c r="H66" s="1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</row>
    <row r="67" spans="1:92" ht="12.75" customHeight="1" x14ac:dyDescent="0.3">
      <c r="C67" s="17"/>
      <c r="D67" s="75" t="s">
        <v>218</v>
      </c>
      <c r="H67" s="16" t="s">
        <v>1</v>
      </c>
      <c r="L67" s="15" t="str">
        <f t="shared" ref="L67:AQ67" si="211">IF(ROUND(L61-L65,4)=0,"ok","error")</f>
        <v>ok</v>
      </c>
      <c r="M67" s="15" t="str">
        <f t="shared" ca="1" si="211"/>
        <v>ok</v>
      </c>
      <c r="N67" s="15" t="str">
        <f t="shared" ca="1" si="211"/>
        <v>ok</v>
      </c>
      <c r="O67" s="15" t="str">
        <f t="shared" ca="1" si="211"/>
        <v>ok</v>
      </c>
      <c r="P67" s="15" t="str">
        <f t="shared" ca="1" si="211"/>
        <v>ok</v>
      </c>
      <c r="Q67" s="15" t="str">
        <f t="shared" ca="1" si="211"/>
        <v>ok</v>
      </c>
      <c r="R67" s="15" t="str">
        <f t="shared" ca="1" si="211"/>
        <v>ok</v>
      </c>
      <c r="S67" s="15" t="str">
        <f t="shared" ca="1" si="211"/>
        <v>ok</v>
      </c>
      <c r="T67" s="15" t="str">
        <f t="shared" ca="1" si="211"/>
        <v>ok</v>
      </c>
      <c r="U67" s="15" t="str">
        <f t="shared" ca="1" si="211"/>
        <v>ok</v>
      </c>
      <c r="V67" s="15" t="str">
        <f t="shared" ca="1" si="211"/>
        <v>ok</v>
      </c>
      <c r="W67" s="15" t="str">
        <f t="shared" ca="1" si="211"/>
        <v>ok</v>
      </c>
      <c r="X67" s="15" t="str">
        <f t="shared" ca="1" si="211"/>
        <v>ok</v>
      </c>
      <c r="Y67" s="15" t="str">
        <f t="shared" ca="1" si="211"/>
        <v>ok</v>
      </c>
      <c r="Z67" s="15" t="str">
        <f t="shared" ca="1" si="211"/>
        <v>ok</v>
      </c>
      <c r="AA67" s="15" t="str">
        <f t="shared" ca="1" si="211"/>
        <v>ok</v>
      </c>
      <c r="AB67" s="15" t="str">
        <f t="shared" ca="1" si="211"/>
        <v>ok</v>
      </c>
      <c r="AC67" s="15" t="str">
        <f t="shared" ca="1" si="211"/>
        <v>ok</v>
      </c>
      <c r="AD67" s="15" t="str">
        <f t="shared" ca="1" si="211"/>
        <v>ok</v>
      </c>
      <c r="AE67" s="15" t="str">
        <f t="shared" ca="1" si="211"/>
        <v>ok</v>
      </c>
      <c r="AF67" s="15" t="str">
        <f t="shared" ca="1" si="211"/>
        <v>ok</v>
      </c>
      <c r="AG67" s="15" t="str">
        <f t="shared" ca="1" si="211"/>
        <v>ok</v>
      </c>
      <c r="AH67" s="15" t="str">
        <f t="shared" ca="1" si="211"/>
        <v>ok</v>
      </c>
      <c r="AI67" s="15" t="str">
        <f t="shared" ca="1" si="211"/>
        <v>ok</v>
      </c>
      <c r="AJ67" s="15" t="str">
        <f t="shared" ca="1" si="211"/>
        <v>ok</v>
      </c>
      <c r="AK67" s="15" t="str">
        <f t="shared" ca="1" si="211"/>
        <v>ok</v>
      </c>
      <c r="AL67" s="15" t="str">
        <f t="shared" ca="1" si="211"/>
        <v>ok</v>
      </c>
      <c r="AM67" s="15" t="str">
        <f t="shared" ca="1" si="211"/>
        <v>ok</v>
      </c>
      <c r="AN67" s="15" t="str">
        <f t="shared" ca="1" si="211"/>
        <v>ok</v>
      </c>
      <c r="AO67" s="15" t="str">
        <f t="shared" ca="1" si="211"/>
        <v>ok</v>
      </c>
      <c r="AP67" s="15" t="str">
        <f t="shared" ca="1" si="211"/>
        <v>ok</v>
      </c>
      <c r="AQ67" s="15" t="str">
        <f t="shared" ca="1" si="211"/>
        <v>ok</v>
      </c>
      <c r="AR67" s="15" t="str">
        <f t="shared" ref="AR67:BW67" ca="1" si="212">IF(ROUND(AR61-AR65,4)=0,"ok","error")</f>
        <v>ok</v>
      </c>
      <c r="AS67" s="15" t="str">
        <f t="shared" ca="1" si="212"/>
        <v>ok</v>
      </c>
      <c r="AT67" s="15" t="str">
        <f t="shared" ca="1" si="212"/>
        <v>ok</v>
      </c>
      <c r="AU67" s="15" t="str">
        <f t="shared" ca="1" si="212"/>
        <v>ok</v>
      </c>
      <c r="AV67" s="15" t="str">
        <f t="shared" ca="1" si="212"/>
        <v>ok</v>
      </c>
      <c r="AW67" s="15" t="str">
        <f t="shared" ca="1" si="212"/>
        <v>ok</v>
      </c>
      <c r="AX67" s="15" t="str">
        <f t="shared" ca="1" si="212"/>
        <v>ok</v>
      </c>
      <c r="AY67" s="15" t="str">
        <f t="shared" ca="1" si="212"/>
        <v>ok</v>
      </c>
      <c r="AZ67" s="15" t="str">
        <f t="shared" ca="1" si="212"/>
        <v>ok</v>
      </c>
      <c r="BA67" s="15" t="str">
        <f t="shared" ca="1" si="212"/>
        <v>ok</v>
      </c>
      <c r="BB67" s="15" t="str">
        <f t="shared" ca="1" si="212"/>
        <v>ok</v>
      </c>
      <c r="BC67" s="15" t="str">
        <f t="shared" ca="1" si="212"/>
        <v>ok</v>
      </c>
      <c r="BD67" s="15" t="str">
        <f t="shared" ca="1" si="212"/>
        <v>ok</v>
      </c>
      <c r="BE67" s="15" t="str">
        <f t="shared" ca="1" si="212"/>
        <v>ok</v>
      </c>
      <c r="BF67" s="15" t="str">
        <f t="shared" ca="1" si="212"/>
        <v>ok</v>
      </c>
      <c r="BG67" s="15" t="str">
        <f t="shared" ca="1" si="212"/>
        <v>ok</v>
      </c>
      <c r="BH67" s="15" t="str">
        <f t="shared" ca="1" si="212"/>
        <v>ok</v>
      </c>
      <c r="BI67" s="15" t="str">
        <f t="shared" ca="1" si="212"/>
        <v>ok</v>
      </c>
      <c r="BJ67" s="15" t="str">
        <f t="shared" ca="1" si="212"/>
        <v>ok</v>
      </c>
      <c r="BK67" s="15" t="str">
        <f t="shared" ca="1" si="212"/>
        <v>ok</v>
      </c>
      <c r="BL67" s="15" t="str">
        <f t="shared" ca="1" si="212"/>
        <v>ok</v>
      </c>
      <c r="BM67" s="15" t="str">
        <f t="shared" ca="1" si="212"/>
        <v>ok</v>
      </c>
      <c r="BN67" s="15" t="str">
        <f t="shared" ca="1" si="212"/>
        <v>ok</v>
      </c>
      <c r="BO67" s="15" t="str">
        <f t="shared" ca="1" si="212"/>
        <v>ok</v>
      </c>
      <c r="BP67" s="15" t="str">
        <f t="shared" ca="1" si="212"/>
        <v>ok</v>
      </c>
      <c r="BQ67" s="15" t="str">
        <f t="shared" ca="1" si="212"/>
        <v>ok</v>
      </c>
      <c r="BR67" s="15" t="str">
        <f t="shared" ca="1" si="212"/>
        <v>ok</v>
      </c>
      <c r="BS67" s="15" t="str">
        <f t="shared" ca="1" si="212"/>
        <v>error</v>
      </c>
      <c r="BT67" s="15" t="str">
        <f t="shared" ca="1" si="212"/>
        <v>ok</v>
      </c>
      <c r="BU67" s="15" t="str">
        <f t="shared" ca="1" si="212"/>
        <v>ok</v>
      </c>
      <c r="BV67" s="15" t="str">
        <f t="shared" ca="1" si="212"/>
        <v>ok</v>
      </c>
      <c r="BW67" s="15" t="str">
        <f t="shared" ca="1" si="212"/>
        <v>ok</v>
      </c>
      <c r="BX67" s="15" t="str">
        <f t="shared" ref="BX67:CN67" ca="1" si="213">IF(ROUND(BX61-BX65,4)=0,"ok","error")</f>
        <v>ok</v>
      </c>
      <c r="BY67" s="15" t="str">
        <f t="shared" ca="1" si="213"/>
        <v>ok</v>
      </c>
      <c r="BZ67" s="15" t="str">
        <f t="shared" ca="1" si="213"/>
        <v>ok</v>
      </c>
      <c r="CA67" s="15" t="str">
        <f t="shared" ca="1" si="213"/>
        <v>ok</v>
      </c>
      <c r="CB67" s="15" t="str">
        <f t="shared" ca="1" si="213"/>
        <v>ok</v>
      </c>
      <c r="CC67" s="15" t="str">
        <f t="shared" ca="1" si="213"/>
        <v>ok</v>
      </c>
      <c r="CD67" s="15" t="str">
        <f t="shared" ca="1" si="213"/>
        <v>ok</v>
      </c>
      <c r="CE67" s="15" t="str">
        <f t="shared" ca="1" si="213"/>
        <v>ok</v>
      </c>
      <c r="CF67" s="15" t="str">
        <f t="shared" ca="1" si="213"/>
        <v>ok</v>
      </c>
      <c r="CG67" s="15" t="str">
        <f t="shared" ca="1" si="213"/>
        <v>ok</v>
      </c>
      <c r="CH67" s="15" t="str">
        <f t="shared" ca="1" si="213"/>
        <v>ok</v>
      </c>
      <c r="CI67" s="15" t="str">
        <f t="shared" ca="1" si="213"/>
        <v>ok</v>
      </c>
      <c r="CJ67" s="15" t="str">
        <f t="shared" ca="1" si="213"/>
        <v>ok</v>
      </c>
      <c r="CK67" s="15" t="str">
        <f t="shared" ca="1" si="213"/>
        <v>ok</v>
      </c>
      <c r="CL67" s="15" t="str">
        <f t="shared" ca="1" si="213"/>
        <v>ok</v>
      </c>
      <c r="CM67" s="15" t="str">
        <f t="shared" ca="1" si="213"/>
        <v>ok</v>
      </c>
      <c r="CN67" s="15" t="str">
        <f t="shared" ca="1" si="213"/>
        <v>ok</v>
      </c>
    </row>
    <row r="68" spans="1:92" ht="12.75" customHeight="1" x14ac:dyDescent="0.3">
      <c r="C68" s="17"/>
      <c r="D68" s="75"/>
      <c r="H68" s="16"/>
      <c r="L68" s="1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</row>
    <row r="69" spans="1:92" ht="13.2" x14ac:dyDescent="0.25">
      <c r="A69" s="14">
        <f>MAX(A$3:A68)+0.01</f>
        <v>5.0299999999999994</v>
      </c>
      <c r="B69" s="14"/>
      <c r="C69" s="14" t="s">
        <v>220</v>
      </c>
      <c r="D69" s="20"/>
      <c r="E69" s="14"/>
      <c r="F69" s="14"/>
      <c r="G69" s="14"/>
      <c r="H69" s="57"/>
      <c r="I69" s="14"/>
      <c r="J69" s="14"/>
      <c r="K69" s="14"/>
      <c r="L69" s="14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</row>
    <row r="70" spans="1:92" ht="12.75" customHeight="1" x14ac:dyDescent="0.3">
      <c r="C70" s="17"/>
      <c r="D70" s="75"/>
      <c r="H70" s="16"/>
      <c r="J70" s="15"/>
      <c r="L70" s="15"/>
      <c r="M70" s="15"/>
      <c r="N70" s="15"/>
      <c r="O70" s="15"/>
      <c r="P70" s="15"/>
    </row>
    <row r="71" spans="1:92" ht="12.75" customHeight="1" x14ac:dyDescent="0.3">
      <c r="C71" s="17"/>
      <c r="D71" s="98" t="s">
        <v>227</v>
      </c>
      <c r="H71" s="16" t="s">
        <v>1</v>
      </c>
      <c r="J71" s="58"/>
      <c r="L71" s="15">
        <f t="shared" ref="L71:AQ71" si="214">K92</f>
        <v>0</v>
      </c>
      <c r="M71" s="15">
        <f t="shared" si="214"/>
        <v>1000000</v>
      </c>
      <c r="N71" s="15">
        <f t="shared" ca="1" si="214"/>
        <v>1000000</v>
      </c>
      <c r="O71" s="15">
        <f t="shared" ca="1" si="214"/>
        <v>1000000</v>
      </c>
      <c r="P71" s="15">
        <f t="shared" ca="1" si="214"/>
        <v>1000000</v>
      </c>
      <c r="Q71" s="15">
        <f t="shared" ca="1" si="214"/>
        <v>1000000</v>
      </c>
      <c r="R71" s="15">
        <f t="shared" ca="1" si="214"/>
        <v>1000000</v>
      </c>
      <c r="S71" s="15">
        <f t="shared" ca="1" si="214"/>
        <v>1000000</v>
      </c>
      <c r="T71" s="15">
        <f t="shared" ca="1" si="214"/>
        <v>1000000</v>
      </c>
      <c r="U71" s="15">
        <f t="shared" ca="1" si="214"/>
        <v>1000000</v>
      </c>
      <c r="V71" s="15">
        <f t="shared" ca="1" si="214"/>
        <v>1000000</v>
      </c>
      <c r="W71" s="15">
        <f t="shared" ca="1" si="214"/>
        <v>1000000</v>
      </c>
      <c r="X71" s="15">
        <f t="shared" ca="1" si="214"/>
        <v>5622050.7693219157</v>
      </c>
      <c r="Y71" s="15">
        <f t="shared" ca="1" si="214"/>
        <v>11297056.979357041</v>
      </c>
      <c r="Z71" s="15">
        <f t="shared" ca="1" si="214"/>
        <v>16213292.998891842</v>
      </c>
      <c r="AA71" s="15">
        <f t="shared" ca="1" si="214"/>
        <v>21350278.238555372</v>
      </c>
      <c r="AB71" s="15">
        <f t="shared" ca="1" si="214"/>
        <v>26673310.754366104</v>
      </c>
      <c r="AC71" s="15">
        <f t="shared" ca="1" si="214"/>
        <v>31951457.40546548</v>
      </c>
      <c r="AD71" s="15">
        <f t="shared" ca="1" si="214"/>
        <v>37181038.363385126</v>
      </c>
      <c r="AE71" s="15">
        <f t="shared" ca="1" si="214"/>
        <v>42532315.770598471</v>
      </c>
      <c r="AF71" s="15">
        <f t="shared" ca="1" si="214"/>
        <v>43196157.681529067</v>
      </c>
      <c r="AG71" s="15">
        <f t="shared" ca="1" si="214"/>
        <v>42152341.362140298</v>
      </c>
      <c r="AH71" s="15">
        <f t="shared" ca="1" si="214"/>
        <v>41044133.113632396</v>
      </c>
      <c r="AI71" s="15">
        <f t="shared" ca="1" si="214"/>
        <v>40059694.612005271</v>
      </c>
      <c r="AJ71" s="15">
        <f t="shared" ca="1" si="214"/>
        <v>39111093.194047138</v>
      </c>
      <c r="AK71" s="15">
        <f t="shared" ca="1" si="214"/>
        <v>38047840.384915665</v>
      </c>
      <c r="AL71" s="15">
        <f t="shared" ca="1" si="214"/>
        <v>36929699.427668355</v>
      </c>
      <c r="AM71" s="15">
        <f t="shared" ca="1" si="214"/>
        <v>35848484.435565904</v>
      </c>
      <c r="AN71" s="15">
        <f t="shared" ca="1" si="214"/>
        <v>34871968.001157649</v>
      </c>
      <c r="AO71" s="15">
        <f t="shared" ca="1" si="214"/>
        <v>33792331.610754296</v>
      </c>
      <c r="AP71" s="15">
        <f t="shared" ca="1" si="214"/>
        <v>32623017.837530985</v>
      </c>
      <c r="AQ71" s="15">
        <f t="shared" ca="1" si="214"/>
        <v>31573993.967884049</v>
      </c>
      <c r="AR71" s="15">
        <f t="shared" ref="AR71:BW71" ca="1" si="215">AQ92</f>
        <v>30619523.050971985</v>
      </c>
      <c r="AS71" s="15">
        <f t="shared" ca="1" si="215"/>
        <v>29542268.263713129</v>
      </c>
      <c r="AT71" s="15">
        <f t="shared" ca="1" si="215"/>
        <v>28341178.653256007</v>
      </c>
      <c r="AU71" s="15">
        <f t="shared" ca="1" si="215"/>
        <v>27294728.69013986</v>
      </c>
      <c r="AV71" s="15">
        <f t="shared" ca="1" si="215"/>
        <v>26332304.566669095</v>
      </c>
      <c r="AW71" s="15">
        <f t="shared" ca="1" si="215"/>
        <v>25256121.684525702</v>
      </c>
      <c r="AX71" s="15">
        <f t="shared" ca="1" si="215"/>
        <v>24045179.262574568</v>
      </c>
      <c r="AY71" s="15">
        <f t="shared" ca="1" si="215"/>
        <v>23000170.612514019</v>
      </c>
      <c r="AZ71" s="15">
        <f t="shared" ca="1" si="215"/>
        <v>22054561.387830883</v>
      </c>
      <c r="BA71" s="15">
        <f t="shared" ca="1" si="215"/>
        <v>20979757.202538989</v>
      </c>
      <c r="BB71" s="15">
        <f t="shared" ca="1" si="215"/>
        <v>19842339.657492556</v>
      </c>
      <c r="BC71" s="15">
        <f t="shared" ca="1" si="215"/>
        <v>18767449.647668812</v>
      </c>
      <c r="BD71" s="15">
        <f t="shared" ca="1" si="215"/>
        <v>17833793.251866981</v>
      </c>
      <c r="BE71" s="15">
        <f t="shared" ca="1" si="215"/>
        <v>16760909.097751845</v>
      </c>
      <c r="BF71" s="15">
        <f t="shared" ca="1" si="215"/>
        <v>15588404.324701756</v>
      </c>
      <c r="BG71" s="15">
        <f t="shared" ca="1" si="215"/>
        <v>14550136.312410802</v>
      </c>
      <c r="BH71" s="15">
        <f t="shared" ca="1" si="215"/>
        <v>13606940.193515651</v>
      </c>
      <c r="BI71" s="15">
        <f t="shared" ca="1" si="215"/>
        <v>12535547.374083903</v>
      </c>
      <c r="BJ71" s="15">
        <f t="shared" ca="1" si="215"/>
        <v>11334492.604230266</v>
      </c>
      <c r="BK71" s="15">
        <f t="shared" ca="1" si="215"/>
        <v>10298887.447239185</v>
      </c>
      <c r="BL71" s="15">
        <f t="shared" ca="1" si="215"/>
        <v>9381806.7685876861</v>
      </c>
      <c r="BM71" s="15">
        <f t="shared" ca="1" si="215"/>
        <v>8312851.1285947468</v>
      </c>
      <c r="BN71" s="15">
        <f t="shared" ca="1" si="215"/>
        <v>7120281.3333893158</v>
      </c>
      <c r="BO71" s="15">
        <f t="shared" ca="1" si="215"/>
        <v>6089346.7936524823</v>
      </c>
      <c r="BP71" s="15">
        <f t="shared" ca="1" si="215"/>
        <v>5169923.8146081641</v>
      </c>
      <c r="BQ71" s="15">
        <f t="shared" ca="1" si="215"/>
        <v>4103427.788399728</v>
      </c>
      <c r="BR71" s="15">
        <f t="shared" ca="1" si="215"/>
        <v>2947718.132052552</v>
      </c>
      <c r="BS71" s="15">
        <f t="shared" ca="1" si="215"/>
        <v>1881186.8063284326</v>
      </c>
      <c r="BT71" s="15">
        <f t="shared" ca="1" si="215"/>
        <v>1000000</v>
      </c>
      <c r="BU71" s="15">
        <f t="shared" ca="1" si="215"/>
        <v>1000000</v>
      </c>
      <c r="BV71" s="15">
        <f t="shared" ca="1" si="215"/>
        <v>1000000</v>
      </c>
      <c r="BW71" s="15">
        <f t="shared" ca="1" si="215"/>
        <v>1000000</v>
      </c>
      <c r="BX71" s="15">
        <f t="shared" ref="BX71:CN71" ca="1" si="216">BW92</f>
        <v>1000000</v>
      </c>
      <c r="BY71" s="15">
        <f t="shared" ca="1" si="216"/>
        <v>1000000</v>
      </c>
      <c r="BZ71" s="15">
        <f t="shared" ca="1" si="216"/>
        <v>1000000</v>
      </c>
      <c r="CA71" s="15">
        <f t="shared" ca="1" si="216"/>
        <v>1000000</v>
      </c>
      <c r="CB71" s="15">
        <f t="shared" ca="1" si="216"/>
        <v>1000000</v>
      </c>
      <c r="CC71" s="15">
        <f t="shared" ca="1" si="216"/>
        <v>1000000</v>
      </c>
      <c r="CD71" s="15">
        <f t="shared" ca="1" si="216"/>
        <v>1000000</v>
      </c>
      <c r="CE71" s="15">
        <f t="shared" ca="1" si="216"/>
        <v>1000000</v>
      </c>
      <c r="CF71" s="15">
        <f t="shared" ca="1" si="216"/>
        <v>1000000</v>
      </c>
      <c r="CG71" s="15">
        <f t="shared" ca="1" si="216"/>
        <v>1000000</v>
      </c>
      <c r="CH71" s="15">
        <f t="shared" ca="1" si="216"/>
        <v>1000000</v>
      </c>
      <c r="CI71" s="15">
        <f t="shared" ca="1" si="216"/>
        <v>1000000</v>
      </c>
      <c r="CJ71" s="15">
        <f t="shared" ca="1" si="216"/>
        <v>1211514.6276489832</v>
      </c>
      <c r="CK71" s="15">
        <f t="shared" ca="1" si="216"/>
        <v>1173575.7402582429</v>
      </c>
      <c r="CL71" s="15">
        <f t="shared" ca="1" si="216"/>
        <v>1019034.9476248547</v>
      </c>
      <c r="CM71" s="15">
        <f t="shared" ca="1" si="216"/>
        <v>1043206.4668662772</v>
      </c>
      <c r="CN71" s="15">
        <f t="shared" ca="1" si="216"/>
        <v>1259205.3940725923</v>
      </c>
    </row>
    <row r="72" spans="1:92" ht="12.75" customHeight="1" x14ac:dyDescent="0.3">
      <c r="C72" s="17"/>
      <c r="D72" s="92" t="s">
        <v>136</v>
      </c>
      <c r="H72" s="16" t="s">
        <v>1</v>
      </c>
      <c r="J72" s="58">
        <f>SUM(L72:CN72)</f>
        <v>2248595530.4727769</v>
      </c>
      <c r="L72" s="15">
        <f>Ops!L117</f>
        <v>0</v>
      </c>
      <c r="M72" s="15">
        <f>Ops!M117</f>
        <v>14346923.522400001</v>
      </c>
      <c r="N72" s="15">
        <f>Ops!N117</f>
        <v>14611351.05591616</v>
      </c>
      <c r="O72" s="15">
        <f>Ops!O117</f>
        <v>15252023.066423556</v>
      </c>
      <c r="P72" s="15">
        <f>Ops!P117</f>
        <v>15371361.123918418</v>
      </c>
      <c r="Q72" s="15">
        <f>Ops!Q117</f>
        <v>15104814.602363458</v>
      </c>
      <c r="R72" s="15">
        <f>Ops!R117</f>
        <v>15402778.534200625</v>
      </c>
      <c r="S72" s="15">
        <f>Ops!S117</f>
        <v>16023488.367841069</v>
      </c>
      <c r="T72" s="15">
        <f>Ops!T117</f>
        <v>16096750.110518558</v>
      </c>
      <c r="U72" s="15">
        <f>Ops!U117</f>
        <v>15982252.366303895</v>
      </c>
      <c r="V72" s="15">
        <f>Ops!V117</f>
        <v>16063938.700725131</v>
      </c>
      <c r="W72" s="15">
        <f>Ops!W117</f>
        <v>16751914.89208154</v>
      </c>
      <c r="X72" s="15">
        <f>Ops!X117</f>
        <v>16846275.378900509</v>
      </c>
      <c r="Y72" s="15">
        <f>Ops!Y117</f>
        <v>16563172.538536696</v>
      </c>
      <c r="Z72" s="15">
        <f>Ops!Z117</f>
        <v>16852082.060925081</v>
      </c>
      <c r="AA72" s="15">
        <f>Ops!AA117</f>
        <v>17508363.032644965</v>
      </c>
      <c r="AB72" s="15">
        <f>Ops!AB117</f>
        <v>17631679.660986044</v>
      </c>
      <c r="AC72" s="15">
        <f>Ops!AC117</f>
        <v>17374936.625620276</v>
      </c>
      <c r="AD72" s="15">
        <f>Ops!AD117</f>
        <v>17704822.604651742</v>
      </c>
      <c r="AE72" s="15">
        <f>Ops!AE117</f>
        <v>18472283.985578537</v>
      </c>
      <c r="AF72" s="15">
        <f>Ops!AF117</f>
        <v>18629964.63447284</v>
      </c>
      <c r="AG72" s="15">
        <f>Ops!AG117</f>
        <v>18281884.006055314</v>
      </c>
      <c r="AH72" s="15">
        <f>Ops!AH117</f>
        <v>18581124.807841722</v>
      </c>
      <c r="AI72" s="15">
        <f>Ops!AI117</f>
        <v>19388137.13962815</v>
      </c>
      <c r="AJ72" s="15">
        <f>Ops!AJ117</f>
        <v>19497848.100350447</v>
      </c>
      <c r="AK72" s="15">
        <f>Ops!AK117</f>
        <v>19392650.59580278</v>
      </c>
      <c r="AL72" s="15">
        <f>Ops!AL117</f>
        <v>19511165.619178183</v>
      </c>
      <c r="AM72" s="15">
        <f>Ops!AM117</f>
        <v>20301413.129909765</v>
      </c>
      <c r="AN72" s="15">
        <f>Ops!AN117</f>
        <v>20434227.002528623</v>
      </c>
      <c r="AO72" s="15">
        <f>Ops!AO117</f>
        <v>20098842.790712617</v>
      </c>
      <c r="AP72" s="15">
        <f>Ops!AP117</f>
        <v>20465090.869383078</v>
      </c>
      <c r="AQ72" s="15">
        <f>Ops!AQ117</f>
        <v>21381533.482750483</v>
      </c>
      <c r="AR72" s="15">
        <f>Ops!AR117</f>
        <v>21543680.533946972</v>
      </c>
      <c r="AS72" s="15">
        <f>Ops!AS117</f>
        <v>21182643.475523174</v>
      </c>
      <c r="AT72" s="15">
        <f>Ops!AT117</f>
        <v>21591725.851309337</v>
      </c>
      <c r="AU72" s="15">
        <f>Ops!AU117</f>
        <v>22523386.331728667</v>
      </c>
      <c r="AV72" s="15">
        <f>Ops!AV117</f>
        <v>22717422.071330175</v>
      </c>
      <c r="AW72" s="15">
        <f>Ops!AW117</f>
        <v>22356160.180051584</v>
      </c>
      <c r="AX72" s="15">
        <f>Ops!AX117</f>
        <v>22812198.393161185</v>
      </c>
      <c r="AY72" s="15">
        <f>Ops!AY117</f>
        <v>23881328.457891665</v>
      </c>
      <c r="AZ72" s="15">
        <f>Ops!AZ117</f>
        <v>24116234.291532226</v>
      </c>
      <c r="BA72" s="15">
        <f>Ops!BA117</f>
        <v>24068277.716486558</v>
      </c>
      <c r="BB72" s="15">
        <f>Ops!BB117</f>
        <v>24319974.537971869</v>
      </c>
      <c r="BC72" s="15">
        <f>Ops!BC117</f>
        <v>25501735.219597261</v>
      </c>
      <c r="BD72" s="15">
        <f>Ops!BD117</f>
        <v>25785942.61588021</v>
      </c>
      <c r="BE72" s="15">
        <f>Ops!BE117</f>
        <v>25485437.744451635</v>
      </c>
      <c r="BF72" s="15">
        <f>Ops!BF117</f>
        <v>26072839.982135929</v>
      </c>
      <c r="BG72" s="15">
        <f>Ops!BG117</f>
        <v>27274693.795073181</v>
      </c>
      <c r="BH72" s="15">
        <f>Ops!BH117</f>
        <v>27613625.055929311</v>
      </c>
      <c r="BI72" s="15">
        <f>Ops!BI117</f>
        <v>27303682.118255179</v>
      </c>
      <c r="BJ72" s="15">
        <f>Ops!BJ117</f>
        <v>27969231.227549464</v>
      </c>
      <c r="BK72" s="15">
        <f>Ops!BK117</f>
        <v>29388666.910129156</v>
      </c>
      <c r="BL72" s="15">
        <f>Ops!BL117</f>
        <v>29796301.183757812</v>
      </c>
      <c r="BM72" s="15">
        <f>Ops!BM117</f>
        <v>29517039.740790579</v>
      </c>
      <c r="BN72" s="15">
        <f>Ops!BN117</f>
        <v>30280583.195484973</v>
      </c>
      <c r="BO72" s="15">
        <f>Ops!BO117</f>
        <v>31793151.450531565</v>
      </c>
      <c r="BP72" s="15">
        <f>Ops!BP117</f>
        <v>32279413.766357776</v>
      </c>
      <c r="BQ72" s="15">
        <f>Ops!BQ117</f>
        <v>32382464.222183987</v>
      </c>
      <c r="BR72" s="15">
        <f>Ops!BR117</f>
        <v>32902053.394325919</v>
      </c>
      <c r="BS72" s="15">
        <f>Ops!BS117</f>
        <v>34703086.663659245</v>
      </c>
      <c r="BT72" s="15">
        <f>Ops!BT117</f>
        <v>35288376.970467716</v>
      </c>
      <c r="BU72" s="15">
        <f>Ops!BU117</f>
        <v>35004295.874074616</v>
      </c>
      <c r="BV72" s="15">
        <f>Ops!BV117</f>
        <v>36016864.540058769</v>
      </c>
      <c r="BW72" s="15">
        <f>Ops!BW117</f>
        <v>37991470.345410004</v>
      </c>
      <c r="BX72" s="15">
        <f>Ops!BX117</f>
        <v>38690770.490340143</v>
      </c>
      <c r="BY72" s="15">
        <f>Ops!BY117</f>
        <v>38519479.43684189</v>
      </c>
      <c r="BZ72" s="15">
        <f>Ops!BZ117</f>
        <v>39694606.774202794</v>
      </c>
      <c r="CA72" s="15">
        <f>Ops!CA117</f>
        <v>41898973.629186839</v>
      </c>
      <c r="CB72" s="15">
        <f>Ops!CB117</f>
        <v>42734777.592349321</v>
      </c>
      <c r="CC72" s="15">
        <f>Ops!CC117</f>
        <v>42593054.407485917</v>
      </c>
      <c r="CD72" s="15">
        <f>Ops!CD117</f>
        <v>43958825.235464185</v>
      </c>
      <c r="CE72" s="15">
        <f>Ops!CE117</f>
        <v>46488116.633916177</v>
      </c>
      <c r="CF72" s="15">
        <f>Ops!CF117</f>
        <v>47487276.246036485</v>
      </c>
      <c r="CG72" s="15">
        <f>Ops!CG117</f>
        <v>47998888.429912955</v>
      </c>
      <c r="CH72" s="15">
        <f>Ops!CH117</f>
        <v>49067707.996900477</v>
      </c>
      <c r="CI72" s="15">
        <f>Ops!CI117</f>
        <v>52043308.216644771</v>
      </c>
      <c r="CJ72" s="15">
        <f>Ops!CJ117</f>
        <v>53242654.817043103</v>
      </c>
      <c r="CK72" s="15">
        <f>Ops!CK117</f>
        <v>53305289.389805794</v>
      </c>
      <c r="CL72" s="15">
        <f>Ops!CL117</f>
        <v>55180416.23154369</v>
      </c>
      <c r="CM72" s="15">
        <f>Ops!CM117</f>
        <v>58434617.478213519</v>
      </c>
      <c r="CN72" s="15">
        <f>Ops!CN117</f>
        <v>59867685.200700819</v>
      </c>
    </row>
    <row r="73" spans="1:92" ht="12.75" customHeight="1" x14ac:dyDescent="0.3">
      <c r="C73" s="17"/>
      <c r="D73" s="92" t="s">
        <v>165</v>
      </c>
      <c r="H73" s="16" t="s">
        <v>1</v>
      </c>
      <c r="J73" s="58">
        <f>SUM(L73:CN73)</f>
        <v>-961959695.1765734</v>
      </c>
      <c r="L73" s="15">
        <f>-Ops!L133</f>
        <v>0</v>
      </c>
      <c r="M73" s="15">
        <f>-Ops!M133</f>
        <v>-5843539</v>
      </c>
      <c r="N73" s="15">
        <f>-Ops!N133</f>
        <v>-5951825.6052365322</v>
      </c>
      <c r="O73" s="15">
        <f>-Ops!O133</f>
        <v>-6064273.6522122771</v>
      </c>
      <c r="P73" s="15">
        <f>-Ops!P133</f>
        <v>-6142712.1461235685</v>
      </c>
      <c r="Q73" s="15">
        <f>-Ops!Q133</f>
        <v>-6113248.5887981709</v>
      </c>
      <c r="R73" s="15">
        <f>-Ops!R133</f>
        <v>-6236313.4713251423</v>
      </c>
      <c r="S73" s="15">
        <f>-Ops!S133</f>
        <v>-6344560.5730379643</v>
      </c>
      <c r="T73" s="15">
        <f>-Ops!T133</f>
        <v>-6415819.8647650955</v>
      </c>
      <c r="U73" s="15">
        <f>-Ops!U133</f>
        <v>-6438438.676856244</v>
      </c>
      <c r="V73" s="15">
        <f>-Ops!V133</f>
        <v>-6514504.8700338025</v>
      </c>
      <c r="W73" s="15">
        <f>-Ops!W133</f>
        <v>-6636042.6186547019</v>
      </c>
      <c r="X73" s="15">
        <f>-Ops!X133</f>
        <v>-6719022.0750742368</v>
      </c>
      <c r="Y73" s="15">
        <f>-Ops!Y133</f>
        <v>-6708603.1075013503</v>
      </c>
      <c r="Z73" s="15">
        <f>-Ops!Z133</f>
        <v>-6841515.965074813</v>
      </c>
      <c r="AA73" s="15">
        <f>-Ops!AA133</f>
        <v>-6979831.4967078976</v>
      </c>
      <c r="AB73" s="15">
        <f>-Ops!AB133</f>
        <v>-7077701.3589262888</v>
      </c>
      <c r="AC73" s="15">
        <f>-Ops!AC133</f>
        <v>-7084867.437257437</v>
      </c>
      <c r="AD73" s="15">
        <f>-Ops!AD133</f>
        <v>-7237878.5358154476</v>
      </c>
      <c r="AE73" s="15">
        <f>-Ops!AE133</f>
        <v>-7397714.4839563351</v>
      </c>
      <c r="AF73" s="15">
        <f>-Ops!AF133</f>
        <v>-7514742.8442487381</v>
      </c>
      <c r="AG73" s="15">
        <f>-Ops!AG133</f>
        <v>-7483310.7374429014</v>
      </c>
      <c r="AH73" s="15">
        <f>-Ops!AH133</f>
        <v>-7630720.1650575716</v>
      </c>
      <c r="AI73" s="15">
        <f>-Ops!AI133</f>
        <v>-7782943.4484519977</v>
      </c>
      <c r="AJ73" s="15">
        <f>-Ops!AJ133</f>
        <v>-7886950.5426975805</v>
      </c>
      <c r="AK73" s="15">
        <f>-Ops!AK133</f>
        <v>-7935512.9058316415</v>
      </c>
      <c r="AL73" s="15">
        <f>-Ops!AL133</f>
        <v>-8045431.3373723645</v>
      </c>
      <c r="AM73" s="15">
        <f>-Ops!AM133</f>
        <v>-8215181.406765244</v>
      </c>
      <c r="AN73" s="15">
        <f>-Ops!AN133</f>
        <v>-8333675.0614671316</v>
      </c>
      <c r="AO73" s="15">
        <f>-Ops!AO133</f>
        <v>-8319641.6222835155</v>
      </c>
      <c r="AP73" s="15">
        <f>-Ops!AP133</f>
        <v>-8502969.1464890894</v>
      </c>
      <c r="AQ73" s="15">
        <f>-Ops!AQ133</f>
        <v>-8692981.8202274665</v>
      </c>
      <c r="AR73" s="15">
        <f>-Ops!AR133</f>
        <v>-8828361.252220314</v>
      </c>
      <c r="AS73" s="15">
        <f>-Ops!AS133</f>
        <v>-8800728.0477469712</v>
      </c>
      <c r="AT73" s="15">
        <f>-Ops!AT133</f>
        <v>-9006166.4613138437</v>
      </c>
      <c r="AU73" s="15">
        <f>-Ops!AU133</f>
        <v>-9219469.9372029472</v>
      </c>
      <c r="AV73" s="15">
        <f>-Ops!AV133</f>
        <v>-9374409.3600259759</v>
      </c>
      <c r="AW73" s="15">
        <f>-Ops!AW133</f>
        <v>-9348608.1129694246</v>
      </c>
      <c r="AX73" s="15">
        <f>-Ops!AX133</f>
        <v>-9580019.2001581751</v>
      </c>
      <c r="AY73" s="15">
        <f>-Ops!AY133</f>
        <v>-9820693.4551290013</v>
      </c>
      <c r="AZ73" s="15">
        <f>-Ops!AZ133</f>
        <v>-9998679.6824962348</v>
      </c>
      <c r="BA73" s="15">
        <f>-Ops!BA133</f>
        <v>-10087567.489262456</v>
      </c>
      <c r="BB73" s="15">
        <f>-Ops!BB133</f>
        <v>-10276951.859679244</v>
      </c>
      <c r="BC73" s="15">
        <f>-Ops!BC133</f>
        <v>-10551264.81943037</v>
      </c>
      <c r="BD73" s="15">
        <f>-Ops!BD133</f>
        <v>-10757468.98235292</v>
      </c>
      <c r="BE73" s="15">
        <f>-Ops!BE133</f>
        <v>-10785855.495584145</v>
      </c>
      <c r="BF73" s="15">
        <f>-Ops!BF133</f>
        <v>-11087175.292117538</v>
      </c>
      <c r="BG73" s="15">
        <f>-Ops!BG133</f>
        <v>-11401534.763044797</v>
      </c>
      <c r="BH73" s="15">
        <f>-Ops!BH133</f>
        <v>-11641391.361495949</v>
      </c>
      <c r="BI73" s="15">
        <f>-Ops!BI133</f>
        <v>-11665181.133356759</v>
      </c>
      <c r="BJ73" s="15">
        <f>-Ops!BJ133</f>
        <v>-12010942.191546304</v>
      </c>
      <c r="BK73" s="15">
        <f>-Ops!BK133</f>
        <v>-12372169.796613764</v>
      </c>
      <c r="BL73" s="15">
        <f>-Ops!BL133</f>
        <v>-12651546.615437431</v>
      </c>
      <c r="BM73" s="15">
        <f>-Ops!BM133</f>
        <v>-12702447.24397077</v>
      </c>
      <c r="BN73" s="15">
        <f>-Ops!BN133</f>
        <v>-13101522.084161378</v>
      </c>
      <c r="BO73" s="15">
        <f>-Ops!BO133</f>
        <v>-13518985.468361221</v>
      </c>
      <c r="BP73" s="15">
        <f>-Ops!BP133</f>
        <v>-13845801.389691517</v>
      </c>
      <c r="BQ73" s="15">
        <f>-Ops!BQ133</f>
        <v>-14030865.086704081</v>
      </c>
      <c r="BR73" s="15">
        <f>-Ops!BR133</f>
        <v>-14380520.088146752</v>
      </c>
      <c r="BS73" s="15">
        <f>-Ops!BS133</f>
        <v>-14865030.750873046</v>
      </c>
      <c r="BT73" s="15">
        <f>-Ops!BT133</f>
        <v>-15248469.778228326</v>
      </c>
      <c r="BU73" s="15">
        <f>-Ops!BU133</f>
        <v>-15291225.36725945</v>
      </c>
      <c r="BV73" s="15">
        <f>-Ops!BV133</f>
        <v>-15827218.172610134</v>
      </c>
      <c r="BW73" s="15">
        <f>-Ops!BW133</f>
        <v>-16389160.46638828</v>
      </c>
      <c r="BX73" s="15">
        <f>-Ops!BX133</f>
        <v>-16838202.788613889</v>
      </c>
      <c r="BY73" s="15">
        <f>-Ops!BY133</f>
        <v>-16979987.801441863</v>
      </c>
      <c r="BZ73" s="15">
        <f>-Ops!BZ133</f>
        <v>-17606694.659806468</v>
      </c>
      <c r="CA73" s="15">
        <f>-Ops!CA133</f>
        <v>-18264374.144810088</v>
      </c>
      <c r="CB73" s="15">
        <f>-Ops!CB133</f>
        <v>-18794386.925475068</v>
      </c>
      <c r="CC73" s="15">
        <f>-Ops!CC133</f>
        <v>-18953345.099203203</v>
      </c>
      <c r="CD73" s="15">
        <f>-Ops!CD133</f>
        <v>-19687480.614112273</v>
      </c>
      <c r="CE73" s="15">
        <f>-Ops!CE133</f>
        <v>-20458557.683323737</v>
      </c>
      <c r="CF73" s="15">
        <f>-Ops!CF133</f>
        <v>-21084601.891383074</v>
      </c>
      <c r="CG73" s="15">
        <f>-Ops!CG133</f>
        <v>-21547340.527809821</v>
      </c>
      <c r="CH73" s="15">
        <f>-Ops!CH133</f>
        <v>-22222462.248412367</v>
      </c>
      <c r="CI73" s="15">
        <f>-Ops!CI133</f>
        <v>-23132606.749867834</v>
      </c>
      <c r="CJ73" s="15">
        <f>-Ops!CJ133</f>
        <v>-23876367.171850417</v>
      </c>
      <c r="CK73" s="15">
        <f>-Ops!CK133</f>
        <v>-24210738.25750757</v>
      </c>
      <c r="CL73" s="15">
        <f>-Ops!CL133</f>
        <v>-25234586.788627829</v>
      </c>
      <c r="CM73" s="15">
        <f>-Ops!CM133</f>
        <v>-26311508.750626083</v>
      </c>
      <c r="CN73" s="15">
        <f>-Ops!CN133</f>
        <v>-27196547.302429512</v>
      </c>
    </row>
    <row r="74" spans="1:92" ht="12.75" customHeight="1" x14ac:dyDescent="0.3">
      <c r="C74" s="17"/>
      <c r="D74" s="92" t="s">
        <v>221</v>
      </c>
      <c r="H74" s="16" t="s">
        <v>1</v>
      </c>
      <c r="J74" s="58">
        <f>SUM(L74:CN74)</f>
        <v>-2557649.6433212818</v>
      </c>
      <c r="L74" s="15">
        <f>Ops!L142</f>
        <v>0</v>
      </c>
      <c r="M74" s="15">
        <f>Ops!M142</f>
        <v>-297560.97223999992</v>
      </c>
      <c r="N74" s="15">
        <f>Ops!N142</f>
        <v>-5034.0375239627901</v>
      </c>
      <c r="O74" s="15">
        <f>Ops!O142</f>
        <v>-27443.441399757052</v>
      </c>
      <c r="P74" s="15">
        <f>Ops!P142</f>
        <v>700.58534915314522</v>
      </c>
      <c r="Q74" s="15">
        <f>Ops!Q142</f>
        <v>-38748.629436390707</v>
      </c>
      <c r="R74" s="15">
        <f>Ops!R142</f>
        <v>-6603.2809698268538</v>
      </c>
      <c r="S74" s="15">
        <f>Ops!S142</f>
        <v>-29059.440099359141</v>
      </c>
      <c r="T74" s="15">
        <f>Ops!T142</f>
        <v>2531.6107508355053</v>
      </c>
      <c r="U74" s="15">
        <f>Ops!U142</f>
        <v>-6063.2153939850396</v>
      </c>
      <c r="V74" s="15">
        <f>Ops!V142</f>
        <v>2409.7795205394505</v>
      </c>
      <c r="W74" s="15">
        <f>Ops!W142</f>
        <v>-32068.616790974047</v>
      </c>
      <c r="X74" s="15">
        <f>Ops!X142</f>
        <v>2260.6294007443357</v>
      </c>
      <c r="Y74" s="15">
        <f>Ops!Y142</f>
        <v>3420.6916236006655</v>
      </c>
      <c r="Z74" s="15">
        <f>Ops!Z142</f>
        <v>-5546.0319166447734</v>
      </c>
      <c r="AA74" s="15">
        <f>Ops!AA142</f>
        <v>-32846.692405797425</v>
      </c>
      <c r="AB74" s="15">
        <f>Ops!AB142</f>
        <v>1875.904353397782</v>
      </c>
      <c r="AC74" s="15">
        <f>Ops!AC142</f>
        <v>16508.360850953846</v>
      </c>
      <c r="AD74" s="15">
        <f>Ops!AD142</f>
        <v>-6167.9915338112041</v>
      </c>
      <c r="AE74" s="15">
        <f>Ops!AE142</f>
        <v>-36201.372449803748</v>
      </c>
      <c r="AF74" s="15">
        <f>Ops!AF142</f>
        <v>1500.5265598547412</v>
      </c>
      <c r="AG74" s="15">
        <f>Ops!AG142</f>
        <v>-15890.158857839182</v>
      </c>
      <c r="AH74" s="15">
        <f>Ops!AH142</f>
        <v>-5402.9166927880142</v>
      </c>
      <c r="AI74" s="15">
        <f>Ops!AI142</f>
        <v>-37405.224920517532</v>
      </c>
      <c r="AJ74" s="15">
        <f>Ops!AJ142</f>
        <v>3160.6046531993197</v>
      </c>
      <c r="AK74" s="15">
        <f>Ops!AK142</f>
        <v>5500.037080978509</v>
      </c>
      <c r="AL74" s="15">
        <f>Ops!AL142</f>
        <v>3129.2475045484025</v>
      </c>
      <c r="AM74" s="15">
        <f>Ops!AM142</f>
        <v>-39260.105183106381</v>
      </c>
      <c r="AN74" s="15">
        <f>Ops!AN142</f>
        <v>2960.6535562411882</v>
      </c>
      <c r="AO74" s="15">
        <f>Ops!AO142</f>
        <v>-6216.3037472317228</v>
      </c>
      <c r="AP74" s="15">
        <f>Ops!AP142</f>
        <v>-6938.7610030442011</v>
      </c>
      <c r="AQ74" s="15">
        <f>Ops!AQ142</f>
        <v>-42749.003693290171</v>
      </c>
      <c r="AR74" s="15">
        <f>Ops!AR142</f>
        <v>2525.063747361768</v>
      </c>
      <c r="AS74" s="15">
        <f>Ops!AS142</f>
        <v>-34675.446487907786</v>
      </c>
      <c r="AT74" s="15">
        <f>Ops!AT142</f>
        <v>-8685.1115527329966</v>
      </c>
      <c r="AU74" s="15">
        <f>Ops!AU142</f>
        <v>-47903.892028524191</v>
      </c>
      <c r="AV74" s="15">
        <f>Ops!AV142</f>
        <v>1686.5812598356279</v>
      </c>
      <c r="AW74" s="15">
        <f>Ops!AW142</f>
        <v>-42816.230699925101</v>
      </c>
      <c r="AX74" s="15">
        <f>Ops!AX142</f>
        <v>-10907.460181301576</v>
      </c>
      <c r="AY74" s="15">
        <f>Ops!AY142</f>
        <v>-56000.887660007575</v>
      </c>
      <c r="AZ74" s="15">
        <f>Ops!AZ142</f>
        <v>426.11327957524918</v>
      </c>
      <c r="BA74" s="15">
        <f>Ops!BA142</f>
        <v>-15205.819837825722</v>
      </c>
      <c r="BB74" s="15">
        <f>Ops!BB142</f>
        <v>24.751243558479473</v>
      </c>
      <c r="BC74" s="15">
        <f>Ops!BC142</f>
        <v>-61052.779107406735</v>
      </c>
      <c r="BD74" s="15">
        <f>Ops!BD142</f>
        <v>-673.64954532310367</v>
      </c>
      <c r="BE74" s="15">
        <f>Ops!BE142</f>
        <v>-2082.0283275062684</v>
      </c>
      <c r="BF74" s="15">
        <f>Ops!BF142</f>
        <v>-14865.534040761879</v>
      </c>
      <c r="BG74" s="15">
        <f>Ops!BG142</f>
        <v>-63544.375777328387</v>
      </c>
      <c r="BH74" s="15">
        <f>Ops!BH142</f>
        <v>-1918.6777098437306</v>
      </c>
      <c r="BI74" s="15">
        <f>Ops!BI142</f>
        <v>-27092.621931779664</v>
      </c>
      <c r="BJ74" s="15">
        <f>Ops!BJ142</f>
        <v>-17862.076656090328</v>
      </c>
      <c r="BK74" s="15">
        <f>Ops!BK142</f>
        <v>-75921.596617941279</v>
      </c>
      <c r="BL74" s="15">
        <f>Ops!BL142</f>
        <v>-3961.4039790525567</v>
      </c>
      <c r="BM74" s="15">
        <f>Ops!BM142</f>
        <v>-16898.289105956443</v>
      </c>
      <c r="BN74" s="15">
        <f>Ops!BN142</f>
        <v>-21308.781362298876</v>
      </c>
      <c r="BO74" s="15">
        <f>Ops!BO142</f>
        <v>-84475.75443258672</v>
      </c>
      <c r="BP74" s="15">
        <f>Ops!BP142</f>
        <v>-6308.4737967082765</v>
      </c>
      <c r="BQ74" s="15">
        <f>Ops!BQ142</f>
        <v>-36881.746094364673</v>
      </c>
      <c r="BR74" s="15">
        <f>Ops!BR142</f>
        <v>-7473.3253090991639</v>
      </c>
      <c r="BS74" s="15">
        <f>Ops!BS142</f>
        <v>-98476.234222594183</v>
      </c>
      <c r="BT74" s="15">
        <f>Ops!BT142</f>
        <v>-9396.9391395319253</v>
      </c>
      <c r="BU74" s="15">
        <f>Ops!BU142</f>
        <v>-82320.124740001978</v>
      </c>
      <c r="BV74" s="15">
        <f>Ops!BV142</f>
        <v>-32469.069002768025</v>
      </c>
      <c r="BW74" s="15">
        <f>Ops!BW142</f>
        <v>-110494.90860926034</v>
      </c>
      <c r="BX74" s="15">
        <f>Ops!BX142</f>
        <v>-14299.314490535529</v>
      </c>
      <c r="BY74" s="15">
        <f>Ops!BY142</f>
        <v>-9659.4391137689818</v>
      </c>
      <c r="BZ74" s="15">
        <f>Ops!BZ142</f>
        <v>-38273.347300116438</v>
      </c>
      <c r="CA74" s="15">
        <f>Ops!CA142</f>
        <v>-129587.1401748748</v>
      </c>
      <c r="CB74" s="15">
        <f>Ops!CB142</f>
        <v>-18903.691316513112</v>
      </c>
      <c r="CC74" s="15">
        <f>Ops!CC142</f>
        <v>-35112.149482918205</v>
      </c>
      <c r="CD74" s="15">
        <f>Ops!CD142</f>
        <v>-46297.682758630952</v>
      </c>
      <c r="CE74" s="15">
        <f>Ops!CE142</f>
        <v>-142288.16491388367</v>
      </c>
      <c r="CF74" s="15">
        <f>Ops!CF142</f>
        <v>-24752.251750519034</v>
      </c>
      <c r="CG74" s="15">
        <f>Ops!CG142</f>
        <v>1719.0348940319382</v>
      </c>
      <c r="CH74" s="15">
        <f>Ops!CH142</f>
        <v>-25933.229074892122</v>
      </c>
      <c r="CI74" s="15">
        <f>Ops!CI142</f>
        <v>-168111.80844622711</v>
      </c>
      <c r="CJ74" s="15">
        <f>Ops!CJ142</f>
        <v>-30390.415556562133</v>
      </c>
      <c r="CK74" s="15">
        <f>Ops!CK142</f>
        <v>28376.990468521602</v>
      </c>
      <c r="CL74" s="15">
        <f>Ops!CL142</f>
        <v>-61616.729144723155</v>
      </c>
      <c r="CM74" s="15">
        <f>Ops!CM142</f>
        <v>-187206.35019752057</v>
      </c>
      <c r="CN74" s="15">
        <f>Ops!CN142</f>
        <v>-37055.661481968127</v>
      </c>
    </row>
    <row r="75" spans="1:92" ht="12.75" customHeight="1" x14ac:dyDescent="0.3">
      <c r="C75" s="17"/>
      <c r="D75" s="98" t="s">
        <v>73</v>
      </c>
      <c r="H75" s="16" t="s">
        <v>1</v>
      </c>
      <c r="J75" s="58">
        <f>SUM(L75:CN75)</f>
        <v>-108643621.39060706</v>
      </c>
      <c r="L75" s="15">
        <f>-CapexDA!L24</f>
        <v>0</v>
      </c>
      <c r="M75" s="15">
        <f>-CapexDA!M24</f>
        <v>-1000000</v>
      </c>
      <c r="N75" s="15">
        <f>-CapexDA!N24</f>
        <v>-2920090.2658089679</v>
      </c>
      <c r="O75" s="15">
        <f>-CapexDA!O24</f>
        <v>-2027806.6969018518</v>
      </c>
      <c r="P75" s="15">
        <f>-CapexDA!P24</f>
        <v>-2041854.6884708046</v>
      </c>
      <c r="Q75" s="15">
        <f>-CapexDA!Q24</f>
        <v>-1027999.9999999998</v>
      </c>
      <c r="R75" s="15">
        <f>-CapexDA!R24</f>
        <v>-1035121.6528453855</v>
      </c>
      <c r="S75" s="15">
        <f>-CapexDA!S24</f>
        <v>-1042292.6422075516</v>
      </c>
      <c r="T75" s="15">
        <f>-CapexDA!T24</f>
        <v>-1049513.3098739933</v>
      </c>
      <c r="U75" s="15">
        <f>-CapexDA!U24</f>
        <v>-1056783.9999999995</v>
      </c>
      <c r="V75" s="15">
        <f>-CapexDA!V24</f>
        <v>-1064105.059125056</v>
      </c>
      <c r="W75" s="15">
        <f>-CapexDA!W24</f>
        <v>-1071476.8361893627</v>
      </c>
      <c r="X75" s="15">
        <f>-CapexDA!X24</f>
        <v>-1078899.6825504648</v>
      </c>
      <c r="Y75" s="15">
        <f>-CapexDA!Y24</f>
        <v>-1086373.9519999993</v>
      </c>
      <c r="Z75" s="15">
        <f>-CapexDA!Z24</f>
        <v>-1093900.0007805575</v>
      </c>
      <c r="AA75" s="15">
        <f>-CapexDA!AA24</f>
        <v>-1101478.1876026648</v>
      </c>
      <c r="AB75" s="15">
        <f>-CapexDA!AB24</f>
        <v>-1109108.8736618778</v>
      </c>
      <c r="AC75" s="15">
        <f>-CapexDA!AC24</f>
        <v>-1116792.4226559992</v>
      </c>
      <c r="AD75" s="15">
        <f>-CapexDA!AD24</f>
        <v>-1124529.2008024128</v>
      </c>
      <c r="AE75" s="15">
        <f>-CapexDA!AE24</f>
        <v>-1132319.5768555391</v>
      </c>
      <c r="AF75" s="15">
        <f>-CapexDA!AF24</f>
        <v>-1140163.92212441</v>
      </c>
      <c r="AG75" s="15">
        <f>-CapexDA!AG24</f>
        <v>-1148062.6104903666</v>
      </c>
      <c r="AH75" s="15">
        <f>-CapexDA!AH24</f>
        <v>-1156016.01842488</v>
      </c>
      <c r="AI75" s="15">
        <f>-CapexDA!AI24</f>
        <v>-1164024.5250074938</v>
      </c>
      <c r="AJ75" s="15">
        <f>-CapexDA!AJ24</f>
        <v>-1172088.511943893</v>
      </c>
      <c r="AK75" s="15">
        <f>-CapexDA!AK24</f>
        <v>-1180208.3635840965</v>
      </c>
      <c r="AL75" s="15">
        <f>-CapexDA!AL24</f>
        <v>-1188384.4669407762</v>
      </c>
      <c r="AM75" s="15">
        <f>-CapexDA!AM24</f>
        <v>-1196617.2117077033</v>
      </c>
      <c r="AN75" s="15">
        <f>-CapexDA!AN24</f>
        <v>-1204906.9902783216</v>
      </c>
      <c r="AO75" s="15">
        <f>-CapexDA!AO24</f>
        <v>-1213254.1977644509</v>
      </c>
      <c r="AP75" s="15">
        <f>-CapexDA!AP24</f>
        <v>-1221659.2320151175</v>
      </c>
      <c r="AQ75" s="15">
        <f>-CapexDA!AQ24</f>
        <v>-1230122.4936355187</v>
      </c>
      <c r="AR75" s="15">
        <f>-CapexDA!AR24</f>
        <v>-1238644.3860061143</v>
      </c>
      <c r="AS75" s="15">
        <f>-CapexDA!AS24</f>
        <v>-1247225.3153018551</v>
      </c>
      <c r="AT75" s="15">
        <f>-CapexDA!AT24</f>
        <v>-1255865.6905115405</v>
      </c>
      <c r="AU75" s="15">
        <f>-CapexDA!AU24</f>
        <v>-1264565.9234573126</v>
      </c>
      <c r="AV75" s="15">
        <f>-CapexDA!AV24</f>
        <v>-1273326.428814285</v>
      </c>
      <c r="AW75" s="15">
        <f>-CapexDA!AW24</f>
        <v>-1282147.6241303065</v>
      </c>
      <c r="AX75" s="15">
        <f>-CapexDA!AX24</f>
        <v>-1291029.9298458633</v>
      </c>
      <c r="AY75" s="15">
        <f>-CapexDA!AY24</f>
        <v>-1299973.769314117</v>
      </c>
      <c r="AZ75" s="15">
        <f>-CapexDA!AZ24</f>
        <v>-1308979.5688210847</v>
      </c>
      <c r="BA75" s="15">
        <f>-CapexDA!BA24</f>
        <v>-1318047.7576059548</v>
      </c>
      <c r="BB75" s="15">
        <f>-CapexDA!BB24</f>
        <v>-1327178.7678815469</v>
      </c>
      <c r="BC75" s="15">
        <f>-CapexDA!BC24</f>
        <v>-1336373.034854912</v>
      </c>
      <c r="BD75" s="15">
        <f>-CapexDA!BD24</f>
        <v>-1345630.9967480747</v>
      </c>
      <c r="BE75" s="15">
        <f>-CapexDA!BE24</f>
        <v>-1354953.0948189211</v>
      </c>
      <c r="BF75" s="15">
        <f>-CapexDA!BF24</f>
        <v>-1364339.7733822297</v>
      </c>
      <c r="BG75" s="15">
        <f>-CapexDA!BG24</f>
        <v>-1373791.479830849</v>
      </c>
      <c r="BH75" s="15">
        <f>-CapexDA!BH24</f>
        <v>-1383308.6646570202</v>
      </c>
      <c r="BI75" s="15">
        <f>-CapexDA!BI24</f>
        <v>-1392891.7814738504</v>
      </c>
      <c r="BJ75" s="15">
        <f>-CapexDA!BJ24</f>
        <v>-1402541.2870369318</v>
      </c>
      <c r="BK75" s="15">
        <f>-CapexDA!BK24</f>
        <v>-1412257.6412661122</v>
      </c>
      <c r="BL75" s="15">
        <f>-CapexDA!BL24</f>
        <v>-1422041.3072674163</v>
      </c>
      <c r="BM75" s="15">
        <f>-CapexDA!BM24</f>
        <v>-1431892.7513551177</v>
      </c>
      <c r="BN75" s="15">
        <f>-CapexDA!BN24</f>
        <v>-1441812.4430739654</v>
      </c>
      <c r="BO75" s="15">
        <f>-CapexDA!BO24</f>
        <v>-1451800.8552215628</v>
      </c>
      <c r="BP75" s="15">
        <f>-CapexDA!BP24</f>
        <v>-1461858.4638709035</v>
      </c>
      <c r="BQ75" s="15">
        <f>-CapexDA!BQ24</f>
        <v>-1471985.7483930606</v>
      </c>
      <c r="BR75" s="15">
        <f>-CapexDA!BR24</f>
        <v>-1482183.1914800361</v>
      </c>
      <c r="BS75" s="15">
        <f>-CapexDA!BS24</f>
        <v>-1492451.2791677664</v>
      </c>
      <c r="BT75" s="15">
        <f>-CapexDA!BT24</f>
        <v>-1502790.5008592885</v>
      </c>
      <c r="BU75" s="15">
        <f>-CapexDA!BU24</f>
        <v>-1513201.3493480661</v>
      </c>
      <c r="BV75" s="15">
        <f>-CapexDA!BV24</f>
        <v>-1523684.3208414768</v>
      </c>
      <c r="BW75" s="15">
        <f>-CapexDA!BW24</f>
        <v>-1534239.9149844635</v>
      </c>
      <c r="BX75" s="15">
        <f>-CapexDA!BX24</f>
        <v>-1544868.6348833481</v>
      </c>
      <c r="BY75" s="15">
        <f>-CapexDA!BY24</f>
        <v>-1555570.9871298117</v>
      </c>
      <c r="BZ75" s="15">
        <f>-CapexDA!BZ24</f>
        <v>-1566347.4818250379</v>
      </c>
      <c r="CA75" s="15">
        <f>-CapexDA!CA24</f>
        <v>-1577198.6326040281</v>
      </c>
      <c r="CB75" s="15">
        <f>-CapexDA!CB24</f>
        <v>-1588124.9566600816</v>
      </c>
      <c r="CC75" s="15">
        <f>-CapexDA!CC24</f>
        <v>-1599126.9747694458</v>
      </c>
      <c r="CD75" s="15">
        <f>-CapexDA!CD24</f>
        <v>-1610205.2113161385</v>
      </c>
      <c r="CE75" s="15">
        <f>-CapexDA!CE24</f>
        <v>-1621360.1943169406</v>
      </c>
      <c r="CF75" s="15">
        <f>-CapexDA!CF24</f>
        <v>-1632592.4554465637</v>
      </c>
      <c r="CG75" s="15">
        <f>-CapexDA!CG24</f>
        <v>-1643902.53006299</v>
      </c>
      <c r="CH75" s="15">
        <f>-CapexDA!CH24</f>
        <v>-1655290.9572329898</v>
      </c>
      <c r="CI75" s="15">
        <f>-CapexDA!CI24</f>
        <v>-1666758.2797578145</v>
      </c>
      <c r="CJ75" s="15">
        <f>-CapexDA!CJ24</f>
        <v>-1678305.0441990667</v>
      </c>
      <c r="CK75" s="15">
        <f>-CapexDA!CK24</f>
        <v>-1689931.8009047529</v>
      </c>
      <c r="CL75" s="15">
        <f>-CapexDA!CL24</f>
        <v>-1701639.104035513</v>
      </c>
      <c r="CM75" s="15">
        <f>-CapexDA!CM24</f>
        <v>-1713427.5115910326</v>
      </c>
      <c r="CN75" s="98">
        <f>-CapexDA!CN24</f>
        <v>0</v>
      </c>
    </row>
    <row r="76" spans="1:92" ht="12.75" customHeight="1" x14ac:dyDescent="0.3">
      <c r="C76" s="17"/>
      <c r="D76" s="98" t="s">
        <v>238</v>
      </c>
      <c r="H76" s="16" t="s">
        <v>1</v>
      </c>
      <c r="J76" s="58">
        <f ca="1">SUM(L76:CN76)</f>
        <v>-259106943.43370986</v>
      </c>
      <c r="L76" s="104">
        <v>0</v>
      </c>
      <c r="M76" s="88">
        <f t="shared" ref="M76:AR76" si="217">-L56</f>
        <v>-120000</v>
      </c>
      <c r="N76" s="88">
        <f t="shared" ca="1" si="217"/>
        <v>-193117.60761599912</v>
      </c>
      <c r="O76" s="88">
        <f t="shared" ca="1" si="217"/>
        <v>-365253.5182425995</v>
      </c>
      <c r="P76" s="88">
        <f t="shared" ca="1" si="217"/>
        <v>-564714.33883369446</v>
      </c>
      <c r="Q76" s="88">
        <f t="shared" ca="1" si="217"/>
        <v>-672840.77262413222</v>
      </c>
      <c r="R76" s="88">
        <f t="shared" ca="1" si="217"/>
        <v>-694894.64162003028</v>
      </c>
      <c r="S76" s="88">
        <f t="shared" ca="1" si="217"/>
        <v>-839639.8086829891</v>
      </c>
      <c r="T76" s="88">
        <f t="shared" ca="1" si="217"/>
        <v>-1057767.8498547818</v>
      </c>
      <c r="U76" s="88">
        <f t="shared" ca="1" si="217"/>
        <v>-1147282.3883323101</v>
      </c>
      <c r="V76" s="88">
        <f t="shared" ca="1" si="217"/>
        <v>-1200875.1035191615</v>
      </c>
      <c r="W76" s="88">
        <f t="shared" ca="1" si="217"/>
        <v>-1281565.3723237962</v>
      </c>
      <c r="X76" s="88">
        <f t="shared" ca="1" si="217"/>
        <v>-1491021.490911091</v>
      </c>
      <c r="Y76" s="88">
        <f t="shared" ca="1" si="217"/>
        <v>-2014630.1511241479</v>
      </c>
      <c r="Z76" s="88">
        <f t="shared" ca="1" si="217"/>
        <v>-1947634.8234895393</v>
      </c>
      <c r="AA76" s="88">
        <f t="shared" ca="1" si="217"/>
        <v>-1983838.6889935161</v>
      </c>
      <c r="AB76" s="88">
        <f t="shared" ca="1" si="217"/>
        <v>-2107199.8594032004</v>
      </c>
      <c r="AC76" s="88">
        <f t="shared" ca="1" si="217"/>
        <v>-2112613.0440974659</v>
      </c>
      <c r="AD76" s="88">
        <f t="shared" ca="1" si="217"/>
        <v>-2048811.5476471467</v>
      </c>
      <c r="AE76" s="88">
        <f t="shared" ca="1" si="217"/>
        <v>-2091005.5004598883</v>
      </c>
      <c r="AF76" s="88">
        <f t="shared" ca="1" si="217"/>
        <v>-2236765.5686535831</v>
      </c>
      <c r="AG76" s="88">
        <f t="shared" ca="1" si="217"/>
        <v>-2246618.7078429889</v>
      </c>
      <c r="AH76" s="88">
        <f t="shared" ca="1" si="217"/>
        <v>-2170868.7041925965</v>
      </c>
      <c r="AI76" s="88">
        <f t="shared" ca="1" si="217"/>
        <v>-2207686.9818061958</v>
      </c>
      <c r="AJ76" s="88">
        <f t="shared" ca="1" si="217"/>
        <v>-2365333.7482804228</v>
      </c>
      <c r="AK76" s="88">
        <f t="shared" ca="1" si="217"/>
        <v>-2367305.6137726703</v>
      </c>
      <c r="AL76" s="88">
        <f t="shared" ca="1" si="217"/>
        <v>-2331099.8555512144</v>
      </c>
      <c r="AM76" s="88">
        <f t="shared" ca="1" si="217"/>
        <v>-2333942.5732593467</v>
      </c>
      <c r="AN76" s="88">
        <f t="shared" ca="1" si="217"/>
        <v>-2483714.6953642522</v>
      </c>
      <c r="AO76" s="88">
        <f t="shared" ca="1" si="217"/>
        <v>-2488068.687818191</v>
      </c>
      <c r="AP76" s="88">
        <f t="shared" ca="1" si="217"/>
        <v>-2411918.0933219618</v>
      </c>
      <c r="AQ76" s="88">
        <f t="shared" ca="1" si="217"/>
        <v>-2456841.8803572268</v>
      </c>
      <c r="AR76" s="88">
        <f t="shared" ca="1" si="217"/>
        <v>-2632250.6893659062</v>
      </c>
      <c r="AS76" s="88">
        <f t="shared" ref="AS76:BX76" ca="1" si="218">-AR56</f>
        <v>-2639777.4468163638</v>
      </c>
      <c r="AT76" s="88">
        <f t="shared" ca="1" si="218"/>
        <v>-2560894.6619389872</v>
      </c>
      <c r="AU76" s="88">
        <f t="shared" ca="1" si="218"/>
        <v>-2610930.1861690762</v>
      </c>
      <c r="AV76" s="88">
        <f t="shared" ca="1" si="218"/>
        <v>-2784519.3627624079</v>
      </c>
      <c r="AW76" s="88">
        <f t="shared" ca="1" si="218"/>
        <v>-2795104.6077768565</v>
      </c>
      <c r="AX76" s="88">
        <f t="shared" ca="1" si="218"/>
        <v>-2715811.3085663728</v>
      </c>
      <c r="AY76" s="88">
        <f t="shared" ca="1" si="218"/>
        <v>-2770951.0382879651</v>
      </c>
      <c r="AZ76" s="88">
        <f t="shared" ca="1" si="218"/>
        <v>-2971018.7651483575</v>
      </c>
      <c r="BA76" s="88">
        <f t="shared" ca="1" si="218"/>
        <v>-2985924.3459402556</v>
      </c>
      <c r="BB76" s="88">
        <f t="shared" ca="1" si="218"/>
        <v>-2954330.7953701937</v>
      </c>
      <c r="BC76" s="88">
        <f t="shared" ca="1" si="218"/>
        <v>-2970537.0217531291</v>
      </c>
      <c r="BD76" s="88">
        <f t="shared" ca="1" si="218"/>
        <v>-3189575.9671160453</v>
      </c>
      <c r="BE76" s="88">
        <f t="shared" ca="1" si="218"/>
        <v>-3209546.7913021818</v>
      </c>
      <c r="BF76" s="88">
        <f t="shared" ca="1" si="218"/>
        <v>-3131859.9319296246</v>
      </c>
      <c r="BG76" s="88">
        <f t="shared" ca="1" si="218"/>
        <v>-3201762.4340758054</v>
      </c>
      <c r="BH76" s="88">
        <f t="shared" ca="1" si="218"/>
        <v>-3415998.189019592</v>
      </c>
      <c r="BI76" s="88">
        <f t="shared" ca="1" si="218"/>
        <v>-3441006.491740718</v>
      </c>
      <c r="BJ76" s="88">
        <f t="shared" ca="1" si="218"/>
        <v>-3362133.2790368637</v>
      </c>
      <c r="BK76" s="88">
        <f t="shared" ca="1" si="218"/>
        <v>-3440096.3832000187</v>
      </c>
      <c r="BL76" s="88">
        <f t="shared" ca="1" si="218"/>
        <v>-3695270.7959421985</v>
      </c>
      <c r="BM76" s="88">
        <f t="shared" ca="1" si="218"/>
        <v>-3727246.8077878752</v>
      </c>
      <c r="BN76" s="88">
        <f t="shared" ca="1" si="218"/>
        <v>-3649191.1983950278</v>
      </c>
      <c r="BO76" s="88">
        <f t="shared" ca="1" si="218"/>
        <v>-3737835.398085223</v>
      </c>
      <c r="BP76" s="88">
        <f t="shared" ca="1" si="218"/>
        <v>-4001820.1793219298</v>
      </c>
      <c r="BQ76" s="88">
        <f t="shared" ca="1" si="218"/>
        <v>-4041234.2920882734</v>
      </c>
      <c r="BR76" s="88">
        <f t="shared" ca="1" si="218"/>
        <v>-4022684.9888533228</v>
      </c>
      <c r="BS76" s="88">
        <f t="shared" ca="1" si="218"/>
        <v>-4064589.5317936582</v>
      </c>
      <c r="BT76" s="88">
        <f t="shared" ca="1" si="218"/>
        <v>-4381661.373147808</v>
      </c>
      <c r="BU76" s="88">
        <f t="shared" ca="1" si="218"/>
        <v>-4431197.8080692049</v>
      </c>
      <c r="BV76" s="88">
        <f t="shared" ca="1" si="218"/>
        <v>-4353834.5101071382</v>
      </c>
      <c r="BW76" s="88">
        <f t="shared" ca="1" si="218"/>
        <v>-4469275.2936619632</v>
      </c>
      <c r="BX76" s="88">
        <f t="shared" ca="1" si="218"/>
        <v>-4809361.8980355272</v>
      </c>
      <c r="BY76" s="88">
        <f t="shared" ref="BY76:CN76" ca="1" si="219">-BX56</f>
        <v>-4870455.655630609</v>
      </c>
      <c r="BZ76" s="88">
        <f t="shared" ca="1" si="219"/>
        <v>-4796333.5499259261</v>
      </c>
      <c r="CA76" s="88">
        <f t="shared" ca="1" si="219"/>
        <v>-4928954.652214909</v>
      </c>
      <c r="CB76" s="88">
        <f t="shared" ca="1" si="219"/>
        <v>-5301143.6262182882</v>
      </c>
      <c r="CC76" s="88">
        <f t="shared" ca="1" si="219"/>
        <v>-5375501.1259521954</v>
      </c>
      <c r="CD76" s="88">
        <f t="shared" ca="1" si="219"/>
        <v>-5304288.630030157</v>
      </c>
      <c r="CE76" s="88">
        <f t="shared" ca="1" si="219"/>
        <v>-5456815.3623203551</v>
      </c>
      <c r="CF76" s="88">
        <f t="shared" ca="1" si="219"/>
        <v>-5879704.1064796289</v>
      </c>
      <c r="CG76" s="88">
        <f t="shared" ca="1" si="219"/>
        <v>-5970151.9846850792</v>
      </c>
      <c r="CH76" s="88">
        <f t="shared" ca="1" si="219"/>
        <v>-5979344.5276937736</v>
      </c>
      <c r="CI76" s="88">
        <f t="shared" ca="1" si="219"/>
        <v>-6071277.4525091834</v>
      </c>
      <c r="CJ76" s="88">
        <f t="shared" ca="1" si="219"/>
        <v>-6564414.6609494686</v>
      </c>
      <c r="CK76" s="88">
        <f t="shared" ca="1" si="219"/>
        <v>-6671165.4224693105</v>
      </c>
      <c r="CL76" s="88">
        <f t="shared" ca="1" si="219"/>
        <v>-6603340.8323941827</v>
      </c>
      <c r="CM76" s="88">
        <f t="shared" ca="1" si="219"/>
        <v>-6805021.7488192534</v>
      </c>
      <c r="CN76" s="88">
        <f t="shared" ca="1" si="219"/>
        <v>-7324924.7048154753</v>
      </c>
    </row>
    <row r="77" spans="1:92" ht="12.75" customHeight="1" x14ac:dyDescent="0.3">
      <c r="C77" s="17"/>
      <c r="D77" s="94" t="s">
        <v>222</v>
      </c>
      <c r="H77" s="16" t="s">
        <v>1</v>
      </c>
      <c r="J77" s="50">
        <f t="shared" ref="J77:AQ77" ca="1" si="220">SUM(J71:J76)</f>
        <v>916327620.82856536</v>
      </c>
      <c r="L77" s="50">
        <f t="shared" si="220"/>
        <v>0</v>
      </c>
      <c r="M77" s="50">
        <f t="shared" si="220"/>
        <v>8085823.550160002</v>
      </c>
      <c r="N77" s="50">
        <f t="shared" ca="1" si="220"/>
        <v>6541283.5397306988</v>
      </c>
      <c r="O77" s="50">
        <f t="shared" ca="1" si="220"/>
        <v>7767245.7576670703</v>
      </c>
      <c r="P77" s="50">
        <f t="shared" ca="1" si="220"/>
        <v>7622780.5358395027</v>
      </c>
      <c r="Q77" s="50">
        <f t="shared" ca="1" si="220"/>
        <v>8251976.6115047643</v>
      </c>
      <c r="R77" s="50">
        <f t="shared" ca="1" si="220"/>
        <v>8429845.4874402415</v>
      </c>
      <c r="S77" s="50">
        <f t="shared" ca="1" si="220"/>
        <v>8767935.9038132057</v>
      </c>
      <c r="T77" s="50">
        <f t="shared" ca="1" si="220"/>
        <v>8576180.6967755239</v>
      </c>
      <c r="U77" s="50">
        <f t="shared" ca="1" si="220"/>
        <v>8333684.0857213559</v>
      </c>
      <c r="V77" s="50">
        <f t="shared" ca="1" si="220"/>
        <v>8286863.4475676501</v>
      </c>
      <c r="W77" s="50">
        <f t="shared" ca="1" si="220"/>
        <v>8730761.4481227044</v>
      </c>
      <c r="X77" s="50">
        <f t="shared" ca="1" si="220"/>
        <v>13181643.529087378</v>
      </c>
      <c r="Y77" s="50">
        <f t="shared" ca="1" si="220"/>
        <v>18054042.998891842</v>
      </c>
      <c r="Z77" s="50">
        <f t="shared" ca="1" si="220"/>
        <v>23176778.238555372</v>
      </c>
      <c r="AA77" s="50">
        <f t="shared" ca="1" si="220"/>
        <v>28760646.205490459</v>
      </c>
      <c r="AB77" s="50">
        <f t="shared" ca="1" si="220"/>
        <v>34012856.227714181</v>
      </c>
      <c r="AC77" s="50">
        <f t="shared" ca="1" si="220"/>
        <v>39028629.487925805</v>
      </c>
      <c r="AD77" s="50">
        <f t="shared" ca="1" si="220"/>
        <v>44468473.692238048</v>
      </c>
      <c r="AE77" s="50">
        <f t="shared" ca="1" si="220"/>
        <v>50347358.822455443</v>
      </c>
      <c r="AF77" s="50">
        <f t="shared" ca="1" si="220"/>
        <v>50935950.507535025</v>
      </c>
      <c r="AG77" s="50">
        <f t="shared" ca="1" si="220"/>
        <v>49540343.15356151</v>
      </c>
      <c r="AH77" s="50">
        <f t="shared" ca="1" si="220"/>
        <v>48662250.117106281</v>
      </c>
      <c r="AI77" s="50">
        <f t="shared" ca="1" si="220"/>
        <v>48255771.571447216</v>
      </c>
      <c r="AJ77" s="50">
        <f t="shared" ca="1" si="220"/>
        <v>47187729.096128896</v>
      </c>
      <c r="AK77" s="50">
        <f t="shared" ca="1" si="220"/>
        <v>45962964.134611025</v>
      </c>
      <c r="AL77" s="50">
        <f t="shared" ca="1" si="220"/>
        <v>44879078.634486735</v>
      </c>
      <c r="AM77" s="50">
        <f t="shared" ca="1" si="220"/>
        <v>44364896.268560268</v>
      </c>
      <c r="AN77" s="50">
        <f t="shared" ca="1" si="220"/>
        <v>43286858.91013281</v>
      </c>
      <c r="AO77" s="50">
        <f t="shared" ca="1" si="220"/>
        <v>41863993.589853525</v>
      </c>
      <c r="AP77" s="50">
        <f t="shared" ca="1" si="220"/>
        <v>40944623.474084847</v>
      </c>
      <c r="AQ77" s="50">
        <f t="shared" ca="1" si="220"/>
        <v>40532832.252721027</v>
      </c>
      <c r="AR77" s="50">
        <f t="shared" ref="AR77:BW77" ca="1" si="221">SUM(AR71:AR76)</f>
        <v>39466472.321073979</v>
      </c>
      <c r="AS77" s="50">
        <f t="shared" ca="1" si="221"/>
        <v>38002505.4828832</v>
      </c>
      <c r="AT77" s="50">
        <f t="shared" ca="1" si="221"/>
        <v>37101292.579248242</v>
      </c>
      <c r="AU77" s="50">
        <f t="shared" ca="1" si="221"/>
        <v>36675245.083010674</v>
      </c>
      <c r="AV77" s="50">
        <f t="shared" ca="1" si="221"/>
        <v>35619158.067656443</v>
      </c>
      <c r="AW77" s="50">
        <f t="shared" ca="1" si="221"/>
        <v>34143605.289000772</v>
      </c>
      <c r="AX77" s="50">
        <f t="shared" ca="1" si="221"/>
        <v>33259609.756984044</v>
      </c>
      <c r="AY77" s="50">
        <f t="shared" ca="1" si="221"/>
        <v>32933879.920014594</v>
      </c>
      <c r="AZ77" s="50">
        <f t="shared" ca="1" si="221"/>
        <v>31892543.776177004</v>
      </c>
      <c r="BA77" s="50">
        <f t="shared" ca="1" si="221"/>
        <v>30641289.50637906</v>
      </c>
      <c r="BB77" s="50">
        <f t="shared" ca="1" si="221"/>
        <v>29603877.523777001</v>
      </c>
      <c r="BC77" s="50">
        <f t="shared" ca="1" si="221"/>
        <v>29349957.212120261</v>
      </c>
      <c r="BD77" s="50">
        <f t="shared" ca="1" si="221"/>
        <v>28326386.271984823</v>
      </c>
      <c r="BE77" s="50">
        <f t="shared" ca="1" si="221"/>
        <v>26893909.43217073</v>
      </c>
      <c r="BF77" s="50">
        <f t="shared" ca="1" si="221"/>
        <v>26063003.775367536</v>
      </c>
      <c r="BG77" s="50">
        <f t="shared" ca="1" si="221"/>
        <v>25784197.054755203</v>
      </c>
      <c r="BH77" s="50">
        <f t="shared" ca="1" si="221"/>
        <v>24777948.356562559</v>
      </c>
      <c r="BI77" s="50">
        <f t="shared" ca="1" si="221"/>
        <v>23313057.463835977</v>
      </c>
      <c r="BJ77" s="50">
        <f t="shared" ca="1" si="221"/>
        <v>22510244.997503538</v>
      </c>
      <c r="BK77" s="50">
        <f t="shared" ca="1" si="221"/>
        <v>22387108.939670507</v>
      </c>
      <c r="BL77" s="50">
        <f t="shared" ca="1" si="221"/>
        <v>21405287.829719398</v>
      </c>
      <c r="BM77" s="50">
        <f t="shared" ca="1" si="221"/>
        <v>19951405.777165603</v>
      </c>
      <c r="BN77" s="50">
        <f t="shared" ca="1" si="221"/>
        <v>19187030.021881621</v>
      </c>
      <c r="BO77" s="50">
        <f t="shared" ca="1" si="221"/>
        <v>19089400.768083457</v>
      </c>
      <c r="BP77" s="50">
        <f t="shared" ca="1" si="221"/>
        <v>18133549.074284881</v>
      </c>
      <c r="BQ77" s="50">
        <f t="shared" ca="1" si="221"/>
        <v>16904925.13730393</v>
      </c>
      <c r="BR77" s="50">
        <f t="shared" ca="1" si="221"/>
        <v>15956909.932589257</v>
      </c>
      <c r="BS77" s="50">
        <f t="shared" ca="1" si="221"/>
        <v>16063725.673930611</v>
      </c>
      <c r="BT77" s="50">
        <f t="shared" ca="1" si="221"/>
        <v>15146058.37909276</v>
      </c>
      <c r="BU77" s="50">
        <f t="shared" ca="1" si="221"/>
        <v>14686351.224657895</v>
      </c>
      <c r="BV77" s="50">
        <f t="shared" ca="1" si="221"/>
        <v>15279658.467497252</v>
      </c>
      <c r="BW77" s="50">
        <f t="shared" ca="1" si="221"/>
        <v>16488299.761766039</v>
      </c>
      <c r="BX77" s="50">
        <f t="shared" ref="BX77:CN77" ca="1" si="222">SUM(BX71:BX76)</f>
        <v>16484037.854316846</v>
      </c>
      <c r="BY77" s="50">
        <f t="shared" ca="1" si="222"/>
        <v>16103805.553525837</v>
      </c>
      <c r="BZ77" s="50">
        <f t="shared" ca="1" si="222"/>
        <v>16686957.735345244</v>
      </c>
      <c r="CA77" s="50">
        <f t="shared" ca="1" si="222"/>
        <v>17998859.059382938</v>
      </c>
      <c r="CB77" s="50">
        <f t="shared" ca="1" si="222"/>
        <v>18032218.392679371</v>
      </c>
      <c r="CC77" s="50">
        <f t="shared" ca="1" si="222"/>
        <v>17629969.058078155</v>
      </c>
      <c r="CD77" s="50">
        <f t="shared" ca="1" si="222"/>
        <v>18310553.09724699</v>
      </c>
      <c r="CE77" s="50">
        <f t="shared" ca="1" si="222"/>
        <v>19809095.229041256</v>
      </c>
      <c r="CF77" s="50">
        <f t="shared" ca="1" si="222"/>
        <v>19865625.540976699</v>
      </c>
      <c r="CG77" s="50">
        <f t="shared" ca="1" si="222"/>
        <v>19839212.422249097</v>
      </c>
      <c r="CH77" s="50">
        <f t="shared" ca="1" si="222"/>
        <v>20184677.034486454</v>
      </c>
      <c r="CI77" s="50">
        <f t="shared" ca="1" si="222"/>
        <v>22004553.926063713</v>
      </c>
      <c r="CJ77" s="50">
        <f t="shared" ca="1" si="222"/>
        <v>22304692.152136575</v>
      </c>
      <c r="CK77" s="50">
        <f t="shared" ca="1" si="222"/>
        <v>21935406.639650926</v>
      </c>
      <c r="CL77" s="50">
        <f t="shared" ca="1" si="222"/>
        <v>22598267.724966299</v>
      </c>
      <c r="CM77" s="50">
        <f t="shared" ca="1" si="222"/>
        <v>24460659.583845906</v>
      </c>
      <c r="CN77" s="50">
        <f t="shared" ca="1" si="222"/>
        <v>26568362.926046453</v>
      </c>
    </row>
    <row r="78" spans="1:92" ht="12.75" customHeight="1" x14ac:dyDescent="0.3">
      <c r="C78" s="17"/>
      <c r="D78" s="75"/>
      <c r="H78" s="16"/>
      <c r="J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</row>
    <row r="79" spans="1:92" ht="12.75" customHeight="1" x14ac:dyDescent="0.3">
      <c r="C79" s="17"/>
      <c r="D79" s="92" t="s">
        <v>223</v>
      </c>
      <c r="H79" s="16" t="s">
        <v>1</v>
      </c>
      <c r="J79" s="58">
        <f ca="1">SUM(L79:CN79)</f>
        <v>-39811836.278326131</v>
      </c>
      <c r="L79" s="15">
        <f>-Debt!L21</f>
        <v>0</v>
      </c>
      <c r="M79" s="15">
        <f>-Debt!M21</f>
        <v>-1500000</v>
      </c>
      <c r="N79" s="15">
        <f>-Debt!N21</f>
        <v>-1458780.7497354599</v>
      </c>
      <c r="O79" s="15">
        <f ca="1">-Debt!O21</f>
        <v>-1434311.757577982</v>
      </c>
      <c r="P79" s="15">
        <f ca="1">-Debt!P21</f>
        <v>-1391233.3004917626</v>
      </c>
      <c r="Q79" s="15">
        <f ca="1">-Debt!Q21</f>
        <v>-1346857.0977295071</v>
      </c>
      <c r="R79" s="15">
        <f ca="1">-Debt!R21</f>
        <v>-1290603.5025211994</v>
      </c>
      <c r="S79" s="15">
        <f ca="1">-Debt!S21</f>
        <v>-1228119.632959991</v>
      </c>
      <c r="T79" s="15">
        <f ca="1">-Debt!T21</f>
        <v>-1156857.958831761</v>
      </c>
      <c r="U79" s="15">
        <f ca="1">-Debt!U21</f>
        <v>-1065382.609816062</v>
      </c>
      <c r="V79" s="15">
        <f ca="1">-Debt!V21</f>
        <v>-976059.31378441153</v>
      </c>
      <c r="W79" s="15">
        <f ca="1">-Debt!W21</f>
        <v>-886130.35487800045</v>
      </c>
      <c r="X79" s="15">
        <f ca="1">-Debt!X21</f>
        <v>-854999.99999999988</v>
      </c>
      <c r="Y79" s="15">
        <f ca="1">-Debt!Y21</f>
        <v>-840749.99999999988</v>
      </c>
      <c r="Z79" s="15">
        <f ca="1">-Debt!Z21</f>
        <v>-826499.99999999988</v>
      </c>
      <c r="AA79" s="15">
        <f ca="1">-Debt!AA21</f>
        <v>-812249.99999999988</v>
      </c>
      <c r="AB79" s="15">
        <f ca="1">-Debt!AB21</f>
        <v>-797999.99999999988</v>
      </c>
      <c r="AC79" s="15">
        <f ca="1">-Debt!AC21</f>
        <v>-783749.99999999988</v>
      </c>
      <c r="AD79" s="15">
        <f ca="1">-Debt!AD21</f>
        <v>-769499.99999999988</v>
      </c>
      <c r="AE79" s="15">
        <f ca="1">-Debt!AE21</f>
        <v>-755249.99999999988</v>
      </c>
      <c r="AF79" s="15">
        <f ca="1">-Debt!AF21</f>
        <v>-740999.99999999988</v>
      </c>
      <c r="AG79" s="15">
        <f ca="1">-Debt!AG21</f>
        <v>-726749.99999999988</v>
      </c>
      <c r="AH79" s="15">
        <f ca="1">-Debt!AH21</f>
        <v>-712499.99999999988</v>
      </c>
      <c r="AI79" s="15">
        <f ca="1">-Debt!AI21</f>
        <v>-698249.99999999988</v>
      </c>
      <c r="AJ79" s="15">
        <f ca="1">-Debt!AJ21</f>
        <v>-683999.99999999988</v>
      </c>
      <c r="AK79" s="15">
        <f ca="1">-Debt!AK21</f>
        <v>-669750</v>
      </c>
      <c r="AL79" s="15">
        <f ca="1">-Debt!AL21</f>
        <v>-655500</v>
      </c>
      <c r="AM79" s="15">
        <f ca="1">-Debt!AM21</f>
        <v>-641250</v>
      </c>
      <c r="AN79" s="15">
        <f ca="1">-Debt!AN21</f>
        <v>-627000</v>
      </c>
      <c r="AO79" s="15">
        <f ca="1">-Debt!AO21</f>
        <v>-612750</v>
      </c>
      <c r="AP79" s="15">
        <f ca="1">-Debt!AP21</f>
        <v>-598500</v>
      </c>
      <c r="AQ79" s="15">
        <f ca="1">-Debt!AQ21</f>
        <v>-584250</v>
      </c>
      <c r="AR79" s="15">
        <f ca="1">-Debt!AR21</f>
        <v>-570000</v>
      </c>
      <c r="AS79" s="15">
        <f ca="1">-Debt!AS21</f>
        <v>-555750</v>
      </c>
      <c r="AT79" s="15">
        <f ca="1">-Debt!AT21</f>
        <v>-541500</v>
      </c>
      <c r="AU79" s="15">
        <f ca="1">-Debt!AU21</f>
        <v>-527250</v>
      </c>
      <c r="AV79" s="15">
        <f ca="1">-Debt!AV21</f>
        <v>-512999.99999999994</v>
      </c>
      <c r="AW79" s="15">
        <f ca="1">-Debt!AW21</f>
        <v>-498749.99999999994</v>
      </c>
      <c r="AX79" s="15">
        <f ca="1">-Debt!AX21</f>
        <v>-484499.99999999994</v>
      </c>
      <c r="AY79" s="15">
        <f ca="1">-Debt!AY21</f>
        <v>-470249.99999999994</v>
      </c>
      <c r="AZ79" s="15">
        <f ca="1">-Debt!AZ21</f>
        <v>-455999.99999999994</v>
      </c>
      <c r="BA79" s="15">
        <f ca="1">-Debt!BA21</f>
        <v>-441749.99999999994</v>
      </c>
      <c r="BB79" s="15">
        <f ca="1">-Debt!BB21</f>
        <v>-427499.99999999994</v>
      </c>
      <c r="BC79" s="15">
        <f ca="1">-Debt!BC21</f>
        <v>-413249.99999999994</v>
      </c>
      <c r="BD79" s="15">
        <f ca="1">-Debt!BD21</f>
        <v>-398999.99999999994</v>
      </c>
      <c r="BE79" s="15">
        <f ca="1">-Debt!BE21</f>
        <v>-384749.99999999994</v>
      </c>
      <c r="BF79" s="15">
        <f ca="1">-Debt!BF21</f>
        <v>-370499.99999999994</v>
      </c>
      <c r="BG79" s="15">
        <f ca="1">-Debt!BG21</f>
        <v>-356249.99999999994</v>
      </c>
      <c r="BH79" s="15">
        <f ca="1">-Debt!BH21</f>
        <v>-341999.99999999994</v>
      </c>
      <c r="BI79" s="15">
        <f ca="1">-Debt!BI21</f>
        <v>-327750</v>
      </c>
      <c r="BJ79" s="15">
        <f ca="1">-Debt!BJ21</f>
        <v>-313500</v>
      </c>
      <c r="BK79" s="15">
        <f ca="1">-Debt!BK21</f>
        <v>-299250</v>
      </c>
      <c r="BL79" s="15">
        <f ca="1">-Debt!BL21</f>
        <v>-285000</v>
      </c>
      <c r="BM79" s="15">
        <f ca="1">-Debt!BM21</f>
        <v>-270750</v>
      </c>
      <c r="BN79" s="15">
        <f ca="1">-Debt!BN21</f>
        <v>-256499.99999999997</v>
      </c>
      <c r="BO79" s="15">
        <f ca="1">-Debt!BO21</f>
        <v>-242249.99999999997</v>
      </c>
      <c r="BP79" s="15">
        <f ca="1">-Debt!BP21</f>
        <v>-227999.99999999997</v>
      </c>
      <c r="BQ79" s="15">
        <f ca="1">-Debt!BQ21</f>
        <v>-213749.99999999997</v>
      </c>
      <c r="BR79" s="15">
        <f ca="1">-Debt!BR21</f>
        <v>-199499.99999999997</v>
      </c>
      <c r="BS79" s="15">
        <f ca="1">-Debt!BS21</f>
        <v>-185249.99999999997</v>
      </c>
      <c r="BT79" s="15">
        <f ca="1">-Debt!BT21</f>
        <v>-170999.99999999997</v>
      </c>
      <c r="BU79" s="15">
        <f ca="1">-Debt!BU21</f>
        <v>-156750</v>
      </c>
      <c r="BV79" s="15">
        <f ca="1">-Debt!BV21</f>
        <v>-142500</v>
      </c>
      <c r="BW79" s="15">
        <f ca="1">-Debt!BW21</f>
        <v>-128249.99999999999</v>
      </c>
      <c r="BX79" s="15">
        <f ca="1">-Debt!BX21</f>
        <v>-113999.99999999999</v>
      </c>
      <c r="BY79" s="15">
        <f ca="1">-Debt!BY21</f>
        <v>-99749.999999999985</v>
      </c>
      <c r="BZ79" s="15">
        <f ca="1">-Debt!BZ21</f>
        <v>-85499.999999999985</v>
      </c>
      <c r="CA79" s="15">
        <f ca="1">-Debt!CA21</f>
        <v>-71250</v>
      </c>
      <c r="CB79" s="15">
        <f ca="1">-Debt!CB21</f>
        <v>-56999.999999999993</v>
      </c>
      <c r="CC79" s="15">
        <f ca="1">-Debt!CC21</f>
        <v>-42749.999999999993</v>
      </c>
      <c r="CD79" s="15">
        <f ca="1">-Debt!CD21</f>
        <v>-28499.999999999996</v>
      </c>
      <c r="CE79" s="15">
        <f ca="1">-Debt!CE21</f>
        <v>-14249.999999999998</v>
      </c>
      <c r="CF79" s="15">
        <f ca="1">-Debt!CF21</f>
        <v>0</v>
      </c>
      <c r="CG79" s="15">
        <f ca="1">-Debt!CG21</f>
        <v>0</v>
      </c>
      <c r="CH79" s="15">
        <f ca="1">-Debt!CH21</f>
        <v>0</v>
      </c>
      <c r="CI79" s="15">
        <f ca="1">-Debt!CI21</f>
        <v>0</v>
      </c>
      <c r="CJ79" s="15">
        <f ca="1">-Debt!CJ21</f>
        <v>0</v>
      </c>
      <c r="CK79" s="15">
        <f ca="1">-Debt!CK21</f>
        <v>0</v>
      </c>
      <c r="CL79" s="15">
        <f ca="1">-Debt!CL21</f>
        <v>0</v>
      </c>
      <c r="CM79" s="15">
        <f ca="1">-Debt!CM21</f>
        <v>0</v>
      </c>
      <c r="CN79" s="15">
        <f ca="1">-Debt!CN21</f>
        <v>0</v>
      </c>
    </row>
    <row r="80" spans="1:92" ht="12.75" customHeight="1" x14ac:dyDescent="0.3">
      <c r="C80" s="17"/>
      <c r="D80" s="92" t="s">
        <v>224</v>
      </c>
      <c r="H80" s="16" t="s">
        <v>1</v>
      </c>
      <c r="J80" s="58">
        <f ca="1">SUM(L80:CN80)</f>
        <v>-71000000</v>
      </c>
      <c r="L80" s="15">
        <f>Debt!L14</f>
        <v>0</v>
      </c>
      <c r="M80" s="15">
        <f>Debt!M14</f>
        <v>-1000000</v>
      </c>
      <c r="N80" s="15">
        <f>Debt!N14</f>
        <v>-1000000</v>
      </c>
      <c r="O80" s="15">
        <f ca="1">Debt!O14</f>
        <v>-1000000</v>
      </c>
      <c r="P80" s="15">
        <f ca="1">Debt!P14</f>
        <v>-1000000</v>
      </c>
      <c r="Q80" s="15">
        <f ca="1">Debt!Q14</f>
        <v>-1000000</v>
      </c>
      <c r="R80" s="15">
        <f ca="1">Debt!R14</f>
        <v>-1000000</v>
      </c>
      <c r="S80" s="15">
        <f ca="1">Debt!S14</f>
        <v>-1000000</v>
      </c>
      <c r="T80" s="15">
        <f ca="1">Debt!T14</f>
        <v>-1000000</v>
      </c>
      <c r="U80" s="15">
        <f ca="1">Debt!U14</f>
        <v>-1000000</v>
      </c>
      <c r="V80" s="15">
        <f ca="1">Debt!V14</f>
        <v>-1000000</v>
      </c>
      <c r="W80" s="15">
        <f ca="1">Debt!W14</f>
        <v>-1000000</v>
      </c>
      <c r="X80" s="15">
        <f ca="1">Debt!X14</f>
        <v>-1000000</v>
      </c>
      <c r="Y80" s="15">
        <f ca="1">Debt!Y14</f>
        <v>-1000000</v>
      </c>
      <c r="Z80" s="15">
        <f ca="1">Debt!Z14</f>
        <v>-1000000</v>
      </c>
      <c r="AA80" s="15">
        <f ca="1">Debt!AA14</f>
        <v>-1000000</v>
      </c>
      <c r="AB80" s="15">
        <f ca="1">Debt!AB14</f>
        <v>-1000000</v>
      </c>
      <c r="AC80" s="15">
        <f ca="1">Debt!AC14</f>
        <v>-1000000</v>
      </c>
      <c r="AD80" s="15">
        <f ca="1">Debt!AD14</f>
        <v>-1000000</v>
      </c>
      <c r="AE80" s="15">
        <f ca="1">Debt!AE14</f>
        <v>-1000000</v>
      </c>
      <c r="AF80" s="15">
        <f ca="1">Debt!AF14</f>
        <v>-1000000</v>
      </c>
      <c r="AG80" s="15">
        <f ca="1">Debt!AG14</f>
        <v>-1000000</v>
      </c>
      <c r="AH80" s="15">
        <f ca="1">Debt!AH14</f>
        <v>-1000000</v>
      </c>
      <c r="AI80" s="15">
        <f ca="1">Debt!AI14</f>
        <v>-1000000</v>
      </c>
      <c r="AJ80" s="15">
        <f ca="1">Debt!AJ14</f>
        <v>-1000000</v>
      </c>
      <c r="AK80" s="15">
        <f ca="1">Debt!AK14</f>
        <v>-1000000</v>
      </c>
      <c r="AL80" s="15">
        <f ca="1">Debt!AL14</f>
        <v>-1000000</v>
      </c>
      <c r="AM80" s="15">
        <f ca="1">Debt!AM14</f>
        <v>-1000000</v>
      </c>
      <c r="AN80" s="15">
        <f ca="1">Debt!AN14</f>
        <v>-1000000</v>
      </c>
      <c r="AO80" s="15">
        <f ca="1">Debt!AO14</f>
        <v>-1000000</v>
      </c>
      <c r="AP80" s="15">
        <f ca="1">Debt!AP14</f>
        <v>-1000000</v>
      </c>
      <c r="AQ80" s="15">
        <f ca="1">Debt!AQ14</f>
        <v>-1000000</v>
      </c>
      <c r="AR80" s="15">
        <f ca="1">Debt!AR14</f>
        <v>-1000000</v>
      </c>
      <c r="AS80" s="15">
        <f ca="1">Debt!AS14</f>
        <v>-1000000</v>
      </c>
      <c r="AT80" s="15">
        <f ca="1">Debt!AT14</f>
        <v>-1000000</v>
      </c>
      <c r="AU80" s="15">
        <f ca="1">Debt!AU14</f>
        <v>-1000000</v>
      </c>
      <c r="AV80" s="15">
        <f ca="1">Debt!AV14</f>
        <v>-1000000</v>
      </c>
      <c r="AW80" s="15">
        <f ca="1">Debt!AW14</f>
        <v>-1000000</v>
      </c>
      <c r="AX80" s="15">
        <f ca="1">Debt!AX14</f>
        <v>-1000000</v>
      </c>
      <c r="AY80" s="15">
        <f ca="1">Debt!AY14</f>
        <v>-1000000</v>
      </c>
      <c r="AZ80" s="15">
        <f ca="1">Debt!AZ14</f>
        <v>-1000000</v>
      </c>
      <c r="BA80" s="15">
        <f ca="1">Debt!BA14</f>
        <v>-1000000</v>
      </c>
      <c r="BB80" s="15">
        <f ca="1">Debt!BB14</f>
        <v>-1000000</v>
      </c>
      <c r="BC80" s="15">
        <f ca="1">Debt!BC14</f>
        <v>-1000000</v>
      </c>
      <c r="BD80" s="15">
        <f ca="1">Debt!BD14</f>
        <v>-1000000</v>
      </c>
      <c r="BE80" s="15">
        <f ca="1">Debt!BE14</f>
        <v>-1000000</v>
      </c>
      <c r="BF80" s="15">
        <f ca="1">Debt!BF14</f>
        <v>-1000000</v>
      </c>
      <c r="BG80" s="15">
        <f ca="1">Debt!BG14</f>
        <v>-1000000</v>
      </c>
      <c r="BH80" s="15">
        <f ca="1">Debt!BH14</f>
        <v>-1000000</v>
      </c>
      <c r="BI80" s="15">
        <f ca="1">Debt!BI14</f>
        <v>-1000000</v>
      </c>
      <c r="BJ80" s="15">
        <f ca="1">Debt!BJ14</f>
        <v>-1000000</v>
      </c>
      <c r="BK80" s="15">
        <f ca="1">Debt!BK14</f>
        <v>-1000000</v>
      </c>
      <c r="BL80" s="15">
        <f ca="1">Debt!BL14</f>
        <v>-1000000</v>
      </c>
      <c r="BM80" s="15">
        <f ca="1">Debt!BM14</f>
        <v>-1000000</v>
      </c>
      <c r="BN80" s="15">
        <f ca="1">Debt!BN14</f>
        <v>-1000000</v>
      </c>
      <c r="BO80" s="15">
        <f ca="1">Debt!BO14</f>
        <v>-1000000</v>
      </c>
      <c r="BP80" s="15">
        <f ca="1">Debt!BP14</f>
        <v>-1000000</v>
      </c>
      <c r="BQ80" s="15">
        <f ca="1">Debt!BQ14</f>
        <v>-1000000</v>
      </c>
      <c r="BR80" s="15">
        <f ca="1">Debt!BR14</f>
        <v>-1000000</v>
      </c>
      <c r="BS80" s="15">
        <f ca="1">Debt!BS14</f>
        <v>-1000000</v>
      </c>
      <c r="BT80" s="15">
        <f ca="1">Debt!BT14</f>
        <v>-1000000</v>
      </c>
      <c r="BU80" s="15">
        <f ca="1">Debt!BU14</f>
        <v>-1000000</v>
      </c>
      <c r="BV80" s="15">
        <f ca="1">Debt!BV14</f>
        <v>-1000000</v>
      </c>
      <c r="BW80" s="15">
        <f ca="1">Debt!BW14</f>
        <v>-1000000</v>
      </c>
      <c r="BX80" s="15">
        <f ca="1">Debt!BX14</f>
        <v>-1000000</v>
      </c>
      <c r="BY80" s="15">
        <f ca="1">Debt!BY14</f>
        <v>-1000000</v>
      </c>
      <c r="BZ80" s="15">
        <f ca="1">Debt!BZ14</f>
        <v>-1000000</v>
      </c>
      <c r="CA80" s="15">
        <f ca="1">Debt!CA14</f>
        <v>-1000000</v>
      </c>
      <c r="CB80" s="15">
        <f ca="1">Debt!CB14</f>
        <v>-1000000</v>
      </c>
      <c r="CC80" s="15">
        <f ca="1">Debt!CC14</f>
        <v>-1000000</v>
      </c>
      <c r="CD80" s="15">
        <f ca="1">Debt!CD14</f>
        <v>-1000000</v>
      </c>
      <c r="CE80" s="15">
        <f ca="1">Debt!CE14</f>
        <v>-1000000</v>
      </c>
      <c r="CF80" s="15">
        <f ca="1">Debt!CF14</f>
        <v>0</v>
      </c>
      <c r="CG80" s="15">
        <f ca="1">Debt!CG14</f>
        <v>0</v>
      </c>
      <c r="CH80" s="15">
        <f ca="1">Debt!CH14</f>
        <v>0</v>
      </c>
      <c r="CI80" s="15">
        <f ca="1">Debt!CI14</f>
        <v>0</v>
      </c>
      <c r="CJ80" s="15">
        <f ca="1">Debt!CJ14</f>
        <v>0</v>
      </c>
      <c r="CK80" s="15">
        <f ca="1">Debt!CK14</f>
        <v>0</v>
      </c>
      <c r="CL80" s="15">
        <f ca="1">Debt!CL14</f>
        <v>0</v>
      </c>
      <c r="CM80" s="15">
        <f ca="1">Debt!CM14</f>
        <v>0</v>
      </c>
      <c r="CN80" s="15">
        <f ca="1">Debt!CN14</f>
        <v>0</v>
      </c>
    </row>
    <row r="81" spans="1:92" ht="12.75" customHeight="1" x14ac:dyDescent="0.3">
      <c r="C81" s="17"/>
      <c r="D81" s="135" t="s">
        <v>272</v>
      </c>
      <c r="H81" s="16" t="s">
        <v>1</v>
      </c>
      <c r="J81" s="50">
        <f ca="1">SUM(J77,J79:J80)</f>
        <v>805515784.55023921</v>
      </c>
      <c r="L81" s="50">
        <f t="shared" ref="L81:AQ81" si="223">SUM(L77,L79:L80)</f>
        <v>0</v>
      </c>
      <c r="M81" s="50">
        <f t="shared" si="223"/>
        <v>5585823.550160002</v>
      </c>
      <c r="N81" s="50">
        <f t="shared" ca="1" si="223"/>
        <v>4082502.7899952391</v>
      </c>
      <c r="O81" s="50">
        <f t="shared" ca="1" si="223"/>
        <v>5332934.0000890885</v>
      </c>
      <c r="P81" s="50">
        <f t="shared" ca="1" si="223"/>
        <v>5231547.2353477404</v>
      </c>
      <c r="Q81" s="50">
        <f t="shared" ca="1" si="223"/>
        <v>5905119.5137752574</v>
      </c>
      <c r="R81" s="50">
        <f t="shared" ca="1" si="223"/>
        <v>6139241.9849190423</v>
      </c>
      <c r="S81" s="50">
        <f t="shared" ca="1" si="223"/>
        <v>6539816.2708532149</v>
      </c>
      <c r="T81" s="50">
        <f t="shared" ca="1" si="223"/>
        <v>6419322.7379437629</v>
      </c>
      <c r="U81" s="50">
        <f t="shared" ca="1" si="223"/>
        <v>6268301.4759052936</v>
      </c>
      <c r="V81" s="50">
        <f t="shared" ca="1" si="223"/>
        <v>6310804.1337832389</v>
      </c>
      <c r="W81" s="50">
        <f t="shared" ca="1" si="223"/>
        <v>6844631.0932447035</v>
      </c>
      <c r="X81" s="50">
        <f t="shared" ca="1" si="223"/>
        <v>11326643.529087378</v>
      </c>
      <c r="Y81" s="50">
        <f t="shared" ca="1" si="223"/>
        <v>16213292.998891842</v>
      </c>
      <c r="Z81" s="50">
        <f t="shared" ca="1" si="223"/>
        <v>21350278.238555372</v>
      </c>
      <c r="AA81" s="50">
        <f t="shared" ca="1" si="223"/>
        <v>26948396.205490459</v>
      </c>
      <c r="AB81" s="50">
        <f t="shared" ca="1" si="223"/>
        <v>32214856.227714181</v>
      </c>
      <c r="AC81" s="50">
        <f t="shared" ca="1" si="223"/>
        <v>37244879.487925805</v>
      </c>
      <c r="AD81" s="50">
        <f t="shared" ca="1" si="223"/>
        <v>42698973.692238048</v>
      </c>
      <c r="AE81" s="50">
        <f t="shared" ca="1" si="223"/>
        <v>48592108.822455443</v>
      </c>
      <c r="AF81" s="50">
        <f t="shared" ca="1" si="223"/>
        <v>49194950.507535025</v>
      </c>
      <c r="AG81" s="50">
        <f t="shared" ca="1" si="223"/>
        <v>47813593.15356151</v>
      </c>
      <c r="AH81" s="50">
        <f t="shared" ca="1" si="223"/>
        <v>46949750.117106281</v>
      </c>
      <c r="AI81" s="50">
        <f t="shared" ca="1" si="223"/>
        <v>46557521.571447216</v>
      </c>
      <c r="AJ81" s="50">
        <f t="shared" ca="1" si="223"/>
        <v>45503729.096128896</v>
      </c>
      <c r="AK81" s="50">
        <f t="shared" ca="1" si="223"/>
        <v>44293214.134611025</v>
      </c>
      <c r="AL81" s="50">
        <f t="shared" ca="1" si="223"/>
        <v>43223578.634486735</v>
      </c>
      <c r="AM81" s="50">
        <f t="shared" ca="1" si="223"/>
        <v>42723646.268560268</v>
      </c>
      <c r="AN81" s="50">
        <f t="shared" ca="1" si="223"/>
        <v>41659858.91013281</v>
      </c>
      <c r="AO81" s="50">
        <f t="shared" ca="1" si="223"/>
        <v>40251243.589853525</v>
      </c>
      <c r="AP81" s="50">
        <f t="shared" ca="1" si="223"/>
        <v>39346123.474084847</v>
      </c>
      <c r="AQ81" s="50">
        <f t="shared" ca="1" si="223"/>
        <v>38948582.252721027</v>
      </c>
      <c r="AR81" s="50">
        <f t="shared" ref="AR81:BW81" ca="1" si="224">SUM(AR77,AR79:AR80)</f>
        <v>37896472.321073979</v>
      </c>
      <c r="AS81" s="50">
        <f t="shared" ca="1" si="224"/>
        <v>36446755.4828832</v>
      </c>
      <c r="AT81" s="50">
        <f t="shared" ca="1" si="224"/>
        <v>35559792.579248242</v>
      </c>
      <c r="AU81" s="50">
        <f t="shared" ca="1" si="224"/>
        <v>35147995.083010674</v>
      </c>
      <c r="AV81" s="50">
        <f t="shared" ca="1" si="224"/>
        <v>34106158.067656443</v>
      </c>
      <c r="AW81" s="50">
        <f t="shared" ca="1" si="224"/>
        <v>32644855.289000772</v>
      </c>
      <c r="AX81" s="50">
        <f t="shared" ca="1" si="224"/>
        <v>31775109.756984044</v>
      </c>
      <c r="AY81" s="50">
        <f t="shared" ca="1" si="224"/>
        <v>31463629.920014594</v>
      </c>
      <c r="AZ81" s="50">
        <f t="shared" ca="1" si="224"/>
        <v>30436543.776177004</v>
      </c>
      <c r="BA81" s="50">
        <f t="shared" ca="1" si="224"/>
        <v>29199539.50637906</v>
      </c>
      <c r="BB81" s="50">
        <f t="shared" ca="1" si="224"/>
        <v>28176377.523777001</v>
      </c>
      <c r="BC81" s="50">
        <f t="shared" ca="1" si="224"/>
        <v>27936707.212120261</v>
      </c>
      <c r="BD81" s="50">
        <f t="shared" ca="1" si="224"/>
        <v>26927386.271984823</v>
      </c>
      <c r="BE81" s="50">
        <f t="shared" ca="1" si="224"/>
        <v>25509159.43217073</v>
      </c>
      <c r="BF81" s="50">
        <f t="shared" ca="1" si="224"/>
        <v>24692503.775367536</v>
      </c>
      <c r="BG81" s="50">
        <f t="shared" ca="1" si="224"/>
        <v>24427947.054755203</v>
      </c>
      <c r="BH81" s="50">
        <f t="shared" ca="1" si="224"/>
        <v>23435948.356562559</v>
      </c>
      <c r="BI81" s="50">
        <f t="shared" ca="1" si="224"/>
        <v>21985307.463835977</v>
      </c>
      <c r="BJ81" s="50">
        <f t="shared" ca="1" si="224"/>
        <v>21196744.997503538</v>
      </c>
      <c r="BK81" s="50">
        <f t="shared" ca="1" si="224"/>
        <v>21087858.939670507</v>
      </c>
      <c r="BL81" s="50">
        <f t="shared" ca="1" si="224"/>
        <v>20120287.829719398</v>
      </c>
      <c r="BM81" s="50">
        <f t="shared" ca="1" si="224"/>
        <v>18680655.777165603</v>
      </c>
      <c r="BN81" s="50">
        <f t="shared" ca="1" si="224"/>
        <v>17930530.021881621</v>
      </c>
      <c r="BO81" s="50">
        <f t="shared" ca="1" si="224"/>
        <v>17847150.768083457</v>
      </c>
      <c r="BP81" s="50">
        <f t="shared" ca="1" si="224"/>
        <v>16905549.074284881</v>
      </c>
      <c r="BQ81" s="50">
        <f t="shared" ca="1" si="224"/>
        <v>15691175.13730393</v>
      </c>
      <c r="BR81" s="50">
        <f t="shared" ca="1" si="224"/>
        <v>14757409.932589257</v>
      </c>
      <c r="BS81" s="50">
        <f t="shared" ca="1" si="224"/>
        <v>14878475.673930611</v>
      </c>
      <c r="BT81" s="50">
        <f t="shared" ca="1" si="224"/>
        <v>13975058.37909276</v>
      </c>
      <c r="BU81" s="50">
        <f t="shared" ca="1" si="224"/>
        <v>13529601.224657895</v>
      </c>
      <c r="BV81" s="50">
        <f t="shared" ca="1" si="224"/>
        <v>14137158.467497252</v>
      </c>
      <c r="BW81" s="50">
        <f t="shared" ca="1" si="224"/>
        <v>15360049.761766039</v>
      </c>
      <c r="BX81" s="50">
        <f t="shared" ref="BX81:CN81" ca="1" si="225">SUM(BX77,BX79:BX80)</f>
        <v>15370037.854316846</v>
      </c>
      <c r="BY81" s="50">
        <f t="shared" ca="1" si="225"/>
        <v>15004055.553525837</v>
      </c>
      <c r="BZ81" s="50">
        <f t="shared" ca="1" si="225"/>
        <v>15601457.735345244</v>
      </c>
      <c r="CA81" s="50">
        <f t="shared" ca="1" si="225"/>
        <v>16927609.059382938</v>
      </c>
      <c r="CB81" s="50">
        <f t="shared" ca="1" si="225"/>
        <v>16975218.392679371</v>
      </c>
      <c r="CC81" s="50">
        <f t="shared" ca="1" si="225"/>
        <v>16587219.058078155</v>
      </c>
      <c r="CD81" s="50">
        <f t="shared" ca="1" si="225"/>
        <v>17282053.09724699</v>
      </c>
      <c r="CE81" s="50">
        <f t="shared" ca="1" si="225"/>
        <v>18794845.229041256</v>
      </c>
      <c r="CF81" s="50">
        <f t="shared" ca="1" si="225"/>
        <v>19865625.540976699</v>
      </c>
      <c r="CG81" s="50">
        <f t="shared" ca="1" si="225"/>
        <v>19839212.422249097</v>
      </c>
      <c r="CH81" s="50">
        <f t="shared" ca="1" si="225"/>
        <v>20184677.034486454</v>
      </c>
      <c r="CI81" s="50">
        <f t="shared" ca="1" si="225"/>
        <v>22004553.926063713</v>
      </c>
      <c r="CJ81" s="50">
        <f t="shared" ca="1" si="225"/>
        <v>22304692.152136575</v>
      </c>
      <c r="CK81" s="50">
        <f t="shared" ca="1" si="225"/>
        <v>21935406.639650926</v>
      </c>
      <c r="CL81" s="50">
        <f t="shared" ca="1" si="225"/>
        <v>22598267.724966299</v>
      </c>
      <c r="CM81" s="50">
        <f t="shared" ca="1" si="225"/>
        <v>24460659.583845906</v>
      </c>
      <c r="CN81" s="50">
        <f t="shared" ca="1" si="225"/>
        <v>26568362.926046453</v>
      </c>
    </row>
    <row r="82" spans="1:92" ht="12.75" customHeight="1" x14ac:dyDescent="0.3">
      <c r="C82" s="17"/>
      <c r="D82" s="129"/>
      <c r="H82" s="16"/>
      <c r="J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</row>
    <row r="83" spans="1:92" ht="12.75" customHeight="1" x14ac:dyDescent="0.3">
      <c r="C83" s="17"/>
      <c r="D83" s="129" t="s">
        <v>225</v>
      </c>
      <c r="H83" s="16" t="s">
        <v>1</v>
      </c>
      <c r="J83" s="58">
        <f ca="1">SUM(L83:CN83)</f>
        <v>-48999999.999999978</v>
      </c>
      <c r="L83" s="88">
        <f>Debt!L15</f>
        <v>0</v>
      </c>
      <c r="M83" s="88">
        <f>Debt!M15</f>
        <v>-4585823.550160002</v>
      </c>
      <c r="N83" s="88">
        <f ca="1">Debt!N15</f>
        <v>-3082502.7899952391</v>
      </c>
      <c r="O83" s="88">
        <f ca="1">Debt!O15</f>
        <v>-4332934.0000890885</v>
      </c>
      <c r="P83" s="88">
        <f ca="1">Debt!P15</f>
        <v>-4231547.2353477404</v>
      </c>
      <c r="Q83" s="88">
        <f ca="1">Debt!Q15</f>
        <v>-4905119.5137752574</v>
      </c>
      <c r="R83" s="88">
        <f ca="1">Debt!R15</f>
        <v>-5139241.9849190423</v>
      </c>
      <c r="S83" s="88">
        <f ca="1">Debt!S15</f>
        <v>-5539816.2708532149</v>
      </c>
      <c r="T83" s="88">
        <f ca="1">Debt!T15</f>
        <v>-5419322.7379437629</v>
      </c>
      <c r="U83" s="88">
        <f ca="1">Debt!U15</f>
        <v>-5268301.4759052936</v>
      </c>
      <c r="V83" s="88">
        <f ca="1">Debt!V15</f>
        <v>-5310804.1337832389</v>
      </c>
      <c r="W83" s="88">
        <f ca="1">Debt!W15</f>
        <v>-1184586.3072281033</v>
      </c>
      <c r="X83" s="88">
        <f ca="1">Debt!X15</f>
        <v>0</v>
      </c>
      <c r="Y83" s="88">
        <f ca="1">Debt!Y15</f>
        <v>0</v>
      </c>
      <c r="Z83" s="88">
        <f ca="1">Debt!Z15</f>
        <v>0</v>
      </c>
      <c r="AA83" s="88">
        <f ca="1">Debt!AA15</f>
        <v>0</v>
      </c>
      <c r="AB83" s="88">
        <f ca="1">Debt!AB15</f>
        <v>0</v>
      </c>
      <c r="AC83" s="88">
        <f ca="1">Debt!AC15</f>
        <v>0</v>
      </c>
      <c r="AD83" s="88">
        <f ca="1">Debt!AD15</f>
        <v>0</v>
      </c>
      <c r="AE83" s="88">
        <f ca="1">Debt!AE15</f>
        <v>0</v>
      </c>
      <c r="AF83" s="88">
        <f ca="1">Debt!AF15</f>
        <v>0</v>
      </c>
      <c r="AG83" s="88">
        <f ca="1">Debt!AG15</f>
        <v>0</v>
      </c>
      <c r="AH83" s="88">
        <f ca="1">Debt!AH15</f>
        <v>0</v>
      </c>
      <c r="AI83" s="88">
        <f ca="1">Debt!AI15</f>
        <v>0</v>
      </c>
      <c r="AJ83" s="88">
        <f ca="1">Debt!AJ15</f>
        <v>0</v>
      </c>
      <c r="AK83" s="88">
        <f ca="1">Debt!AK15</f>
        <v>0</v>
      </c>
      <c r="AL83" s="88">
        <f ca="1">Debt!AL15</f>
        <v>0</v>
      </c>
      <c r="AM83" s="88">
        <f ca="1">Debt!AM15</f>
        <v>0</v>
      </c>
      <c r="AN83" s="88">
        <f ca="1">Debt!AN15</f>
        <v>0</v>
      </c>
      <c r="AO83" s="88">
        <f ca="1">Debt!AO15</f>
        <v>0</v>
      </c>
      <c r="AP83" s="88">
        <f ca="1">Debt!AP15</f>
        <v>0</v>
      </c>
      <c r="AQ83" s="88">
        <f ca="1">Debt!AQ15</f>
        <v>0</v>
      </c>
      <c r="AR83" s="88">
        <f ca="1">Debt!AR15</f>
        <v>0</v>
      </c>
      <c r="AS83" s="88">
        <f ca="1">Debt!AS15</f>
        <v>0</v>
      </c>
      <c r="AT83" s="88">
        <f ca="1">Debt!AT15</f>
        <v>0</v>
      </c>
      <c r="AU83" s="88">
        <f ca="1">Debt!AU15</f>
        <v>0</v>
      </c>
      <c r="AV83" s="88">
        <f ca="1">Debt!AV15</f>
        <v>0</v>
      </c>
      <c r="AW83" s="88">
        <f ca="1">Debt!AW15</f>
        <v>0</v>
      </c>
      <c r="AX83" s="88">
        <f ca="1">Debt!AX15</f>
        <v>0</v>
      </c>
      <c r="AY83" s="88">
        <f ca="1">Debt!AY15</f>
        <v>0</v>
      </c>
      <c r="AZ83" s="88">
        <f ca="1">Debt!AZ15</f>
        <v>0</v>
      </c>
      <c r="BA83" s="88">
        <f ca="1">Debt!BA15</f>
        <v>0</v>
      </c>
      <c r="BB83" s="88">
        <f ca="1">Debt!BB15</f>
        <v>0</v>
      </c>
      <c r="BC83" s="88">
        <f ca="1">Debt!BC15</f>
        <v>0</v>
      </c>
      <c r="BD83" s="88">
        <f ca="1">Debt!BD15</f>
        <v>0</v>
      </c>
      <c r="BE83" s="88">
        <f ca="1">Debt!BE15</f>
        <v>0</v>
      </c>
      <c r="BF83" s="88">
        <f ca="1">Debt!BF15</f>
        <v>0</v>
      </c>
      <c r="BG83" s="88">
        <f ca="1">Debt!BG15</f>
        <v>0</v>
      </c>
      <c r="BH83" s="88">
        <f ca="1">Debt!BH15</f>
        <v>0</v>
      </c>
      <c r="BI83" s="88">
        <f ca="1">Debt!BI15</f>
        <v>0</v>
      </c>
      <c r="BJ83" s="88">
        <f ca="1">Debt!BJ15</f>
        <v>0</v>
      </c>
      <c r="BK83" s="88">
        <f ca="1">Debt!BK15</f>
        <v>0</v>
      </c>
      <c r="BL83" s="88">
        <f ca="1">Debt!BL15</f>
        <v>0</v>
      </c>
      <c r="BM83" s="88">
        <f ca="1">Debt!BM15</f>
        <v>0</v>
      </c>
      <c r="BN83" s="88">
        <f ca="1">Debt!BN15</f>
        <v>0</v>
      </c>
      <c r="BO83" s="88">
        <f ca="1">Debt!BO15</f>
        <v>0</v>
      </c>
      <c r="BP83" s="88">
        <f ca="1">Debt!BP15</f>
        <v>0</v>
      </c>
      <c r="BQ83" s="88">
        <f ca="1">Debt!BQ15</f>
        <v>0</v>
      </c>
      <c r="BR83" s="88">
        <f ca="1">Debt!BR15</f>
        <v>0</v>
      </c>
      <c r="BS83" s="88">
        <f ca="1">Debt!BS15</f>
        <v>0</v>
      </c>
      <c r="BT83" s="88">
        <f ca="1">Debt!BT15</f>
        <v>0</v>
      </c>
      <c r="BU83" s="88">
        <f ca="1">Debt!BU15</f>
        <v>0</v>
      </c>
      <c r="BV83" s="88">
        <f ca="1">Debt!BV15</f>
        <v>0</v>
      </c>
      <c r="BW83" s="88">
        <f ca="1">Debt!BW15</f>
        <v>0</v>
      </c>
      <c r="BX83" s="88">
        <f ca="1">Debt!BX15</f>
        <v>0</v>
      </c>
      <c r="BY83" s="88">
        <f ca="1">Debt!BY15</f>
        <v>0</v>
      </c>
      <c r="BZ83" s="88">
        <f ca="1">Debt!BZ15</f>
        <v>0</v>
      </c>
      <c r="CA83" s="88">
        <f ca="1">Debt!CA15</f>
        <v>0</v>
      </c>
      <c r="CB83" s="88">
        <f ca="1">Debt!CB15</f>
        <v>0</v>
      </c>
      <c r="CC83" s="88">
        <f ca="1">Debt!CC15</f>
        <v>0</v>
      </c>
      <c r="CD83" s="88">
        <f ca="1">Debt!CD15</f>
        <v>0</v>
      </c>
      <c r="CE83" s="88">
        <f ca="1">Debt!CE15</f>
        <v>0</v>
      </c>
      <c r="CF83" s="88">
        <f ca="1">Debt!CF15</f>
        <v>0</v>
      </c>
      <c r="CG83" s="88">
        <f ca="1">Debt!CG15</f>
        <v>0</v>
      </c>
      <c r="CH83" s="88">
        <f ca="1">Debt!CH15</f>
        <v>0</v>
      </c>
      <c r="CI83" s="88">
        <f ca="1">Debt!CI15</f>
        <v>0</v>
      </c>
      <c r="CJ83" s="88">
        <f ca="1">Debt!CJ15</f>
        <v>0</v>
      </c>
      <c r="CK83" s="88">
        <f ca="1">Debt!CK15</f>
        <v>0</v>
      </c>
      <c r="CL83" s="88">
        <f ca="1">Debt!CL15</f>
        <v>0</v>
      </c>
      <c r="CM83" s="88">
        <f ca="1">Debt!CM15</f>
        <v>0</v>
      </c>
      <c r="CN83" s="88">
        <f ca="1">Debt!CN15</f>
        <v>0</v>
      </c>
    </row>
    <row r="84" spans="1:92" ht="12.75" customHeight="1" x14ac:dyDescent="0.3">
      <c r="C84" s="17"/>
      <c r="D84" s="135" t="s">
        <v>273</v>
      </c>
      <c r="H84" s="16" t="s">
        <v>1</v>
      </c>
      <c r="J84" s="50">
        <f ca="1">SUM(J81,J83)</f>
        <v>756515784.55023921</v>
      </c>
      <c r="L84" s="50">
        <f>SUM(L81,L83)</f>
        <v>0</v>
      </c>
      <c r="M84" s="50">
        <f>SUM(M81,M83)</f>
        <v>1000000</v>
      </c>
      <c r="N84" s="50">
        <f t="shared" ref="N84:BY84" ca="1" si="226">SUM(N81,N83)</f>
        <v>1000000</v>
      </c>
      <c r="O84" s="50">
        <f t="shared" ca="1" si="226"/>
        <v>1000000</v>
      </c>
      <c r="P84" s="50">
        <f t="shared" ca="1" si="226"/>
        <v>1000000</v>
      </c>
      <c r="Q84" s="50">
        <f t="shared" ca="1" si="226"/>
        <v>1000000</v>
      </c>
      <c r="R84" s="50">
        <f t="shared" ca="1" si="226"/>
        <v>1000000</v>
      </c>
      <c r="S84" s="50">
        <f t="shared" ca="1" si="226"/>
        <v>1000000</v>
      </c>
      <c r="T84" s="50">
        <f t="shared" ca="1" si="226"/>
        <v>1000000</v>
      </c>
      <c r="U84" s="50">
        <f t="shared" ca="1" si="226"/>
        <v>1000000</v>
      </c>
      <c r="V84" s="50">
        <f t="shared" ca="1" si="226"/>
        <v>1000000</v>
      </c>
      <c r="W84" s="50">
        <f t="shared" ca="1" si="226"/>
        <v>5660044.7860166002</v>
      </c>
      <c r="X84" s="50">
        <f t="shared" ca="1" si="226"/>
        <v>11326643.529087378</v>
      </c>
      <c r="Y84" s="50">
        <f t="shared" ca="1" si="226"/>
        <v>16213292.998891842</v>
      </c>
      <c r="Z84" s="50">
        <f t="shared" ca="1" si="226"/>
        <v>21350278.238555372</v>
      </c>
      <c r="AA84" s="50">
        <f t="shared" ca="1" si="226"/>
        <v>26948396.205490459</v>
      </c>
      <c r="AB84" s="50">
        <f t="shared" ca="1" si="226"/>
        <v>32214856.227714181</v>
      </c>
      <c r="AC84" s="50">
        <f t="shared" ca="1" si="226"/>
        <v>37244879.487925805</v>
      </c>
      <c r="AD84" s="50">
        <f t="shared" ca="1" si="226"/>
        <v>42698973.692238048</v>
      </c>
      <c r="AE84" s="50">
        <f t="shared" ca="1" si="226"/>
        <v>48592108.822455443</v>
      </c>
      <c r="AF84" s="50">
        <f t="shared" ca="1" si="226"/>
        <v>49194950.507535025</v>
      </c>
      <c r="AG84" s="50">
        <f t="shared" ca="1" si="226"/>
        <v>47813593.15356151</v>
      </c>
      <c r="AH84" s="50">
        <f t="shared" ca="1" si="226"/>
        <v>46949750.117106281</v>
      </c>
      <c r="AI84" s="50">
        <f t="shared" ca="1" si="226"/>
        <v>46557521.571447216</v>
      </c>
      <c r="AJ84" s="50">
        <f t="shared" ca="1" si="226"/>
        <v>45503729.096128896</v>
      </c>
      <c r="AK84" s="50">
        <f t="shared" ca="1" si="226"/>
        <v>44293214.134611025</v>
      </c>
      <c r="AL84" s="50">
        <f t="shared" ca="1" si="226"/>
        <v>43223578.634486735</v>
      </c>
      <c r="AM84" s="50">
        <f t="shared" ca="1" si="226"/>
        <v>42723646.268560268</v>
      </c>
      <c r="AN84" s="50">
        <f t="shared" ca="1" si="226"/>
        <v>41659858.91013281</v>
      </c>
      <c r="AO84" s="50">
        <f t="shared" ca="1" si="226"/>
        <v>40251243.589853525</v>
      </c>
      <c r="AP84" s="50">
        <f t="shared" ca="1" si="226"/>
        <v>39346123.474084847</v>
      </c>
      <c r="AQ84" s="50">
        <f t="shared" ca="1" si="226"/>
        <v>38948582.252721027</v>
      </c>
      <c r="AR84" s="50">
        <f t="shared" ca="1" si="226"/>
        <v>37896472.321073979</v>
      </c>
      <c r="AS84" s="50">
        <f t="shared" ca="1" si="226"/>
        <v>36446755.4828832</v>
      </c>
      <c r="AT84" s="50">
        <f t="shared" ca="1" si="226"/>
        <v>35559792.579248242</v>
      </c>
      <c r="AU84" s="50">
        <f t="shared" ca="1" si="226"/>
        <v>35147995.083010674</v>
      </c>
      <c r="AV84" s="50">
        <f t="shared" ca="1" si="226"/>
        <v>34106158.067656443</v>
      </c>
      <c r="AW84" s="50">
        <f t="shared" ca="1" si="226"/>
        <v>32644855.289000772</v>
      </c>
      <c r="AX84" s="50">
        <f t="shared" ca="1" si="226"/>
        <v>31775109.756984044</v>
      </c>
      <c r="AY84" s="50">
        <f t="shared" ca="1" si="226"/>
        <v>31463629.920014594</v>
      </c>
      <c r="AZ84" s="50">
        <f t="shared" ca="1" si="226"/>
        <v>30436543.776177004</v>
      </c>
      <c r="BA84" s="50">
        <f t="shared" ca="1" si="226"/>
        <v>29199539.50637906</v>
      </c>
      <c r="BB84" s="50">
        <f t="shared" ca="1" si="226"/>
        <v>28176377.523777001</v>
      </c>
      <c r="BC84" s="50">
        <f t="shared" ca="1" si="226"/>
        <v>27936707.212120261</v>
      </c>
      <c r="BD84" s="50">
        <f t="shared" ca="1" si="226"/>
        <v>26927386.271984823</v>
      </c>
      <c r="BE84" s="50">
        <f t="shared" ca="1" si="226"/>
        <v>25509159.43217073</v>
      </c>
      <c r="BF84" s="50">
        <f t="shared" ca="1" si="226"/>
        <v>24692503.775367536</v>
      </c>
      <c r="BG84" s="50">
        <f t="shared" ca="1" si="226"/>
        <v>24427947.054755203</v>
      </c>
      <c r="BH84" s="50">
        <f t="shared" ca="1" si="226"/>
        <v>23435948.356562559</v>
      </c>
      <c r="BI84" s="50">
        <f t="shared" ca="1" si="226"/>
        <v>21985307.463835977</v>
      </c>
      <c r="BJ84" s="50">
        <f t="shared" ca="1" si="226"/>
        <v>21196744.997503538</v>
      </c>
      <c r="BK84" s="50">
        <f t="shared" ca="1" si="226"/>
        <v>21087858.939670507</v>
      </c>
      <c r="BL84" s="50">
        <f t="shared" ca="1" si="226"/>
        <v>20120287.829719398</v>
      </c>
      <c r="BM84" s="50">
        <f t="shared" ca="1" si="226"/>
        <v>18680655.777165603</v>
      </c>
      <c r="BN84" s="50">
        <f t="shared" ca="1" si="226"/>
        <v>17930530.021881621</v>
      </c>
      <c r="BO84" s="50">
        <f t="shared" ca="1" si="226"/>
        <v>17847150.768083457</v>
      </c>
      <c r="BP84" s="50">
        <f t="shared" ca="1" si="226"/>
        <v>16905549.074284881</v>
      </c>
      <c r="BQ84" s="50">
        <f t="shared" ca="1" si="226"/>
        <v>15691175.13730393</v>
      </c>
      <c r="BR84" s="50">
        <f t="shared" ca="1" si="226"/>
        <v>14757409.932589257</v>
      </c>
      <c r="BS84" s="50">
        <f t="shared" ca="1" si="226"/>
        <v>14878475.673930611</v>
      </c>
      <c r="BT84" s="50">
        <f t="shared" ca="1" si="226"/>
        <v>13975058.37909276</v>
      </c>
      <c r="BU84" s="50">
        <f t="shared" ca="1" si="226"/>
        <v>13529601.224657895</v>
      </c>
      <c r="BV84" s="50">
        <f t="shared" ca="1" si="226"/>
        <v>14137158.467497252</v>
      </c>
      <c r="BW84" s="50">
        <f t="shared" ca="1" si="226"/>
        <v>15360049.761766039</v>
      </c>
      <c r="BX84" s="50">
        <f t="shared" ca="1" si="226"/>
        <v>15370037.854316846</v>
      </c>
      <c r="BY84" s="50">
        <f t="shared" ca="1" si="226"/>
        <v>15004055.553525837</v>
      </c>
      <c r="BZ84" s="50">
        <f t="shared" ref="BZ84:CN84" ca="1" si="227">SUM(BZ81,BZ83)</f>
        <v>15601457.735345244</v>
      </c>
      <c r="CA84" s="50">
        <f t="shared" ca="1" si="227"/>
        <v>16927609.059382938</v>
      </c>
      <c r="CB84" s="50">
        <f t="shared" ca="1" si="227"/>
        <v>16975218.392679371</v>
      </c>
      <c r="CC84" s="50">
        <f t="shared" ca="1" si="227"/>
        <v>16587219.058078155</v>
      </c>
      <c r="CD84" s="50">
        <f t="shared" ca="1" si="227"/>
        <v>17282053.09724699</v>
      </c>
      <c r="CE84" s="50">
        <f t="shared" ca="1" si="227"/>
        <v>18794845.229041256</v>
      </c>
      <c r="CF84" s="50">
        <f t="shared" ca="1" si="227"/>
        <v>19865625.540976699</v>
      </c>
      <c r="CG84" s="50">
        <f t="shared" ca="1" si="227"/>
        <v>19839212.422249097</v>
      </c>
      <c r="CH84" s="50">
        <f t="shared" ca="1" si="227"/>
        <v>20184677.034486454</v>
      </c>
      <c r="CI84" s="50">
        <f t="shared" ca="1" si="227"/>
        <v>22004553.926063713</v>
      </c>
      <c r="CJ84" s="50">
        <f t="shared" ca="1" si="227"/>
        <v>22304692.152136575</v>
      </c>
      <c r="CK84" s="50">
        <f t="shared" ca="1" si="227"/>
        <v>21935406.639650926</v>
      </c>
      <c r="CL84" s="50">
        <f t="shared" ca="1" si="227"/>
        <v>22598267.724966299</v>
      </c>
      <c r="CM84" s="50">
        <f t="shared" ca="1" si="227"/>
        <v>24460659.583845906</v>
      </c>
      <c r="CN84" s="50">
        <f t="shared" ca="1" si="227"/>
        <v>26568362.926046453</v>
      </c>
    </row>
    <row r="85" spans="1:92" ht="12.75" customHeight="1" x14ac:dyDescent="0.3">
      <c r="C85" s="17"/>
      <c r="D85" s="75"/>
      <c r="H85" s="16"/>
      <c r="J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</row>
    <row r="86" spans="1:92" ht="12.75" customHeight="1" x14ac:dyDescent="0.3">
      <c r="C86" s="17"/>
      <c r="D86" s="92" t="s">
        <v>226</v>
      </c>
      <c r="H86" s="16" t="s">
        <v>1</v>
      </c>
      <c r="J86" s="58">
        <f ca="1">SUM(L86:CN86)</f>
        <v>-742682099.10194898</v>
      </c>
      <c r="L86" s="88">
        <f>-MAX(0,MIN(L35,L84-Ass!$I$22))</f>
        <v>0</v>
      </c>
      <c r="M86" s="88">
        <f ca="1">-MAX(0,MIN(M35,M84-Ass!$I$22))</f>
        <v>0</v>
      </c>
      <c r="N86" s="88">
        <f ca="1">-MAX(0,MIN(N35,N84-Ass!$I$22))</f>
        <v>0</v>
      </c>
      <c r="O86" s="88">
        <f ca="1">-MAX(0,MIN(O35,O84-Ass!$I$22))</f>
        <v>0</v>
      </c>
      <c r="P86" s="88">
        <f ca="1">-MAX(0,MIN(P35,P84-Ass!$I$22))</f>
        <v>0</v>
      </c>
      <c r="Q86" s="88">
        <f ca="1">-MAX(0,MIN(Q35,Q84-Ass!$I$22))</f>
        <v>0</v>
      </c>
      <c r="R86" s="88">
        <f ca="1">-MAX(0,MIN(R35,R84-Ass!$I$22))</f>
        <v>0</v>
      </c>
      <c r="S86" s="88">
        <f ca="1">-MAX(0,MIN(S35,S84-Ass!$I$22))</f>
        <v>0</v>
      </c>
      <c r="T86" s="88">
        <f ca="1">-MAX(0,MIN(T35,T84-Ass!$I$22))</f>
        <v>0</v>
      </c>
      <c r="U86" s="88">
        <f ca="1">-MAX(0,MIN(U35,U84-Ass!$I$22))</f>
        <v>0</v>
      </c>
      <c r="V86" s="88">
        <f ca="1">-MAX(0,MIN(V35,V84-Ass!$I$22))</f>
        <v>0</v>
      </c>
      <c r="W86" s="88">
        <f ca="1">-MAX(0,MIN(W35,W84-Ass!$I$22))</f>
        <v>-37994.016694684789</v>
      </c>
      <c r="X86" s="88">
        <f ca="1">-MAX(0,MIN(X35,X84-Ass!$I$22))</f>
        <v>-29586.549730336672</v>
      </c>
      <c r="Y86" s="88">
        <f ca="1">-MAX(0,MIN(Y35,Y84-Ass!$I$22))</f>
        <v>0</v>
      </c>
      <c r="Z86" s="88">
        <f ca="1">-MAX(0,MIN(Z35,Z84-Ass!$I$22))</f>
        <v>0</v>
      </c>
      <c r="AA86" s="88">
        <f ca="1">-MAX(0,MIN(AA35,AA84-Ass!$I$22))</f>
        <v>-275085.45112435572</v>
      </c>
      <c r="AB86" s="88">
        <f ca="1">-MAX(0,MIN(AB35,AB84-Ass!$I$22))</f>
        <v>-263398.82224869984</v>
      </c>
      <c r="AC86" s="88">
        <f ca="1">-MAX(0,MIN(AC35,AC84-Ass!$I$22))</f>
        <v>-63841.124540677163</v>
      </c>
      <c r="AD86" s="88">
        <f ca="1">-MAX(0,MIN(AD35,AD84-Ass!$I$22))</f>
        <v>-166657.9216395781</v>
      </c>
      <c r="AE86" s="88">
        <f ca="1">-MAX(0,MIN(AE35,AE84-Ass!$I$22))</f>
        <v>-5395951.1409263769</v>
      </c>
      <c r="AF86" s="88">
        <f ca="1">-MAX(0,MIN(AF35,AF84-Ass!$I$22))</f>
        <v>-7042609.1453947313</v>
      </c>
      <c r="AG86" s="88">
        <f ca="1">-MAX(0,MIN(AG35,AG84-Ass!$I$22))</f>
        <v>-6769460.039929118</v>
      </c>
      <c r="AH86" s="88">
        <f ca="1">-MAX(0,MIN(AH35,AH84-Ass!$I$22))</f>
        <v>-6890055.5051010074</v>
      </c>
      <c r="AI86" s="88">
        <f ca="1">-MAX(0,MIN(AI35,AI84-Ass!$I$22))</f>
        <v>-7446428.3774000816</v>
      </c>
      <c r="AJ86" s="88">
        <f ca="1">-MAX(0,MIN(AJ35,AJ84-Ass!$I$22))</f>
        <v>-7455888.7112132348</v>
      </c>
      <c r="AK86" s="88">
        <f ca="1">-MAX(0,MIN(AK35,AK84-Ass!$I$22))</f>
        <v>-7363514.7069426719</v>
      </c>
      <c r="AL86" s="88">
        <f ca="1">-MAX(0,MIN(AL35,AL84-Ass!$I$22))</f>
        <v>-7375094.1989208339</v>
      </c>
      <c r="AM86" s="88">
        <f ca="1">-MAX(0,MIN(AM35,AM84-Ass!$I$22))</f>
        <v>-7851678.2674026219</v>
      </c>
      <c r="AN86" s="88">
        <f ca="1">-MAX(0,MIN(AN35,AN84-Ass!$I$22))</f>
        <v>-7867527.2993785152</v>
      </c>
      <c r="AO86" s="88">
        <f ca="1">-MAX(0,MIN(AO35,AO84-Ass!$I$22))</f>
        <v>-7628225.7523225378</v>
      </c>
      <c r="AP86" s="88">
        <f ca="1">-MAX(0,MIN(AP35,AP84-Ass!$I$22))</f>
        <v>-7772129.5062007988</v>
      </c>
      <c r="AQ86" s="88">
        <f ca="1">-MAX(0,MIN(AQ35,AQ84-Ass!$I$22))</f>
        <v>-8329059.2017490398</v>
      </c>
      <c r="AR86" s="88">
        <f ca="1">-MAX(0,MIN(AR35,AR84-Ass!$I$22))</f>
        <v>-8354204.0573608503</v>
      </c>
      <c r="AS86" s="88">
        <f ca="1">-MAX(0,MIN(AS35,AS84-Ass!$I$22))</f>
        <v>-8105576.8296271935</v>
      </c>
      <c r="AT86" s="88">
        <f ca="1">-MAX(0,MIN(AT35,AT84-Ass!$I$22))</f>
        <v>-8265063.889108384</v>
      </c>
      <c r="AU86" s="88">
        <f ca="1">-MAX(0,MIN(AU35,AU84-Ass!$I$22))</f>
        <v>-8815690.5163415782</v>
      </c>
      <c r="AV86" s="88">
        <f ca="1">-MAX(0,MIN(AV35,AV84-Ass!$I$22))</f>
        <v>-8850036.3831307404</v>
      </c>
      <c r="AW86" s="88">
        <f ca="1">-MAX(0,MIN(AW35,AW84-Ass!$I$22))</f>
        <v>-8599676.0264262054</v>
      </c>
      <c r="AX86" s="88">
        <f ca="1">-MAX(0,MIN(AX35,AX84-Ass!$I$22))</f>
        <v>-8774939.1444700249</v>
      </c>
      <c r="AY86" s="88">
        <f ca="1">-MAX(0,MIN(AY35,AY84-Ass!$I$22))</f>
        <v>-9409068.5321837086</v>
      </c>
      <c r="AZ86" s="88">
        <f ca="1">-MAX(0,MIN(AZ35,AZ84-Ass!$I$22))</f>
        <v>-9456786.5736380145</v>
      </c>
      <c r="BA86" s="88">
        <f ca="1">-MAX(0,MIN(BA35,BA84-Ass!$I$22))</f>
        <v>-9357199.8488865048</v>
      </c>
      <c r="BB86" s="88">
        <f ca="1">-MAX(0,MIN(BB35,BB84-Ass!$I$22))</f>
        <v>-9408927.8761081882</v>
      </c>
      <c r="BC86" s="88">
        <f ca="1">-MAX(0,MIN(BC35,BC84-Ass!$I$22))</f>
        <v>-10102913.96025328</v>
      </c>
      <c r="BD86" s="88">
        <f ca="1">-MAX(0,MIN(BD35,BD84-Ass!$I$22))</f>
        <v>-10166477.174232978</v>
      </c>
      <c r="BE86" s="88">
        <f ca="1">-MAX(0,MIN(BE35,BE84-Ass!$I$22))</f>
        <v>-9920755.1074689738</v>
      </c>
      <c r="BF86" s="88">
        <f ca="1">-MAX(0,MIN(BF35,BF84-Ass!$I$22))</f>
        <v>-10142367.462956734</v>
      </c>
      <c r="BG86" s="88">
        <f ca="1">-MAX(0,MIN(BG35,BG84-Ass!$I$22))</f>
        <v>-10821006.861239552</v>
      </c>
      <c r="BH86" s="88">
        <f ca="1">-MAX(0,MIN(BH35,BH84-Ass!$I$22))</f>
        <v>-10900400.982478656</v>
      </c>
      <c r="BI86" s="88">
        <f ca="1">-MAX(0,MIN(BI35,BI84-Ass!$I$22))</f>
        <v>-10650814.859605711</v>
      </c>
      <c r="BJ86" s="88">
        <f ca="1">-MAX(0,MIN(BJ35,BJ84-Ass!$I$22))</f>
        <v>-10897857.550264353</v>
      </c>
      <c r="BK86" s="88">
        <f ca="1">-MAX(0,MIN(BK35,BK84-Ass!$I$22))</f>
        <v>-11706052.171082821</v>
      </c>
      <c r="BL86" s="88">
        <f ca="1">-MAX(0,MIN(BL35,BL84-Ass!$I$22))</f>
        <v>-11807436.701124651</v>
      </c>
      <c r="BM86" s="88">
        <f ca="1">-MAX(0,MIN(BM35,BM84-Ass!$I$22))</f>
        <v>-11560374.443776287</v>
      </c>
      <c r="BN86" s="88">
        <f ca="1">-MAX(0,MIN(BN35,BN84-Ass!$I$22))</f>
        <v>-11841183.228229139</v>
      </c>
      <c r="BO86" s="88">
        <f ca="1">-MAX(0,MIN(BO35,BO84-Ass!$I$22))</f>
        <v>-12677226.953475293</v>
      </c>
      <c r="BP86" s="88">
        <f ca="1">-MAX(0,MIN(BP35,BP84-Ass!$I$22))</f>
        <v>-12802121.285885153</v>
      </c>
      <c r="BQ86" s="88">
        <f ca="1">-MAX(0,MIN(BQ35,BQ84-Ass!$I$22))</f>
        <v>-12743457.005251378</v>
      </c>
      <c r="BR86" s="88">
        <f ca="1">-MAX(0,MIN(BR35,BR84-Ass!$I$22))</f>
        <v>-12876223.126260825</v>
      </c>
      <c r="BS86" s="88">
        <f ca="1">-MAX(0,MIN(BS35,BS84-Ass!$I$22))</f>
        <v>-13878475.673930611</v>
      </c>
      <c r="BT86" s="88">
        <f ca="1">-MAX(0,MIN(BT35,BT84-Ass!$I$22))</f>
        <v>-12975058.37909276</v>
      </c>
      <c r="BU86" s="88">
        <f ca="1">-MAX(0,MIN(BU35,BU84-Ass!$I$22))</f>
        <v>-12529601.224657895</v>
      </c>
      <c r="BV86" s="88">
        <f ca="1">-MAX(0,MIN(BV35,BV84-Ass!$I$22))</f>
        <v>-13137158.467497252</v>
      </c>
      <c r="BW86" s="88">
        <f ca="1">-MAX(0,MIN(BW35,BW84-Ass!$I$22))</f>
        <v>-14360049.761766039</v>
      </c>
      <c r="BX86" s="88">
        <f ca="1">-MAX(0,MIN(BX35,BX84-Ass!$I$22))</f>
        <v>-14370037.854316846</v>
      </c>
      <c r="BY86" s="88">
        <f ca="1">-MAX(0,MIN(BY35,BY84-Ass!$I$22))</f>
        <v>-14004055.553525837</v>
      </c>
      <c r="BZ86" s="88">
        <f ca="1">-MAX(0,MIN(BZ35,BZ84-Ass!$I$22))</f>
        <v>-14601457.735345244</v>
      </c>
      <c r="CA86" s="88">
        <f ca="1">-MAX(0,MIN(CA35,CA84-Ass!$I$22))</f>
        <v>-15927609.059382938</v>
      </c>
      <c r="CB86" s="88">
        <f ca="1">-MAX(0,MIN(CB35,CB84-Ass!$I$22))</f>
        <v>-15975218.392679371</v>
      </c>
      <c r="CC86" s="88">
        <f ca="1">-MAX(0,MIN(CC35,CC84-Ass!$I$22))</f>
        <v>-15587219.058078155</v>
      </c>
      <c r="CD86" s="88">
        <f ca="1">-MAX(0,MIN(CD35,CD84-Ass!$I$22))</f>
        <v>-16282053.09724699</v>
      </c>
      <c r="CE86" s="88">
        <f ca="1">-MAX(0,MIN(CE35,CE84-Ass!$I$22))</f>
        <v>-17794845.229041256</v>
      </c>
      <c r="CF86" s="88">
        <f ca="1">-MAX(0,MIN(CF35,CF84-Ass!$I$22))</f>
        <v>-18865625.540976699</v>
      </c>
      <c r="CG86" s="88">
        <f ca="1">-MAX(0,MIN(CG35,CG84-Ass!$I$22))</f>
        <v>-18839212.422249097</v>
      </c>
      <c r="CH86" s="88">
        <f ca="1">-MAX(0,MIN(CH35,CH84-Ass!$I$22))</f>
        <v>-19184677.034486454</v>
      </c>
      <c r="CI86" s="88">
        <f ca="1">-MAX(0,MIN(CI35,CI84-Ass!$I$22))</f>
        <v>-20793039.29841473</v>
      </c>
      <c r="CJ86" s="88">
        <f ca="1">-MAX(0,MIN(CJ35,CJ84-Ass!$I$22))</f>
        <v>-21131116.411878332</v>
      </c>
      <c r="CK86" s="88">
        <f ca="1">-MAX(0,MIN(CK35,CK84-Ass!$I$22))</f>
        <v>-20916371.692026071</v>
      </c>
      <c r="CL86" s="88">
        <f ca="1">-MAX(0,MIN(CL35,CL84-Ass!$I$22))</f>
        <v>-21555061.258100022</v>
      </c>
      <c r="CM86" s="88">
        <f ca="1">-MAX(0,MIN(CM35,CM84-Ass!$I$22))</f>
        <v>-23201454.189773314</v>
      </c>
      <c r="CN86" s="88">
        <f ca="1">-MAX(0,MIN(CN35,CN84-Ass!$I$22))</f>
        <v>-11734677.477756262</v>
      </c>
    </row>
    <row r="87" spans="1:92" ht="12.75" customHeight="1" x14ac:dyDescent="0.3">
      <c r="C87" s="17"/>
      <c r="D87" s="51" t="s">
        <v>229</v>
      </c>
      <c r="H87" s="16" t="s">
        <v>1</v>
      </c>
      <c r="J87" s="51">
        <f ca="1">SUM(J84,J86)</f>
        <v>13833685.448290229</v>
      </c>
      <c r="L87" s="51">
        <f t="shared" ref="L87:AQ87" si="228">SUM(L84,L86)</f>
        <v>0</v>
      </c>
      <c r="M87" s="51">
        <f t="shared" ca="1" si="228"/>
        <v>1000000</v>
      </c>
      <c r="N87" s="51">
        <f t="shared" ca="1" si="228"/>
        <v>1000000</v>
      </c>
      <c r="O87" s="51">
        <f t="shared" ca="1" si="228"/>
        <v>1000000</v>
      </c>
      <c r="P87" s="51">
        <f t="shared" ca="1" si="228"/>
        <v>1000000</v>
      </c>
      <c r="Q87" s="51">
        <f t="shared" ca="1" si="228"/>
        <v>1000000</v>
      </c>
      <c r="R87" s="51">
        <f t="shared" ca="1" si="228"/>
        <v>1000000</v>
      </c>
      <c r="S87" s="51">
        <f t="shared" ca="1" si="228"/>
        <v>1000000</v>
      </c>
      <c r="T87" s="51">
        <f t="shared" ca="1" si="228"/>
        <v>1000000</v>
      </c>
      <c r="U87" s="51">
        <f t="shared" ca="1" si="228"/>
        <v>1000000</v>
      </c>
      <c r="V87" s="51">
        <f t="shared" ca="1" si="228"/>
        <v>1000000</v>
      </c>
      <c r="W87" s="51">
        <f t="shared" ca="1" si="228"/>
        <v>5622050.7693219157</v>
      </c>
      <c r="X87" s="51">
        <f t="shared" ca="1" si="228"/>
        <v>11297056.979357041</v>
      </c>
      <c r="Y87" s="51">
        <f t="shared" ca="1" si="228"/>
        <v>16213292.998891842</v>
      </c>
      <c r="Z87" s="51">
        <f t="shared" ca="1" si="228"/>
        <v>21350278.238555372</v>
      </c>
      <c r="AA87" s="51">
        <f t="shared" ca="1" si="228"/>
        <v>26673310.754366104</v>
      </c>
      <c r="AB87" s="51">
        <f t="shared" ca="1" si="228"/>
        <v>31951457.40546548</v>
      </c>
      <c r="AC87" s="51">
        <f t="shared" ca="1" si="228"/>
        <v>37181038.363385126</v>
      </c>
      <c r="AD87" s="51">
        <f t="shared" ca="1" si="228"/>
        <v>42532315.770598471</v>
      </c>
      <c r="AE87" s="51">
        <f t="shared" ca="1" si="228"/>
        <v>43196157.681529067</v>
      </c>
      <c r="AF87" s="51">
        <f t="shared" ca="1" si="228"/>
        <v>42152341.362140298</v>
      </c>
      <c r="AG87" s="51">
        <f t="shared" ca="1" si="228"/>
        <v>41044133.113632396</v>
      </c>
      <c r="AH87" s="51">
        <f t="shared" ca="1" si="228"/>
        <v>40059694.612005271</v>
      </c>
      <c r="AI87" s="51">
        <f t="shared" ca="1" si="228"/>
        <v>39111093.194047138</v>
      </c>
      <c r="AJ87" s="51">
        <f t="shared" ca="1" si="228"/>
        <v>38047840.384915665</v>
      </c>
      <c r="AK87" s="51">
        <f t="shared" ca="1" si="228"/>
        <v>36929699.427668355</v>
      </c>
      <c r="AL87" s="51">
        <f t="shared" ca="1" si="228"/>
        <v>35848484.435565904</v>
      </c>
      <c r="AM87" s="51">
        <f t="shared" ca="1" si="228"/>
        <v>34871968.001157649</v>
      </c>
      <c r="AN87" s="51">
        <f t="shared" ca="1" si="228"/>
        <v>33792331.610754296</v>
      </c>
      <c r="AO87" s="51">
        <f t="shared" ca="1" si="228"/>
        <v>32623017.837530985</v>
      </c>
      <c r="AP87" s="51">
        <f t="shared" ca="1" si="228"/>
        <v>31573993.967884049</v>
      </c>
      <c r="AQ87" s="51">
        <f t="shared" ca="1" si="228"/>
        <v>30619523.050971985</v>
      </c>
      <c r="AR87" s="51">
        <f t="shared" ref="AR87:BW87" ca="1" si="229">SUM(AR84,AR86)</f>
        <v>29542268.263713129</v>
      </c>
      <c r="AS87" s="51">
        <f t="shared" ca="1" si="229"/>
        <v>28341178.653256007</v>
      </c>
      <c r="AT87" s="51">
        <f t="shared" ca="1" si="229"/>
        <v>27294728.69013986</v>
      </c>
      <c r="AU87" s="51">
        <f t="shared" ca="1" si="229"/>
        <v>26332304.566669095</v>
      </c>
      <c r="AV87" s="51">
        <f t="shared" ca="1" si="229"/>
        <v>25256121.684525702</v>
      </c>
      <c r="AW87" s="51">
        <f t="shared" ca="1" si="229"/>
        <v>24045179.262574568</v>
      </c>
      <c r="AX87" s="51">
        <f t="shared" ca="1" si="229"/>
        <v>23000170.612514019</v>
      </c>
      <c r="AY87" s="51">
        <f t="shared" ca="1" si="229"/>
        <v>22054561.387830883</v>
      </c>
      <c r="AZ87" s="51">
        <f t="shared" ca="1" si="229"/>
        <v>20979757.202538989</v>
      </c>
      <c r="BA87" s="51">
        <f t="shared" ca="1" si="229"/>
        <v>19842339.657492556</v>
      </c>
      <c r="BB87" s="51">
        <f t="shared" ca="1" si="229"/>
        <v>18767449.647668812</v>
      </c>
      <c r="BC87" s="51">
        <f t="shared" ca="1" si="229"/>
        <v>17833793.251866981</v>
      </c>
      <c r="BD87" s="51">
        <f t="shared" ca="1" si="229"/>
        <v>16760909.097751845</v>
      </c>
      <c r="BE87" s="51">
        <f t="shared" ca="1" si="229"/>
        <v>15588404.324701756</v>
      </c>
      <c r="BF87" s="51">
        <f t="shared" ca="1" si="229"/>
        <v>14550136.312410802</v>
      </c>
      <c r="BG87" s="51">
        <f t="shared" ca="1" si="229"/>
        <v>13606940.193515651</v>
      </c>
      <c r="BH87" s="51">
        <f t="shared" ca="1" si="229"/>
        <v>12535547.374083903</v>
      </c>
      <c r="BI87" s="51">
        <f t="shared" ca="1" si="229"/>
        <v>11334492.604230266</v>
      </c>
      <c r="BJ87" s="51">
        <f t="shared" ca="1" si="229"/>
        <v>10298887.447239185</v>
      </c>
      <c r="BK87" s="51">
        <f t="shared" ca="1" si="229"/>
        <v>9381806.7685876861</v>
      </c>
      <c r="BL87" s="51">
        <f t="shared" ca="1" si="229"/>
        <v>8312851.1285947468</v>
      </c>
      <c r="BM87" s="51">
        <f t="shared" ca="1" si="229"/>
        <v>7120281.3333893158</v>
      </c>
      <c r="BN87" s="51">
        <f t="shared" ca="1" si="229"/>
        <v>6089346.7936524823</v>
      </c>
      <c r="BO87" s="51">
        <f t="shared" ca="1" si="229"/>
        <v>5169923.8146081641</v>
      </c>
      <c r="BP87" s="51">
        <f t="shared" ca="1" si="229"/>
        <v>4103427.788399728</v>
      </c>
      <c r="BQ87" s="51">
        <f t="shared" ca="1" si="229"/>
        <v>2947718.132052552</v>
      </c>
      <c r="BR87" s="51">
        <f t="shared" ca="1" si="229"/>
        <v>1881186.8063284326</v>
      </c>
      <c r="BS87" s="51">
        <f t="shared" ca="1" si="229"/>
        <v>1000000</v>
      </c>
      <c r="BT87" s="51">
        <f t="shared" ca="1" si="229"/>
        <v>1000000</v>
      </c>
      <c r="BU87" s="51">
        <f t="shared" ca="1" si="229"/>
        <v>1000000</v>
      </c>
      <c r="BV87" s="51">
        <f t="shared" ca="1" si="229"/>
        <v>1000000</v>
      </c>
      <c r="BW87" s="51">
        <f t="shared" ca="1" si="229"/>
        <v>1000000</v>
      </c>
      <c r="BX87" s="51">
        <f t="shared" ref="BX87:CN87" ca="1" si="230">SUM(BX84,BX86)</f>
        <v>1000000</v>
      </c>
      <c r="BY87" s="51">
        <f t="shared" ca="1" si="230"/>
        <v>1000000</v>
      </c>
      <c r="BZ87" s="51">
        <f t="shared" ca="1" si="230"/>
        <v>1000000</v>
      </c>
      <c r="CA87" s="51">
        <f t="shared" ca="1" si="230"/>
        <v>1000000</v>
      </c>
      <c r="CB87" s="51">
        <f t="shared" ca="1" si="230"/>
        <v>1000000</v>
      </c>
      <c r="CC87" s="51">
        <f t="shared" ca="1" si="230"/>
        <v>1000000</v>
      </c>
      <c r="CD87" s="51">
        <f t="shared" ca="1" si="230"/>
        <v>1000000</v>
      </c>
      <c r="CE87" s="51">
        <f t="shared" ca="1" si="230"/>
        <v>1000000</v>
      </c>
      <c r="CF87" s="51">
        <f t="shared" ca="1" si="230"/>
        <v>1000000</v>
      </c>
      <c r="CG87" s="51">
        <f t="shared" ca="1" si="230"/>
        <v>1000000</v>
      </c>
      <c r="CH87" s="51">
        <f t="shared" ca="1" si="230"/>
        <v>1000000</v>
      </c>
      <c r="CI87" s="51">
        <f t="shared" ca="1" si="230"/>
        <v>1211514.6276489832</v>
      </c>
      <c r="CJ87" s="51">
        <f t="shared" ca="1" si="230"/>
        <v>1173575.7402582429</v>
      </c>
      <c r="CK87" s="51">
        <f t="shared" ca="1" si="230"/>
        <v>1019034.9476248547</v>
      </c>
      <c r="CL87" s="51">
        <f t="shared" ca="1" si="230"/>
        <v>1043206.4668662772</v>
      </c>
      <c r="CM87" s="51">
        <f t="shared" ca="1" si="230"/>
        <v>1259205.3940725923</v>
      </c>
      <c r="CN87" s="51">
        <f t="shared" ca="1" si="230"/>
        <v>14833685.448290192</v>
      </c>
    </row>
    <row r="88" spans="1:92" ht="12.75" customHeight="1" x14ac:dyDescent="0.3">
      <c r="C88" s="17"/>
      <c r="D88" s="75"/>
      <c r="H88" s="16"/>
      <c r="J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</row>
    <row r="89" spans="1:92" ht="12.75" customHeight="1" x14ac:dyDescent="0.3">
      <c r="C89" s="17" t="s">
        <v>257</v>
      </c>
      <c r="D89" s="75"/>
      <c r="H89" s="16"/>
      <c r="J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</row>
    <row r="90" spans="1:92" ht="12.75" customHeight="1" x14ac:dyDescent="0.3">
      <c r="C90" s="17"/>
      <c r="D90" s="92" t="s">
        <v>227</v>
      </c>
      <c r="H90" s="16" t="s">
        <v>1</v>
      </c>
      <c r="J90" s="58"/>
      <c r="L90" s="15">
        <f>K92</f>
        <v>0</v>
      </c>
      <c r="M90" s="15">
        <f>L92</f>
        <v>1000000</v>
      </c>
      <c r="N90" s="15">
        <f t="shared" ref="N90:BY90" ca="1" si="231">M92</f>
        <v>1000000</v>
      </c>
      <c r="O90" s="15">
        <f t="shared" ca="1" si="231"/>
        <v>1000000</v>
      </c>
      <c r="P90" s="15">
        <f t="shared" ca="1" si="231"/>
        <v>1000000</v>
      </c>
      <c r="Q90" s="15">
        <f t="shared" ca="1" si="231"/>
        <v>1000000</v>
      </c>
      <c r="R90" s="15">
        <f t="shared" ca="1" si="231"/>
        <v>1000000</v>
      </c>
      <c r="S90" s="15">
        <f t="shared" ca="1" si="231"/>
        <v>1000000</v>
      </c>
      <c r="T90" s="15">
        <f t="shared" ca="1" si="231"/>
        <v>1000000</v>
      </c>
      <c r="U90" s="15">
        <f t="shared" ca="1" si="231"/>
        <v>1000000</v>
      </c>
      <c r="V90" s="15">
        <f t="shared" ca="1" si="231"/>
        <v>1000000</v>
      </c>
      <c r="W90" s="15">
        <f t="shared" ca="1" si="231"/>
        <v>1000000</v>
      </c>
      <c r="X90" s="15">
        <f t="shared" ca="1" si="231"/>
        <v>5622050.7693219157</v>
      </c>
      <c r="Y90" s="15">
        <f t="shared" ca="1" si="231"/>
        <v>11297056.979357041</v>
      </c>
      <c r="Z90" s="15">
        <f t="shared" ca="1" si="231"/>
        <v>16213292.998891842</v>
      </c>
      <c r="AA90" s="15">
        <f t="shared" ca="1" si="231"/>
        <v>21350278.238555372</v>
      </c>
      <c r="AB90" s="15">
        <f t="shared" ca="1" si="231"/>
        <v>26673310.754366104</v>
      </c>
      <c r="AC90" s="15">
        <f t="shared" ca="1" si="231"/>
        <v>31951457.40546548</v>
      </c>
      <c r="AD90" s="15">
        <f t="shared" ca="1" si="231"/>
        <v>37181038.363385126</v>
      </c>
      <c r="AE90" s="15">
        <f t="shared" ca="1" si="231"/>
        <v>42532315.770598471</v>
      </c>
      <c r="AF90" s="15">
        <f t="shared" ca="1" si="231"/>
        <v>43196157.681529067</v>
      </c>
      <c r="AG90" s="15">
        <f t="shared" ca="1" si="231"/>
        <v>42152341.362140298</v>
      </c>
      <c r="AH90" s="15">
        <f t="shared" ca="1" si="231"/>
        <v>41044133.113632396</v>
      </c>
      <c r="AI90" s="15">
        <f t="shared" ca="1" si="231"/>
        <v>40059694.612005271</v>
      </c>
      <c r="AJ90" s="15">
        <f t="shared" ca="1" si="231"/>
        <v>39111093.194047138</v>
      </c>
      <c r="AK90" s="15">
        <f t="shared" ca="1" si="231"/>
        <v>38047840.384915665</v>
      </c>
      <c r="AL90" s="15">
        <f t="shared" ca="1" si="231"/>
        <v>36929699.427668355</v>
      </c>
      <c r="AM90" s="15">
        <f t="shared" ca="1" si="231"/>
        <v>35848484.435565904</v>
      </c>
      <c r="AN90" s="15">
        <f t="shared" ca="1" si="231"/>
        <v>34871968.001157649</v>
      </c>
      <c r="AO90" s="15">
        <f t="shared" ca="1" si="231"/>
        <v>33792331.610754296</v>
      </c>
      <c r="AP90" s="15">
        <f t="shared" ca="1" si="231"/>
        <v>32623017.837530985</v>
      </c>
      <c r="AQ90" s="15">
        <f t="shared" ca="1" si="231"/>
        <v>31573993.967884049</v>
      </c>
      <c r="AR90" s="15">
        <f t="shared" ca="1" si="231"/>
        <v>30619523.050971985</v>
      </c>
      <c r="AS90" s="15">
        <f t="shared" ca="1" si="231"/>
        <v>29542268.263713129</v>
      </c>
      <c r="AT90" s="15">
        <f t="shared" ca="1" si="231"/>
        <v>28341178.653256007</v>
      </c>
      <c r="AU90" s="15">
        <f t="shared" ca="1" si="231"/>
        <v>27294728.69013986</v>
      </c>
      <c r="AV90" s="15">
        <f t="shared" ca="1" si="231"/>
        <v>26332304.566669095</v>
      </c>
      <c r="AW90" s="15">
        <f t="shared" ca="1" si="231"/>
        <v>25256121.684525702</v>
      </c>
      <c r="AX90" s="15">
        <f t="shared" ca="1" si="231"/>
        <v>24045179.262574568</v>
      </c>
      <c r="AY90" s="15">
        <f t="shared" ca="1" si="231"/>
        <v>23000170.612514019</v>
      </c>
      <c r="AZ90" s="15">
        <f t="shared" ca="1" si="231"/>
        <v>22054561.387830883</v>
      </c>
      <c r="BA90" s="15">
        <f t="shared" ca="1" si="231"/>
        <v>20979757.202538989</v>
      </c>
      <c r="BB90" s="15">
        <f t="shared" ca="1" si="231"/>
        <v>19842339.657492556</v>
      </c>
      <c r="BC90" s="15">
        <f t="shared" ca="1" si="231"/>
        <v>18767449.647668812</v>
      </c>
      <c r="BD90" s="15">
        <f t="shared" ca="1" si="231"/>
        <v>17833793.251866981</v>
      </c>
      <c r="BE90" s="15">
        <f t="shared" ca="1" si="231"/>
        <v>16760909.097751845</v>
      </c>
      <c r="BF90" s="15">
        <f t="shared" ca="1" si="231"/>
        <v>15588404.324701756</v>
      </c>
      <c r="BG90" s="15">
        <f t="shared" ca="1" si="231"/>
        <v>14550136.312410802</v>
      </c>
      <c r="BH90" s="15">
        <f t="shared" ca="1" si="231"/>
        <v>13606940.193515651</v>
      </c>
      <c r="BI90" s="15">
        <f t="shared" ca="1" si="231"/>
        <v>12535547.374083903</v>
      </c>
      <c r="BJ90" s="15">
        <f t="shared" ca="1" si="231"/>
        <v>11334492.604230266</v>
      </c>
      <c r="BK90" s="15">
        <f t="shared" ca="1" si="231"/>
        <v>10298887.447239185</v>
      </c>
      <c r="BL90" s="15">
        <f t="shared" ca="1" si="231"/>
        <v>9381806.7685876861</v>
      </c>
      <c r="BM90" s="15">
        <f t="shared" ca="1" si="231"/>
        <v>8312851.1285947468</v>
      </c>
      <c r="BN90" s="15">
        <f t="shared" ca="1" si="231"/>
        <v>7120281.3333893158</v>
      </c>
      <c r="BO90" s="15">
        <f t="shared" ca="1" si="231"/>
        <v>6089346.7936524823</v>
      </c>
      <c r="BP90" s="15">
        <f t="shared" ca="1" si="231"/>
        <v>5169923.8146081641</v>
      </c>
      <c r="BQ90" s="15">
        <f t="shared" ca="1" si="231"/>
        <v>4103427.788399728</v>
      </c>
      <c r="BR90" s="15">
        <f t="shared" ca="1" si="231"/>
        <v>2947718.132052552</v>
      </c>
      <c r="BS90" s="15">
        <f t="shared" ca="1" si="231"/>
        <v>1881186.8063284326</v>
      </c>
      <c r="BT90" s="15">
        <f t="shared" ca="1" si="231"/>
        <v>1000000</v>
      </c>
      <c r="BU90" s="15">
        <f t="shared" ca="1" si="231"/>
        <v>1000000</v>
      </c>
      <c r="BV90" s="15">
        <f t="shared" ca="1" si="231"/>
        <v>1000000</v>
      </c>
      <c r="BW90" s="15">
        <f t="shared" ca="1" si="231"/>
        <v>1000000</v>
      </c>
      <c r="BX90" s="15">
        <f t="shared" ca="1" si="231"/>
        <v>1000000</v>
      </c>
      <c r="BY90" s="15">
        <f t="shared" ca="1" si="231"/>
        <v>1000000</v>
      </c>
      <c r="BZ90" s="15">
        <f t="shared" ref="BZ90:CN90" ca="1" si="232">BY92</f>
        <v>1000000</v>
      </c>
      <c r="CA90" s="15">
        <f t="shared" ca="1" si="232"/>
        <v>1000000</v>
      </c>
      <c r="CB90" s="15">
        <f t="shared" ca="1" si="232"/>
        <v>1000000</v>
      </c>
      <c r="CC90" s="15">
        <f t="shared" ca="1" si="232"/>
        <v>1000000</v>
      </c>
      <c r="CD90" s="15">
        <f t="shared" ca="1" si="232"/>
        <v>1000000</v>
      </c>
      <c r="CE90" s="15">
        <f t="shared" ca="1" si="232"/>
        <v>1000000</v>
      </c>
      <c r="CF90" s="15">
        <f t="shared" ca="1" si="232"/>
        <v>1000000</v>
      </c>
      <c r="CG90" s="15">
        <f t="shared" ca="1" si="232"/>
        <v>1000000</v>
      </c>
      <c r="CH90" s="15">
        <f t="shared" ca="1" si="232"/>
        <v>1000000</v>
      </c>
      <c r="CI90" s="15">
        <f t="shared" ca="1" si="232"/>
        <v>1000000</v>
      </c>
      <c r="CJ90" s="15">
        <f t="shared" ca="1" si="232"/>
        <v>1211514.6276489832</v>
      </c>
      <c r="CK90" s="15">
        <f t="shared" ca="1" si="232"/>
        <v>1173575.7402582429</v>
      </c>
      <c r="CL90" s="15">
        <f t="shared" ca="1" si="232"/>
        <v>1019034.9476248547</v>
      </c>
      <c r="CM90" s="15">
        <f t="shared" ca="1" si="232"/>
        <v>1043206.4668662772</v>
      </c>
      <c r="CN90" s="15">
        <f t="shared" ca="1" si="232"/>
        <v>1259205.3940725923</v>
      </c>
    </row>
    <row r="91" spans="1:92" ht="12.75" customHeight="1" x14ac:dyDescent="0.3">
      <c r="C91" s="17"/>
      <c r="D91" s="92" t="s">
        <v>228</v>
      </c>
      <c r="H91" s="16" t="s">
        <v>1</v>
      </c>
      <c r="J91" s="58">
        <f ca="1">SUM(L91:CN91)</f>
        <v>13833685.448290192</v>
      </c>
      <c r="L91" s="15">
        <f t="shared" ref="L91:AQ91" si="233">L87-L71</f>
        <v>0</v>
      </c>
      <c r="M91" s="15">
        <f t="shared" ca="1" si="233"/>
        <v>0</v>
      </c>
      <c r="N91" s="15">
        <f t="shared" ca="1" si="233"/>
        <v>0</v>
      </c>
      <c r="O91" s="15">
        <f t="shared" ca="1" si="233"/>
        <v>0</v>
      </c>
      <c r="P91" s="15">
        <f t="shared" ca="1" si="233"/>
        <v>0</v>
      </c>
      <c r="Q91" s="15">
        <f t="shared" ca="1" si="233"/>
        <v>0</v>
      </c>
      <c r="R91" s="15">
        <f t="shared" ca="1" si="233"/>
        <v>0</v>
      </c>
      <c r="S91" s="15">
        <f t="shared" ca="1" si="233"/>
        <v>0</v>
      </c>
      <c r="T91" s="15">
        <f t="shared" ca="1" si="233"/>
        <v>0</v>
      </c>
      <c r="U91" s="15">
        <f t="shared" ca="1" si="233"/>
        <v>0</v>
      </c>
      <c r="V91" s="15">
        <f t="shared" ca="1" si="233"/>
        <v>0</v>
      </c>
      <c r="W91" s="15">
        <f t="shared" ca="1" si="233"/>
        <v>4622050.7693219157</v>
      </c>
      <c r="X91" s="15">
        <f t="shared" ca="1" si="233"/>
        <v>5675006.2100351257</v>
      </c>
      <c r="Y91" s="15">
        <f t="shared" ca="1" si="233"/>
        <v>4916236.0195348002</v>
      </c>
      <c r="Z91" s="15">
        <f t="shared" ca="1" si="233"/>
        <v>5136985.2396635301</v>
      </c>
      <c r="AA91" s="15">
        <f t="shared" ca="1" si="233"/>
        <v>5323032.5158107318</v>
      </c>
      <c r="AB91" s="15">
        <f t="shared" ca="1" si="233"/>
        <v>5278146.6510993764</v>
      </c>
      <c r="AC91" s="15">
        <f t="shared" ca="1" si="233"/>
        <v>5229580.9579196461</v>
      </c>
      <c r="AD91" s="15">
        <f t="shared" ca="1" si="233"/>
        <v>5351277.4072133452</v>
      </c>
      <c r="AE91" s="15">
        <f t="shared" ca="1" si="233"/>
        <v>663841.91093059629</v>
      </c>
      <c r="AF91" s="15">
        <f t="shared" ca="1" si="233"/>
        <v>-1043816.3193887696</v>
      </c>
      <c r="AG91" s="15">
        <f t="shared" ca="1" si="233"/>
        <v>-1108208.248507902</v>
      </c>
      <c r="AH91" s="15">
        <f t="shared" ca="1" si="233"/>
        <v>-984438.50162712485</v>
      </c>
      <c r="AI91" s="15">
        <f t="shared" ca="1" si="233"/>
        <v>-948601.41795813292</v>
      </c>
      <c r="AJ91" s="15">
        <f t="shared" ca="1" si="233"/>
        <v>-1063252.8091314733</v>
      </c>
      <c r="AK91" s="15">
        <f t="shared" ca="1" si="233"/>
        <v>-1118140.9572473094</v>
      </c>
      <c r="AL91" s="15">
        <f t="shared" ca="1" si="233"/>
        <v>-1081214.9921024516</v>
      </c>
      <c r="AM91" s="15">
        <f t="shared" ca="1" si="233"/>
        <v>-976516.43440825492</v>
      </c>
      <c r="AN91" s="15">
        <f t="shared" ca="1" si="233"/>
        <v>-1079636.3904033527</v>
      </c>
      <c r="AO91" s="15">
        <f t="shared" ca="1" si="233"/>
        <v>-1169313.7732233107</v>
      </c>
      <c r="AP91" s="15">
        <f t="shared" ca="1" si="233"/>
        <v>-1049023.8696469367</v>
      </c>
      <c r="AQ91" s="15">
        <f t="shared" ca="1" si="233"/>
        <v>-954470.91691206396</v>
      </c>
      <c r="AR91" s="15">
        <f t="shared" ref="AR91:BW91" ca="1" si="234">AR87-AR71</f>
        <v>-1077254.787258856</v>
      </c>
      <c r="AS91" s="15">
        <f t="shared" ca="1" si="234"/>
        <v>-1201089.6104571223</v>
      </c>
      <c r="AT91" s="15">
        <f t="shared" ca="1" si="234"/>
        <v>-1046449.9631161466</v>
      </c>
      <c r="AU91" s="15">
        <f t="shared" ca="1" si="234"/>
        <v>-962424.12347076461</v>
      </c>
      <c r="AV91" s="15">
        <f t="shared" ca="1" si="234"/>
        <v>-1076182.8821433932</v>
      </c>
      <c r="AW91" s="15">
        <f t="shared" ca="1" si="234"/>
        <v>-1210942.4219511338</v>
      </c>
      <c r="AX91" s="15">
        <f t="shared" ca="1" si="234"/>
        <v>-1045008.6500605494</v>
      </c>
      <c r="AY91" s="15">
        <f t="shared" ca="1" si="234"/>
        <v>-945609.22468313575</v>
      </c>
      <c r="AZ91" s="15">
        <f t="shared" ca="1" si="234"/>
        <v>-1074804.1852918938</v>
      </c>
      <c r="BA91" s="15">
        <f t="shared" ca="1" si="234"/>
        <v>-1137417.5450464338</v>
      </c>
      <c r="BB91" s="15">
        <f t="shared" ca="1" si="234"/>
        <v>-1074890.0098237433</v>
      </c>
      <c r="BC91" s="15">
        <f t="shared" ca="1" si="234"/>
        <v>-933656.39580183104</v>
      </c>
      <c r="BD91" s="15">
        <f t="shared" ca="1" si="234"/>
        <v>-1072884.1541151367</v>
      </c>
      <c r="BE91" s="15">
        <f t="shared" ca="1" si="234"/>
        <v>-1172504.7730500884</v>
      </c>
      <c r="BF91" s="15">
        <f t="shared" ca="1" si="234"/>
        <v>-1038268.0122909546</v>
      </c>
      <c r="BG91" s="15">
        <f t="shared" ca="1" si="234"/>
        <v>-943196.11889515072</v>
      </c>
      <c r="BH91" s="15">
        <f t="shared" ca="1" si="234"/>
        <v>-1071392.8194317482</v>
      </c>
      <c r="BI91" s="15">
        <f t="shared" ca="1" si="234"/>
        <v>-1201054.7698536366</v>
      </c>
      <c r="BJ91" s="15">
        <f t="shared" ca="1" si="234"/>
        <v>-1035605.1569910813</v>
      </c>
      <c r="BK91" s="15">
        <f t="shared" ca="1" si="234"/>
        <v>-917080.67865149863</v>
      </c>
      <c r="BL91" s="15">
        <f t="shared" ca="1" si="234"/>
        <v>-1068955.6399929393</v>
      </c>
      <c r="BM91" s="15">
        <f t="shared" ca="1" si="234"/>
        <v>-1192569.7952054311</v>
      </c>
      <c r="BN91" s="15">
        <f t="shared" ca="1" si="234"/>
        <v>-1030934.5397368334</v>
      </c>
      <c r="BO91" s="15">
        <f t="shared" ca="1" si="234"/>
        <v>-919422.9790443182</v>
      </c>
      <c r="BP91" s="15">
        <f t="shared" ca="1" si="234"/>
        <v>-1066496.0262084361</v>
      </c>
      <c r="BQ91" s="15">
        <f t="shared" ca="1" si="234"/>
        <v>-1155709.6563471761</v>
      </c>
      <c r="BR91" s="15">
        <f t="shared" ca="1" si="234"/>
        <v>-1066531.3257241193</v>
      </c>
      <c r="BS91" s="15">
        <f t="shared" ca="1" si="234"/>
        <v>-881186.80632843263</v>
      </c>
      <c r="BT91" s="15">
        <f t="shared" ca="1" si="234"/>
        <v>0</v>
      </c>
      <c r="BU91" s="15">
        <f t="shared" ca="1" si="234"/>
        <v>0</v>
      </c>
      <c r="BV91" s="15">
        <f t="shared" ca="1" si="234"/>
        <v>0</v>
      </c>
      <c r="BW91" s="15">
        <f t="shared" ca="1" si="234"/>
        <v>0</v>
      </c>
      <c r="BX91" s="15">
        <f t="shared" ref="BX91:CN91" ca="1" si="235">BX87-BX71</f>
        <v>0</v>
      </c>
      <c r="BY91" s="15">
        <f t="shared" ca="1" si="235"/>
        <v>0</v>
      </c>
      <c r="BZ91" s="15">
        <f t="shared" ca="1" si="235"/>
        <v>0</v>
      </c>
      <c r="CA91" s="15">
        <f t="shared" ca="1" si="235"/>
        <v>0</v>
      </c>
      <c r="CB91" s="15">
        <f t="shared" ca="1" si="235"/>
        <v>0</v>
      </c>
      <c r="CC91" s="15">
        <f t="shared" ca="1" si="235"/>
        <v>0</v>
      </c>
      <c r="CD91" s="15">
        <f t="shared" ca="1" si="235"/>
        <v>0</v>
      </c>
      <c r="CE91" s="15">
        <f t="shared" ca="1" si="235"/>
        <v>0</v>
      </c>
      <c r="CF91" s="15">
        <f t="shared" ca="1" si="235"/>
        <v>0</v>
      </c>
      <c r="CG91" s="15">
        <f t="shared" ca="1" si="235"/>
        <v>0</v>
      </c>
      <c r="CH91" s="15">
        <f t="shared" ca="1" si="235"/>
        <v>0</v>
      </c>
      <c r="CI91" s="15">
        <f t="shared" ca="1" si="235"/>
        <v>211514.62764898315</v>
      </c>
      <c r="CJ91" s="15">
        <f t="shared" ca="1" si="235"/>
        <v>-37938.887390740216</v>
      </c>
      <c r="CK91" s="15">
        <f t="shared" ca="1" si="235"/>
        <v>-154540.79263338819</v>
      </c>
      <c r="CL91" s="15">
        <f t="shared" ca="1" si="235"/>
        <v>24171.519241422415</v>
      </c>
      <c r="CM91" s="15">
        <f t="shared" ca="1" si="235"/>
        <v>215998.9272063151</v>
      </c>
      <c r="CN91" s="15">
        <f t="shared" ca="1" si="235"/>
        <v>13574480.054217599</v>
      </c>
    </row>
    <row r="92" spans="1:92" ht="12.75" customHeight="1" x14ac:dyDescent="0.3">
      <c r="C92" s="17"/>
      <c r="D92" s="94" t="s">
        <v>229</v>
      </c>
      <c r="H92" s="16" t="s">
        <v>1</v>
      </c>
      <c r="J92" s="50">
        <f ca="1">SUM(J90:J91)</f>
        <v>13833685.448290192</v>
      </c>
      <c r="L92" s="99">
        <f>Ass!I135</f>
        <v>1000000</v>
      </c>
      <c r="M92" s="50">
        <f t="shared" ref="M92:AR92" ca="1" si="236">SUM(M90:M91)</f>
        <v>1000000</v>
      </c>
      <c r="N92" s="50">
        <f t="shared" ca="1" si="236"/>
        <v>1000000</v>
      </c>
      <c r="O92" s="50">
        <f t="shared" ca="1" si="236"/>
        <v>1000000</v>
      </c>
      <c r="P92" s="50">
        <f t="shared" ca="1" si="236"/>
        <v>1000000</v>
      </c>
      <c r="Q92" s="50">
        <f t="shared" ca="1" si="236"/>
        <v>1000000</v>
      </c>
      <c r="R92" s="50">
        <f t="shared" ca="1" si="236"/>
        <v>1000000</v>
      </c>
      <c r="S92" s="50">
        <f t="shared" ca="1" si="236"/>
        <v>1000000</v>
      </c>
      <c r="T92" s="50">
        <f t="shared" ca="1" si="236"/>
        <v>1000000</v>
      </c>
      <c r="U92" s="50">
        <f t="shared" ca="1" si="236"/>
        <v>1000000</v>
      </c>
      <c r="V92" s="50">
        <f t="shared" ca="1" si="236"/>
        <v>1000000</v>
      </c>
      <c r="W92" s="50">
        <f t="shared" ca="1" si="236"/>
        <v>5622050.7693219157</v>
      </c>
      <c r="X92" s="50">
        <f t="shared" ca="1" si="236"/>
        <v>11297056.979357041</v>
      </c>
      <c r="Y92" s="50">
        <f t="shared" ca="1" si="236"/>
        <v>16213292.998891842</v>
      </c>
      <c r="Z92" s="50">
        <f t="shared" ca="1" si="236"/>
        <v>21350278.238555372</v>
      </c>
      <c r="AA92" s="50">
        <f t="shared" ca="1" si="236"/>
        <v>26673310.754366104</v>
      </c>
      <c r="AB92" s="50">
        <f t="shared" ca="1" si="236"/>
        <v>31951457.40546548</v>
      </c>
      <c r="AC92" s="50">
        <f t="shared" ca="1" si="236"/>
        <v>37181038.363385126</v>
      </c>
      <c r="AD92" s="50">
        <f t="shared" ca="1" si="236"/>
        <v>42532315.770598471</v>
      </c>
      <c r="AE92" s="50">
        <f t="shared" ca="1" si="236"/>
        <v>43196157.681529067</v>
      </c>
      <c r="AF92" s="50">
        <f t="shared" ca="1" si="236"/>
        <v>42152341.362140298</v>
      </c>
      <c r="AG92" s="50">
        <f t="shared" ca="1" si="236"/>
        <v>41044133.113632396</v>
      </c>
      <c r="AH92" s="50">
        <f t="shared" ca="1" si="236"/>
        <v>40059694.612005271</v>
      </c>
      <c r="AI92" s="50">
        <f t="shared" ca="1" si="236"/>
        <v>39111093.194047138</v>
      </c>
      <c r="AJ92" s="50">
        <f t="shared" ca="1" si="236"/>
        <v>38047840.384915665</v>
      </c>
      <c r="AK92" s="50">
        <f t="shared" ca="1" si="236"/>
        <v>36929699.427668355</v>
      </c>
      <c r="AL92" s="50">
        <f t="shared" ca="1" si="236"/>
        <v>35848484.435565904</v>
      </c>
      <c r="AM92" s="50">
        <f t="shared" ca="1" si="236"/>
        <v>34871968.001157649</v>
      </c>
      <c r="AN92" s="50">
        <f t="shared" ca="1" si="236"/>
        <v>33792331.610754296</v>
      </c>
      <c r="AO92" s="50">
        <f t="shared" ca="1" si="236"/>
        <v>32623017.837530985</v>
      </c>
      <c r="AP92" s="50">
        <f t="shared" ca="1" si="236"/>
        <v>31573993.967884049</v>
      </c>
      <c r="AQ92" s="50">
        <f t="shared" ca="1" si="236"/>
        <v>30619523.050971985</v>
      </c>
      <c r="AR92" s="50">
        <f t="shared" ca="1" si="236"/>
        <v>29542268.263713129</v>
      </c>
      <c r="AS92" s="50">
        <f t="shared" ref="AS92:BX92" ca="1" si="237">SUM(AS90:AS91)</f>
        <v>28341178.653256007</v>
      </c>
      <c r="AT92" s="50">
        <f t="shared" ca="1" si="237"/>
        <v>27294728.69013986</v>
      </c>
      <c r="AU92" s="50">
        <f t="shared" ca="1" si="237"/>
        <v>26332304.566669095</v>
      </c>
      <c r="AV92" s="50">
        <f t="shared" ca="1" si="237"/>
        <v>25256121.684525702</v>
      </c>
      <c r="AW92" s="50">
        <f t="shared" ca="1" si="237"/>
        <v>24045179.262574568</v>
      </c>
      <c r="AX92" s="50">
        <f t="shared" ca="1" si="237"/>
        <v>23000170.612514019</v>
      </c>
      <c r="AY92" s="50">
        <f t="shared" ca="1" si="237"/>
        <v>22054561.387830883</v>
      </c>
      <c r="AZ92" s="50">
        <f t="shared" ca="1" si="237"/>
        <v>20979757.202538989</v>
      </c>
      <c r="BA92" s="50">
        <f t="shared" ca="1" si="237"/>
        <v>19842339.657492556</v>
      </c>
      <c r="BB92" s="50">
        <f t="shared" ca="1" si="237"/>
        <v>18767449.647668812</v>
      </c>
      <c r="BC92" s="50">
        <f t="shared" ca="1" si="237"/>
        <v>17833793.251866981</v>
      </c>
      <c r="BD92" s="50">
        <f t="shared" ca="1" si="237"/>
        <v>16760909.097751845</v>
      </c>
      <c r="BE92" s="50">
        <f t="shared" ca="1" si="237"/>
        <v>15588404.324701756</v>
      </c>
      <c r="BF92" s="50">
        <f t="shared" ca="1" si="237"/>
        <v>14550136.312410802</v>
      </c>
      <c r="BG92" s="50">
        <f t="shared" ca="1" si="237"/>
        <v>13606940.193515651</v>
      </c>
      <c r="BH92" s="50">
        <f t="shared" ca="1" si="237"/>
        <v>12535547.374083903</v>
      </c>
      <c r="BI92" s="50">
        <f t="shared" ca="1" si="237"/>
        <v>11334492.604230266</v>
      </c>
      <c r="BJ92" s="50">
        <f t="shared" ca="1" si="237"/>
        <v>10298887.447239185</v>
      </c>
      <c r="BK92" s="50">
        <f t="shared" ca="1" si="237"/>
        <v>9381806.7685876861</v>
      </c>
      <c r="BL92" s="50">
        <f t="shared" ca="1" si="237"/>
        <v>8312851.1285947468</v>
      </c>
      <c r="BM92" s="50">
        <f t="shared" ca="1" si="237"/>
        <v>7120281.3333893158</v>
      </c>
      <c r="BN92" s="50">
        <f t="shared" ca="1" si="237"/>
        <v>6089346.7936524823</v>
      </c>
      <c r="BO92" s="50">
        <f t="shared" ca="1" si="237"/>
        <v>5169923.8146081641</v>
      </c>
      <c r="BP92" s="50">
        <f t="shared" ca="1" si="237"/>
        <v>4103427.788399728</v>
      </c>
      <c r="BQ92" s="50">
        <f t="shared" ca="1" si="237"/>
        <v>2947718.132052552</v>
      </c>
      <c r="BR92" s="50">
        <f t="shared" ca="1" si="237"/>
        <v>1881186.8063284326</v>
      </c>
      <c r="BS92" s="50">
        <f t="shared" ca="1" si="237"/>
        <v>1000000</v>
      </c>
      <c r="BT92" s="50">
        <f t="shared" ca="1" si="237"/>
        <v>1000000</v>
      </c>
      <c r="BU92" s="50">
        <f t="shared" ca="1" si="237"/>
        <v>1000000</v>
      </c>
      <c r="BV92" s="50">
        <f t="shared" ca="1" si="237"/>
        <v>1000000</v>
      </c>
      <c r="BW92" s="50">
        <f t="shared" ca="1" si="237"/>
        <v>1000000</v>
      </c>
      <c r="BX92" s="50">
        <f t="shared" ca="1" si="237"/>
        <v>1000000</v>
      </c>
      <c r="BY92" s="50">
        <f t="shared" ref="BY92:CN92" ca="1" si="238">SUM(BY90:BY91)</f>
        <v>1000000</v>
      </c>
      <c r="BZ92" s="50">
        <f t="shared" ca="1" si="238"/>
        <v>1000000</v>
      </c>
      <c r="CA92" s="50">
        <f t="shared" ca="1" si="238"/>
        <v>1000000</v>
      </c>
      <c r="CB92" s="50">
        <f t="shared" ca="1" si="238"/>
        <v>1000000</v>
      </c>
      <c r="CC92" s="50">
        <f t="shared" ca="1" si="238"/>
        <v>1000000</v>
      </c>
      <c r="CD92" s="50">
        <f t="shared" ca="1" si="238"/>
        <v>1000000</v>
      </c>
      <c r="CE92" s="50">
        <f t="shared" ca="1" si="238"/>
        <v>1000000</v>
      </c>
      <c r="CF92" s="50">
        <f t="shared" ca="1" si="238"/>
        <v>1000000</v>
      </c>
      <c r="CG92" s="50">
        <f t="shared" ca="1" si="238"/>
        <v>1000000</v>
      </c>
      <c r="CH92" s="50">
        <f t="shared" ca="1" si="238"/>
        <v>1000000</v>
      </c>
      <c r="CI92" s="50">
        <f t="shared" ca="1" si="238"/>
        <v>1211514.6276489832</v>
      </c>
      <c r="CJ92" s="50">
        <f t="shared" ca="1" si="238"/>
        <v>1173575.7402582429</v>
      </c>
      <c r="CK92" s="50">
        <f t="shared" ca="1" si="238"/>
        <v>1019034.9476248547</v>
      </c>
      <c r="CL92" s="50">
        <f t="shared" ca="1" si="238"/>
        <v>1043206.4668662772</v>
      </c>
      <c r="CM92" s="50">
        <f t="shared" ca="1" si="238"/>
        <v>1259205.3940725923</v>
      </c>
      <c r="CN92" s="50">
        <f t="shared" ca="1" si="238"/>
        <v>14833685.448290192</v>
      </c>
    </row>
    <row r="93" spans="1:92" ht="12.75" customHeight="1" x14ac:dyDescent="0.3">
      <c r="C93" s="17"/>
      <c r="D93" s="75"/>
    </row>
    <row r="94" spans="1:92" ht="13.2" x14ac:dyDescent="0.25">
      <c r="A94" s="14">
        <f>MAX(A$3:A93)+0.01</f>
        <v>5.0399999999999991</v>
      </c>
      <c r="B94" s="14"/>
      <c r="C94" s="14" t="s">
        <v>230</v>
      </c>
      <c r="D94" s="20"/>
      <c r="E94" s="14"/>
      <c r="F94" s="14"/>
      <c r="G94" s="14"/>
      <c r="H94" s="57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</row>
    <row r="95" spans="1:92" ht="12.75" customHeight="1" x14ac:dyDescent="0.3">
      <c r="C95" s="17"/>
      <c r="D95" s="56"/>
      <c r="H95" s="16"/>
    </row>
    <row r="96" spans="1:92" ht="12.75" customHeight="1" x14ac:dyDescent="0.3">
      <c r="C96" s="17" t="s">
        <v>241</v>
      </c>
      <c r="D96" s="56"/>
      <c r="H96" s="16"/>
    </row>
    <row r="97" spans="3:92" ht="12.75" customHeight="1" x14ac:dyDescent="0.3">
      <c r="C97" s="95"/>
      <c r="D97" s="102" t="s">
        <v>210</v>
      </c>
      <c r="E97" s="95"/>
      <c r="F97" s="95"/>
      <c r="G97" s="95"/>
      <c r="H97" s="16" t="s">
        <v>1</v>
      </c>
      <c r="J97" s="58">
        <f ca="1">SUM(L97:CN97)</f>
        <v>969780377.62727046</v>
      </c>
      <c r="L97" s="58">
        <f t="shared" ref="L97:AQ97" si="239">L31</f>
        <v>0</v>
      </c>
      <c r="M97" s="58">
        <f t="shared" ca="1" si="239"/>
        <v>-3521615.4776000008</v>
      </c>
      <c r="N97" s="58">
        <f t="shared" ca="1" si="239"/>
        <v>-3374255.2990558315</v>
      </c>
      <c r="O97" s="58">
        <f t="shared" ca="1" si="239"/>
        <v>-2984348.9846215709</v>
      </c>
      <c r="P97" s="58">
        <f t="shared" ca="1" si="239"/>
        <v>-3014435.0906525115</v>
      </c>
      <c r="Q97" s="58">
        <f t="shared" ca="1" si="239"/>
        <v>-3326250.0422806139</v>
      </c>
      <c r="R97" s="58">
        <f t="shared" ca="1" si="239"/>
        <v>-3146497.3977621081</v>
      </c>
      <c r="S97" s="58">
        <f t="shared" ca="1" si="239"/>
        <v>-2623306.8789155488</v>
      </c>
      <c r="T97" s="58">
        <f t="shared" ca="1" si="239"/>
        <v>-497157.38594733831</v>
      </c>
      <c r="U97" s="58">
        <f t="shared" ca="1" si="239"/>
        <v>-595274.2587311517</v>
      </c>
      <c r="V97" s="58">
        <f t="shared" ca="1" si="239"/>
        <v>-553170.02145582542</v>
      </c>
      <c r="W97" s="58">
        <f t="shared" ca="1" si="239"/>
        <v>49992.127229848411</v>
      </c>
      <c r="X97" s="58">
        <f t="shared" ca="1" si="239"/>
        <v>38929.670697811409</v>
      </c>
      <c r="Y97" s="58">
        <f t="shared" ca="1" si="239"/>
        <v>-273449.1862206409</v>
      </c>
      <c r="Z97" s="58">
        <f t="shared" ca="1" si="239"/>
        <v>-157521.21900571603</v>
      </c>
      <c r="AA97" s="58">
        <f t="shared" ca="1" si="239"/>
        <v>361954.54095309961</v>
      </c>
      <c r="AB97" s="58">
        <f t="shared" ca="1" si="239"/>
        <v>346577.39769565768</v>
      </c>
      <c r="AC97" s="58">
        <f t="shared" ca="1" si="239"/>
        <v>84001.479658785742</v>
      </c>
      <c r="AD97" s="58">
        <f t="shared" ca="1" si="239"/>
        <v>219286.73899944487</v>
      </c>
      <c r="AE97" s="58">
        <f t="shared" ca="1" si="239"/>
        <v>7099935.7117452323</v>
      </c>
      <c r="AF97" s="58">
        <f t="shared" ca="1" si="239"/>
        <v>9266590.9807825405</v>
      </c>
      <c r="AG97" s="58">
        <f t="shared" ca="1" si="239"/>
        <v>8907184.2630646285</v>
      </c>
      <c r="AH97" s="58">
        <f t="shared" ca="1" si="239"/>
        <v>9065862.5067118518</v>
      </c>
      <c r="AI97" s="58">
        <f t="shared" ca="1" si="239"/>
        <v>9797932.0755264238</v>
      </c>
      <c r="AJ97" s="58">
        <f t="shared" ca="1" si="239"/>
        <v>9810379.8831753097</v>
      </c>
      <c r="AK97" s="58">
        <f t="shared" ca="1" si="239"/>
        <v>9688835.1407140419</v>
      </c>
      <c r="AL97" s="58">
        <f t="shared" ca="1" si="239"/>
        <v>9704071.3143695183</v>
      </c>
      <c r="AM97" s="58">
        <f t="shared" ca="1" si="239"/>
        <v>10331155.61500345</v>
      </c>
      <c r="AN97" s="58">
        <f t="shared" ca="1" si="239"/>
        <v>10352009.604445415</v>
      </c>
      <c r="AO97" s="58">
        <f t="shared" ca="1" si="239"/>
        <v>10037139.147792812</v>
      </c>
      <c r="AP97" s="58">
        <f t="shared" ca="1" si="239"/>
        <v>10226486.192369472</v>
      </c>
      <c r="AQ97" s="58">
        <f t="shared" ca="1" si="239"/>
        <v>10959288.423354</v>
      </c>
      <c r="AR97" s="58">
        <f t="shared" ref="AR97:BW97" ca="1" si="240">AR31</f>
        <v>10992373.75968533</v>
      </c>
      <c r="AS97" s="58">
        <f t="shared" ca="1" si="240"/>
        <v>10665232.670562096</v>
      </c>
      <c r="AT97" s="58">
        <f t="shared" ca="1" si="240"/>
        <v>10875084.064616295</v>
      </c>
      <c r="AU97" s="58">
        <f t="shared" ca="1" si="240"/>
        <v>11599592.784659972</v>
      </c>
      <c r="AV97" s="58">
        <f t="shared" ca="1" si="240"/>
        <v>11644784.714645712</v>
      </c>
      <c r="AW97" s="58">
        <f t="shared" ca="1" si="240"/>
        <v>11315363.192666059</v>
      </c>
      <c r="AX97" s="58">
        <f t="shared" ca="1" si="240"/>
        <v>11545972.558513191</v>
      </c>
      <c r="AY97" s="58">
        <f t="shared" ca="1" si="240"/>
        <v>12380353.331820669</v>
      </c>
      <c r="AZ97" s="58">
        <f t="shared" ca="1" si="240"/>
        <v>12443140.228471071</v>
      </c>
      <c r="BA97" s="58">
        <f t="shared" ca="1" si="240"/>
        <v>12312105.064324347</v>
      </c>
      <c r="BB97" s="58">
        <f t="shared" ca="1" si="240"/>
        <v>12380168.25803709</v>
      </c>
      <c r="BC97" s="58">
        <f t="shared" ca="1" si="240"/>
        <v>13293307.842438525</v>
      </c>
      <c r="BD97" s="58">
        <f t="shared" ca="1" si="240"/>
        <v>13376943.650306549</v>
      </c>
      <c r="BE97" s="58">
        <f t="shared" ca="1" si="240"/>
        <v>13053625.141406545</v>
      </c>
      <c r="BF97" s="58">
        <f t="shared" ca="1" si="240"/>
        <v>13345220.345995702</v>
      </c>
      <c r="BG97" s="58">
        <f t="shared" ca="1" si="240"/>
        <v>14238166.922683623</v>
      </c>
      <c r="BH97" s="58">
        <f t="shared" ca="1" si="240"/>
        <v>14342632.871682443</v>
      </c>
      <c r="BI97" s="58">
        <f t="shared" ca="1" si="240"/>
        <v>14014230.078428566</v>
      </c>
      <c r="BJ97" s="58">
        <f t="shared" ca="1" si="240"/>
        <v>14339286.250347832</v>
      </c>
      <c r="BK97" s="58">
        <f t="shared" ca="1" si="240"/>
        <v>15402700.225108974</v>
      </c>
      <c r="BL97" s="58">
        <f t="shared" ca="1" si="240"/>
        <v>15536100.922532436</v>
      </c>
      <c r="BM97" s="58">
        <f t="shared" ca="1" si="240"/>
        <v>15211019.0049688</v>
      </c>
      <c r="BN97" s="58">
        <f t="shared" ca="1" si="240"/>
        <v>15580504.247669918</v>
      </c>
      <c r="BO97" s="58">
        <f t="shared" ca="1" si="240"/>
        <v>16680561.780888543</v>
      </c>
      <c r="BP97" s="58">
        <f t="shared" ca="1" si="240"/>
        <v>16844896.428796254</v>
      </c>
      <c r="BQ97" s="58">
        <f t="shared" ca="1" si="240"/>
        <v>16767706.585857075</v>
      </c>
      <c r="BR97" s="58">
        <f t="shared" ca="1" si="240"/>
        <v>16942398.85034319</v>
      </c>
      <c r="BS97" s="58">
        <f t="shared" ca="1" si="240"/>
        <v>18263613.793868508</v>
      </c>
      <c r="BT97" s="58">
        <f t="shared" ca="1" si="240"/>
        <v>18470091.19782903</v>
      </c>
      <c r="BU97" s="58">
        <f t="shared" ca="1" si="240"/>
        <v>18147813.965802889</v>
      </c>
      <c r="BV97" s="58">
        <f t="shared" ca="1" si="240"/>
        <v>18628882.146849252</v>
      </c>
      <c r="BW97" s="58">
        <f t="shared" ca="1" si="240"/>
        <v>20045970.380774356</v>
      </c>
      <c r="BX97" s="58">
        <f t="shared" ref="BX97:CN97" ca="1" si="241">BX31</f>
        <v>20300584.859472398</v>
      </c>
      <c r="BY97" s="58">
        <f t="shared" ca="1" si="241"/>
        <v>19991796.911239415</v>
      </c>
      <c r="BZ97" s="58">
        <f t="shared" ca="1" si="241"/>
        <v>20544436.495620154</v>
      </c>
      <c r="CA97" s="58">
        <f t="shared" ca="1" si="241"/>
        <v>22095273.480178446</v>
      </c>
      <c r="CB97" s="58">
        <f t="shared" ca="1" si="241"/>
        <v>22405144.30503729</v>
      </c>
      <c r="CC97" s="58">
        <f t="shared" ca="1" si="241"/>
        <v>22108472.131845597</v>
      </c>
      <c r="CD97" s="58">
        <f t="shared" ca="1" si="241"/>
        <v>22744045.68525001</v>
      </c>
      <c r="CE97" s="58">
        <f t="shared" ca="1" si="241"/>
        <v>24506126.818276577</v>
      </c>
      <c r="CF97" s="58">
        <f t="shared" ca="1" si="241"/>
        <v>24883037.094685022</v>
      </c>
      <c r="CG97" s="58">
        <f t="shared" ca="1" si="241"/>
        <v>24921383.084725779</v>
      </c>
      <c r="CH97" s="58">
        <f t="shared" ca="1" si="241"/>
        <v>25304480.44217537</v>
      </c>
      <c r="CI97" s="58">
        <f t="shared" ca="1" si="241"/>
        <v>27359262.234756224</v>
      </c>
      <c r="CJ97" s="58">
        <f t="shared" ca="1" si="241"/>
        <v>27804100.541945174</v>
      </c>
      <c r="CK97" s="58">
        <f t="shared" ca="1" si="241"/>
        <v>27521541.700034302</v>
      </c>
      <c r="CL97" s="58">
        <f t="shared" ca="1" si="241"/>
        <v>28361922.708026342</v>
      </c>
      <c r="CM97" s="58">
        <f t="shared" ca="1" si="241"/>
        <v>30528229.197070148</v>
      </c>
      <c r="CN97" s="58">
        <f t="shared" ca="1" si="241"/>
        <v>15440365.10231087</v>
      </c>
    </row>
    <row r="98" spans="3:92" ht="12.75" customHeight="1" x14ac:dyDescent="0.3">
      <c r="C98"/>
      <c r="D98" s="56" t="s">
        <v>231</v>
      </c>
      <c r="E98" s="95"/>
      <c r="F98" s="95"/>
      <c r="G98" s="95"/>
      <c r="H98" s="16" t="s">
        <v>1</v>
      </c>
      <c r="J98" s="58">
        <f ca="1">SUM(L98:CN98)</f>
        <v>277043621.39060712</v>
      </c>
      <c r="L98" s="58">
        <f t="shared" ref="L98:AQ98" si="242">-SUM(L24:L25)</f>
        <v>0</v>
      </c>
      <c r="M98" s="58">
        <f t="shared" ca="1" si="242"/>
        <v>10525000</v>
      </c>
      <c r="N98" s="58">
        <f t="shared" ca="1" si="242"/>
        <v>10575000</v>
      </c>
      <c r="O98" s="58">
        <f t="shared" ca="1" si="242"/>
        <v>10737786.641254868</v>
      </c>
      <c r="P98" s="58">
        <f t="shared" ca="1" si="242"/>
        <v>10851850.767955597</v>
      </c>
      <c r="Q98" s="58">
        <f t="shared" ca="1" si="242"/>
        <v>10970958.958116394</v>
      </c>
      <c r="R98" s="58">
        <f t="shared" ca="1" si="242"/>
        <v>11022358.958116394</v>
      </c>
      <c r="S98" s="58">
        <f t="shared" ca="1" si="242"/>
        <v>11074115.040758664</v>
      </c>
      <c r="T98" s="58">
        <f t="shared" ca="1" si="242"/>
        <v>9021229.6728690416</v>
      </c>
      <c r="U98" s="58">
        <f t="shared" ca="1" si="242"/>
        <v>9073705.3383627404</v>
      </c>
      <c r="V98" s="58">
        <f t="shared" ca="1" si="242"/>
        <v>9126544.5383627396</v>
      </c>
      <c r="W98" s="58">
        <f t="shared" ca="1" si="242"/>
        <v>9179749.791318994</v>
      </c>
      <c r="X98" s="58">
        <f t="shared" ca="1" si="242"/>
        <v>9233323.6331284605</v>
      </c>
      <c r="Y98" s="58">
        <f t="shared" ca="1" si="242"/>
        <v>9287268.6172559839</v>
      </c>
      <c r="Z98" s="58">
        <f t="shared" ca="1" si="242"/>
        <v>9341587.3148559853</v>
      </c>
      <c r="AA98" s="58">
        <f t="shared" ca="1" si="242"/>
        <v>9354326.9949839637</v>
      </c>
      <c r="AB98" s="58">
        <f t="shared" ca="1" si="242"/>
        <v>9409400.9043640979</v>
      </c>
      <c r="AC98" s="58">
        <f t="shared" ca="1" si="242"/>
        <v>9422317.7087040488</v>
      </c>
      <c r="AD98" s="58">
        <f t="shared" ca="1" si="242"/>
        <v>9478157.3298368491</v>
      </c>
      <c r="AE98" s="58">
        <f t="shared" ca="1" si="242"/>
        <v>3219383.78987697</v>
      </c>
      <c r="AF98" s="58">
        <f t="shared" ca="1" si="242"/>
        <v>1107630.8094415639</v>
      </c>
      <c r="AG98" s="58">
        <f t="shared" ca="1" si="242"/>
        <v>1164639.0055477843</v>
      </c>
      <c r="AH98" s="58">
        <f t="shared" ca="1" si="242"/>
        <v>1172042.1360723027</v>
      </c>
      <c r="AI98" s="58">
        <f t="shared" ca="1" si="242"/>
        <v>1109011.6156497274</v>
      </c>
      <c r="AJ98" s="58">
        <f t="shared" ca="1" si="242"/>
        <v>1116517.6744775558</v>
      </c>
      <c r="AK98" s="58">
        <f t="shared" ca="1" si="242"/>
        <v>1098552.5492570952</v>
      </c>
      <c r="AL98" s="58">
        <f t="shared" ca="1" si="242"/>
        <v>1106162.9674363001</v>
      </c>
      <c r="AM98" s="58">
        <f t="shared" ca="1" si="242"/>
        <v>1113826.1081410695</v>
      </c>
      <c r="AN98" s="58">
        <f t="shared" ca="1" si="242"/>
        <v>1121542.3366160772</v>
      </c>
      <c r="AO98" s="58">
        <f t="shared" ca="1" si="242"/>
        <v>1129312.0206362936</v>
      </c>
      <c r="AP98" s="58">
        <f t="shared" ca="1" si="242"/>
        <v>1137135.5305245162</v>
      </c>
      <c r="AQ98" s="58">
        <f t="shared" ca="1" si="242"/>
        <v>1145013.2391690195</v>
      </c>
      <c r="AR98" s="58">
        <f t="shared" ref="AR98:BW98" ca="1" si="243">-SUM(AR24:AR25)</f>
        <v>1152945.5220413276</v>
      </c>
      <c r="AS98" s="58">
        <f t="shared" ca="1" si="243"/>
        <v>1160932.7572141099</v>
      </c>
      <c r="AT98" s="58">
        <f t="shared" ca="1" si="243"/>
        <v>1168975.3253792026</v>
      </c>
      <c r="AU98" s="58">
        <f t="shared" ca="1" si="243"/>
        <v>1177073.6098657516</v>
      </c>
      <c r="AV98" s="58">
        <f t="shared" ca="1" si="243"/>
        <v>1185227.996658484</v>
      </c>
      <c r="AW98" s="58">
        <f t="shared" ca="1" si="243"/>
        <v>1193438.8744161041</v>
      </c>
      <c r="AX98" s="58">
        <f t="shared" ca="1" si="243"/>
        <v>1201706.6344898196</v>
      </c>
      <c r="AY98" s="58">
        <f t="shared" ca="1" si="243"/>
        <v>1210031.6709419922</v>
      </c>
      <c r="AZ98" s="58">
        <f t="shared" ca="1" si="243"/>
        <v>1218414.3805649211</v>
      </c>
      <c r="BA98" s="58">
        <f t="shared" ca="1" si="243"/>
        <v>1226855.1628997547</v>
      </c>
      <c r="BB98" s="58">
        <f t="shared" ca="1" si="243"/>
        <v>1235354.4202555341</v>
      </c>
      <c r="BC98" s="58">
        <f t="shared" ca="1" si="243"/>
        <v>1243912.5577283674</v>
      </c>
      <c r="BD98" s="58">
        <f t="shared" ca="1" si="243"/>
        <v>1252529.9832207381</v>
      </c>
      <c r="BE98" s="58">
        <f t="shared" ca="1" si="243"/>
        <v>1261207.1074609475</v>
      </c>
      <c r="BF98" s="58">
        <f t="shared" ca="1" si="243"/>
        <v>1269944.3440226887</v>
      </c>
      <c r="BG98" s="58">
        <f t="shared" ca="1" si="243"/>
        <v>1278742.1093447614</v>
      </c>
      <c r="BH98" s="58">
        <f t="shared" ca="1" si="243"/>
        <v>1287600.8227509188</v>
      </c>
      <c r="BI98" s="58">
        <f t="shared" ca="1" si="243"/>
        <v>1296520.9064698538</v>
      </c>
      <c r="BJ98" s="58">
        <f t="shared" ca="1" si="243"/>
        <v>1305502.7856553234</v>
      </c>
      <c r="BK98" s="58">
        <f t="shared" ca="1" si="243"/>
        <v>1314546.8884064145</v>
      </c>
      <c r="BL98" s="58">
        <f t="shared" ca="1" si="243"/>
        <v>1323653.6457879441</v>
      </c>
      <c r="BM98" s="58">
        <f t="shared" ca="1" si="243"/>
        <v>1332823.491851009</v>
      </c>
      <c r="BN98" s="58">
        <f t="shared" ca="1" si="243"/>
        <v>1342056.8636536724</v>
      </c>
      <c r="BO98" s="58">
        <f t="shared" ca="1" si="243"/>
        <v>1351354.2012817934</v>
      </c>
      <c r="BP98" s="58">
        <f t="shared" ca="1" si="243"/>
        <v>1360715.9478700061</v>
      </c>
      <c r="BQ98" s="58">
        <f t="shared" ca="1" si="243"/>
        <v>1370142.549622837</v>
      </c>
      <c r="BR98" s="58">
        <f t="shared" ca="1" si="243"/>
        <v>1379634.4558359745</v>
      </c>
      <c r="BS98" s="58">
        <f t="shared" ca="1" si="243"/>
        <v>1389192.1189176834</v>
      </c>
      <c r="BT98" s="58">
        <f t="shared" ca="1" si="243"/>
        <v>1398815.9944103658</v>
      </c>
      <c r="BU98" s="58">
        <f t="shared" ca="1" si="243"/>
        <v>1408506.5410122764</v>
      </c>
      <c r="BV98" s="58">
        <f t="shared" ca="1" si="243"/>
        <v>1418264.2205993815</v>
      </c>
      <c r="BW98" s="58">
        <f t="shared" ca="1" si="243"/>
        <v>1428089.498247378</v>
      </c>
      <c r="BX98" s="58">
        <f t="shared" ref="BX98:CN98" ca="1" si="244">-SUM(BX24:BX25)</f>
        <v>1437982.8422538559</v>
      </c>
      <c r="BY98" s="58">
        <f t="shared" ca="1" si="244"/>
        <v>1447944.7241606195</v>
      </c>
      <c r="BZ98" s="58">
        <f t="shared" ca="1" si="244"/>
        <v>1457975.618776164</v>
      </c>
      <c r="CA98" s="58">
        <f t="shared" ca="1" si="244"/>
        <v>1468076.0041983044</v>
      </c>
      <c r="CB98" s="58">
        <f t="shared" ca="1" si="244"/>
        <v>1478246.3618369631</v>
      </c>
      <c r="CC98" s="58">
        <f t="shared" ca="1" si="244"/>
        <v>1488487.1764371162</v>
      </c>
      <c r="CD98" s="58">
        <f t="shared" ca="1" si="244"/>
        <v>1498798.9361018962</v>
      </c>
      <c r="CE98" s="58">
        <f t="shared" ca="1" si="244"/>
        <v>1509182.1323158566</v>
      </c>
      <c r="CF98" s="58">
        <f t="shared" ca="1" si="244"/>
        <v>1519637.2599683979</v>
      </c>
      <c r="CG98" s="58">
        <f t="shared" ca="1" si="244"/>
        <v>1530164.8173773554</v>
      </c>
      <c r="CH98" s="58">
        <f t="shared" ca="1" si="244"/>
        <v>1540765.3063127487</v>
      </c>
      <c r="CI98" s="58">
        <f t="shared" ca="1" si="244"/>
        <v>1551439.2320206999</v>
      </c>
      <c r="CJ98" s="58">
        <f t="shared" ca="1" si="244"/>
        <v>1562187.1032475126</v>
      </c>
      <c r="CK98" s="58">
        <f t="shared" ca="1" si="244"/>
        <v>1573009.4322639205</v>
      </c>
      <c r="CL98" s="58">
        <f t="shared" ca="1" si="244"/>
        <v>1583906.7348895054</v>
      </c>
      <c r="CM98" s="58">
        <f t="shared" ca="1" si="244"/>
        <v>1594879.5305172794</v>
      </c>
      <c r="CN98" s="58">
        <f t="shared" ca="1" si="244"/>
        <v>17230772.795960445</v>
      </c>
    </row>
    <row r="99" spans="3:92" ht="12.75" customHeight="1" x14ac:dyDescent="0.3">
      <c r="C99"/>
      <c r="D99" s="56" t="s">
        <v>232</v>
      </c>
      <c r="E99" s="95"/>
      <c r="F99" s="95"/>
      <c r="G99" s="95"/>
      <c r="H99" s="16" t="s">
        <v>1</v>
      </c>
      <c r="J99" s="58">
        <f>SUM(L99:CN99)</f>
        <v>-42535013.505508944</v>
      </c>
      <c r="L99" s="58">
        <f>CapexDA!L125</f>
        <v>0</v>
      </c>
      <c r="M99" s="58">
        <f>CapexDA!M125</f>
        <v>-6198727.8240000028</v>
      </c>
      <c r="N99" s="58">
        <f>CapexDA!N125</f>
        <v>-5578855.0416000038</v>
      </c>
      <c r="O99" s="58">
        <f>CapexDA!O125</f>
        <v>-5020969.5374400029</v>
      </c>
      <c r="P99" s="58">
        <f>CapexDA!P125</f>
        <v>-4518872.5836960031</v>
      </c>
      <c r="Q99" s="58">
        <f>CapexDA!Q125</f>
        <v>-4066985.3253264031</v>
      </c>
      <c r="R99" s="58">
        <f>CapexDA!R125</f>
        <v>-3660286.7927937629</v>
      </c>
      <c r="S99" s="58">
        <f>CapexDA!S125</f>
        <v>-3294258.1135143861</v>
      </c>
      <c r="T99" s="58">
        <f>CapexDA!T125</f>
        <v>-2964832.3021629481</v>
      </c>
      <c r="U99" s="58">
        <f>CapexDA!U125</f>
        <v>-2668349.071946654</v>
      </c>
      <c r="V99" s="58">
        <f>CapexDA!V125</f>
        <v>-2401514.1647519888</v>
      </c>
      <c r="W99" s="58">
        <f>CapexDA!W125</f>
        <v>-2161362.7482767906</v>
      </c>
      <c r="X99" s="58">
        <f>CapexDA!X125</f>
        <v>0</v>
      </c>
      <c r="Y99" s="58">
        <f>CapexDA!Y125</f>
        <v>0</v>
      </c>
      <c r="Z99" s="58">
        <f>CapexDA!Z125</f>
        <v>0</v>
      </c>
      <c r="AA99" s="58">
        <f>CapexDA!AA125</f>
        <v>0</v>
      </c>
      <c r="AB99" s="58">
        <f>CapexDA!AB125</f>
        <v>0</v>
      </c>
      <c r="AC99" s="58">
        <f>CapexDA!AC125</f>
        <v>0</v>
      </c>
      <c r="AD99" s="58">
        <f>CapexDA!AD125</f>
        <v>0</v>
      </c>
      <c r="AE99" s="58">
        <f>CapexDA!AE125</f>
        <v>0</v>
      </c>
      <c r="AF99" s="58">
        <f>CapexDA!AF125</f>
        <v>0</v>
      </c>
      <c r="AG99" s="58">
        <f>CapexDA!AG125</f>
        <v>0</v>
      </c>
      <c r="AH99" s="58">
        <f>CapexDA!AH125</f>
        <v>0</v>
      </c>
      <c r="AI99" s="58">
        <f>CapexDA!AI125</f>
        <v>0</v>
      </c>
      <c r="AJ99" s="58">
        <f>CapexDA!AJ125</f>
        <v>0</v>
      </c>
      <c r="AK99" s="58">
        <f>CapexDA!AK125</f>
        <v>0</v>
      </c>
      <c r="AL99" s="58">
        <f>CapexDA!AL125</f>
        <v>0</v>
      </c>
      <c r="AM99" s="58">
        <f>CapexDA!AM125</f>
        <v>0</v>
      </c>
      <c r="AN99" s="58">
        <f>CapexDA!AN125</f>
        <v>0</v>
      </c>
      <c r="AO99" s="58">
        <f>CapexDA!AO125</f>
        <v>0</v>
      </c>
      <c r="AP99" s="58">
        <f>CapexDA!AP125</f>
        <v>0</v>
      </c>
      <c r="AQ99" s="58">
        <f>CapexDA!AQ125</f>
        <v>0</v>
      </c>
      <c r="AR99" s="58">
        <f>CapexDA!AR125</f>
        <v>0</v>
      </c>
      <c r="AS99" s="58">
        <f>CapexDA!AS125</f>
        <v>0</v>
      </c>
      <c r="AT99" s="58">
        <f>CapexDA!AT125</f>
        <v>0</v>
      </c>
      <c r="AU99" s="58">
        <f>CapexDA!AU125</f>
        <v>0</v>
      </c>
      <c r="AV99" s="58">
        <f>CapexDA!AV125</f>
        <v>0</v>
      </c>
      <c r="AW99" s="58">
        <f>CapexDA!AW125</f>
        <v>0</v>
      </c>
      <c r="AX99" s="58">
        <f>CapexDA!AX125</f>
        <v>0</v>
      </c>
      <c r="AY99" s="58">
        <f>CapexDA!AY125</f>
        <v>0</v>
      </c>
      <c r="AZ99" s="58">
        <f>CapexDA!AZ125</f>
        <v>0</v>
      </c>
      <c r="BA99" s="58">
        <f>CapexDA!BA125</f>
        <v>0</v>
      </c>
      <c r="BB99" s="58">
        <f>CapexDA!BB125</f>
        <v>0</v>
      </c>
      <c r="BC99" s="58">
        <f>CapexDA!BC125</f>
        <v>0</v>
      </c>
      <c r="BD99" s="58">
        <f>CapexDA!BD125</f>
        <v>0</v>
      </c>
      <c r="BE99" s="58">
        <f>CapexDA!BE125</f>
        <v>0</v>
      </c>
      <c r="BF99" s="58">
        <f>CapexDA!BF125</f>
        <v>0</v>
      </c>
      <c r="BG99" s="58">
        <f>CapexDA!BG125</f>
        <v>0</v>
      </c>
      <c r="BH99" s="58">
        <f>CapexDA!BH125</f>
        <v>0</v>
      </c>
      <c r="BI99" s="58">
        <f>CapexDA!BI125</f>
        <v>0</v>
      </c>
      <c r="BJ99" s="58">
        <f>CapexDA!BJ125</f>
        <v>0</v>
      </c>
      <c r="BK99" s="58">
        <f>CapexDA!BK125</f>
        <v>0</v>
      </c>
      <c r="BL99" s="58">
        <f>CapexDA!BL125</f>
        <v>0</v>
      </c>
      <c r="BM99" s="58">
        <f>CapexDA!BM125</f>
        <v>0</v>
      </c>
      <c r="BN99" s="58">
        <f>CapexDA!BN125</f>
        <v>0</v>
      </c>
      <c r="BO99" s="58">
        <f>CapexDA!BO125</f>
        <v>0</v>
      </c>
      <c r="BP99" s="58">
        <f>CapexDA!BP125</f>
        <v>0</v>
      </c>
      <c r="BQ99" s="58">
        <f>CapexDA!BQ125</f>
        <v>0</v>
      </c>
      <c r="BR99" s="58">
        <f>CapexDA!BR125</f>
        <v>0</v>
      </c>
      <c r="BS99" s="58">
        <f>CapexDA!BS125</f>
        <v>0</v>
      </c>
      <c r="BT99" s="58">
        <f>CapexDA!BT125</f>
        <v>0</v>
      </c>
      <c r="BU99" s="58">
        <f>CapexDA!BU125</f>
        <v>0</v>
      </c>
      <c r="BV99" s="58">
        <f>CapexDA!BV125</f>
        <v>0</v>
      </c>
      <c r="BW99" s="58">
        <f>CapexDA!BW125</f>
        <v>0</v>
      </c>
      <c r="BX99" s="58">
        <f>CapexDA!BX125</f>
        <v>0</v>
      </c>
      <c r="BY99" s="58">
        <f>CapexDA!BY125</f>
        <v>0</v>
      </c>
      <c r="BZ99" s="58">
        <f>CapexDA!BZ125</f>
        <v>0</v>
      </c>
      <c r="CA99" s="58">
        <f>CapexDA!CA125</f>
        <v>0</v>
      </c>
      <c r="CB99" s="58">
        <f>CapexDA!CB125</f>
        <v>0</v>
      </c>
      <c r="CC99" s="58">
        <f>CapexDA!CC125</f>
        <v>0</v>
      </c>
      <c r="CD99" s="58">
        <f>CapexDA!CD125</f>
        <v>0</v>
      </c>
      <c r="CE99" s="58">
        <f>CapexDA!CE125</f>
        <v>0</v>
      </c>
      <c r="CF99" s="58">
        <f>CapexDA!CF125</f>
        <v>0</v>
      </c>
      <c r="CG99" s="58">
        <f>CapexDA!CG125</f>
        <v>0</v>
      </c>
      <c r="CH99" s="58">
        <f>CapexDA!CH125</f>
        <v>0</v>
      </c>
      <c r="CI99" s="58">
        <f>CapexDA!CI125</f>
        <v>0</v>
      </c>
      <c r="CJ99" s="58">
        <f>CapexDA!CJ125</f>
        <v>0</v>
      </c>
      <c r="CK99" s="58">
        <f>CapexDA!CK125</f>
        <v>0</v>
      </c>
      <c r="CL99" s="58">
        <f>CapexDA!CL125</f>
        <v>0</v>
      </c>
      <c r="CM99" s="58">
        <f>CapexDA!CM125</f>
        <v>0</v>
      </c>
      <c r="CN99" s="58">
        <f>CapexDA!CN125</f>
        <v>0</v>
      </c>
    </row>
    <row r="100" spans="3:92" ht="12.75" customHeight="1" x14ac:dyDescent="0.3">
      <c r="C100"/>
      <c r="D100" s="56" t="s">
        <v>233</v>
      </c>
      <c r="E100" s="95"/>
      <c r="F100" s="95"/>
      <c r="G100" s="95"/>
      <c r="H100" s="16" t="s">
        <v>1</v>
      </c>
      <c r="J100" s="58">
        <f ca="1">SUM(L100:CN100)</f>
        <v>-108643621.3906071</v>
      </c>
      <c r="L100" s="58">
        <f>CapexDA!L137</f>
        <v>0</v>
      </c>
      <c r="M100" s="58">
        <f ca="1">CapexDA!M137</f>
        <v>0</v>
      </c>
      <c r="N100" s="58">
        <f ca="1">CapexDA!N137</f>
        <v>-100000</v>
      </c>
      <c r="O100" s="58">
        <f ca="1">CapexDA!O137</f>
        <v>-379491.70738623384</v>
      </c>
      <c r="P100" s="58">
        <f ca="1">CapexDA!P137</f>
        <v>-515039.87433986494</v>
      </c>
      <c r="Q100" s="58">
        <f ca="1">CapexDA!Q137</f>
        <v>-682329.25042591675</v>
      </c>
      <c r="R100" s="58">
        <f ca="1">CapexDA!R137</f>
        <v>-717075.56471473398</v>
      </c>
      <c r="S100" s="58">
        <f ca="1">CapexDA!S137</f>
        <v>-749184.00726713915</v>
      </c>
      <c r="T100" s="58">
        <f ca="1">CapexDA!T137</f>
        <v>-778896.70004079456</v>
      </c>
      <c r="U100" s="58">
        <f ca="1">CapexDA!U137</f>
        <v>-806435.74302176153</v>
      </c>
      <c r="V100" s="58">
        <f ca="1">CapexDA!V137</f>
        <v>-832004.63413910614</v>
      </c>
      <c r="W100" s="58">
        <f ca="1">CapexDA!W137</f>
        <v>-855789.62480917317</v>
      </c>
      <c r="X100" s="58">
        <f ca="1">CapexDA!X137</f>
        <v>-877961.00747565599</v>
      </c>
      <c r="Y100" s="58">
        <f ca="1">CapexDA!Y137</f>
        <v>-898674.33316226304</v>
      </c>
      <c r="Z100" s="58">
        <f ca="1">CapexDA!Z137</f>
        <v>-918071.55837728619</v>
      </c>
      <c r="AA100" s="58">
        <f ca="1">CapexDA!AA137</f>
        <v>-936282.12175706029</v>
      </c>
      <c r="AB100" s="58">
        <f ca="1">CapexDA!AB137</f>
        <v>-953423.95165364642</v>
      </c>
      <c r="AC100" s="58">
        <f ca="1">CapexDA!AC137</f>
        <v>-969604.40649972204</v>
      </c>
      <c r="AD100" s="58">
        <f ca="1">CapexDA!AD137</f>
        <v>-984921.1502534271</v>
      </c>
      <c r="AE100" s="58">
        <f ca="1">CapexDA!AE137</f>
        <v>-999462.96556560451</v>
      </c>
      <c r="AF100" s="58">
        <f ca="1">CapexDA!AF137</f>
        <v>-1013310.5075449847</v>
      </c>
      <c r="AG100" s="58">
        <f ca="1">CapexDA!AG137</f>
        <v>-1026537.0011432605</v>
      </c>
      <c r="AH100" s="58">
        <f ca="1">CapexDA!AH137</f>
        <v>-1039208.8852583377</v>
      </c>
      <c r="AI100" s="58">
        <f ca="1">CapexDA!AI137</f>
        <v>-1051386.4066743916</v>
      </c>
      <c r="AJ100" s="58">
        <f ca="1">CapexDA!AJ137</f>
        <v>-1063124.1669334038</v>
      </c>
      <c r="AK100" s="58">
        <f ca="1">CapexDA!AK137</f>
        <v>-1074471.6251744104</v>
      </c>
      <c r="AL100" s="58">
        <f ca="1">CapexDA!AL137</f>
        <v>-1085473.5598918733</v>
      </c>
      <c r="AM100" s="58">
        <f ca="1">CapexDA!AM137</f>
        <v>-1096170.4924601344</v>
      </c>
      <c r="AN100" s="58">
        <f ca="1">CapexDA!AN137</f>
        <v>-1106599.0751523613</v>
      </c>
      <c r="AO100" s="58">
        <f ca="1">CapexDA!AO137</f>
        <v>-1116792.4462542655</v>
      </c>
      <c r="AP100" s="58">
        <f ca="1">CapexDA!AP137</f>
        <v>-1126780.5547388771</v>
      </c>
      <c r="AQ100" s="58">
        <f ca="1">CapexDA!AQ137</f>
        <v>-1136590.4568317446</v>
      </c>
      <c r="AR100" s="58">
        <f ca="1">CapexDA!AR137</f>
        <v>-1146246.5866584752</v>
      </c>
      <c r="AS100" s="58">
        <f ca="1">CapexDA!AS137</f>
        <v>-1155771.0030304256</v>
      </c>
      <c r="AT100" s="58">
        <f ca="1">CapexDA!AT137</f>
        <v>-1165183.6142910114</v>
      </c>
      <c r="AU100" s="58">
        <f ca="1">CapexDA!AU137</f>
        <v>-1174502.3830156911</v>
      </c>
      <c r="AV100" s="58">
        <f ca="1">CapexDA!AV137</f>
        <v>-1183743.5122339593</v>
      </c>
      <c r="AW100" s="58">
        <f ca="1">CapexDA!AW137</f>
        <v>-1192921.6147222759</v>
      </c>
      <c r="AX100" s="58">
        <f ca="1">CapexDA!AX137</f>
        <v>-1202049.8668031541</v>
      </c>
      <c r="AY100" s="58">
        <f ca="1">CapexDA!AY137</f>
        <v>-1211140.1479778371</v>
      </c>
      <c r="AZ100" s="58">
        <f ca="1">CapexDA!AZ137</f>
        <v>-1220203.1676182593</v>
      </c>
      <c r="BA100" s="58">
        <f ca="1">CapexDA!BA137</f>
        <v>-1229248.5798482955</v>
      </c>
      <c r="BB100" s="58">
        <f ca="1">CapexDA!BB137</f>
        <v>-1238285.0876545871</v>
      </c>
      <c r="BC100" s="58">
        <f ca="1">CapexDA!BC137</f>
        <v>-1247320.5371833686</v>
      </c>
      <c r="BD100" s="58">
        <f ca="1">CapexDA!BD137</f>
        <v>-1256362.0031015275</v>
      </c>
      <c r="BE100" s="58">
        <f ca="1">CapexDA!BE137</f>
        <v>-1265415.8658273886</v>
      </c>
      <c r="BF100" s="58">
        <f ca="1">CapexDA!BF137</f>
        <v>-1274487.8813692005</v>
      </c>
      <c r="BG100" s="58">
        <f ca="1">CapexDA!BG137</f>
        <v>-1283583.2444467517</v>
      </c>
      <c r="BH100" s="58">
        <f ca="1">CapexDA!BH137</f>
        <v>-1292706.6455137024</v>
      </c>
      <c r="BI100" s="58">
        <f ca="1">CapexDA!BI137</f>
        <v>-1301862.322244822</v>
      </c>
      <c r="BJ100" s="58">
        <f ca="1">CapexDA!BJ137</f>
        <v>-1311054.1060030777</v>
      </c>
      <c r="BK100" s="58">
        <f ca="1">CapexDA!BK137</f>
        <v>-1320285.4637562286</v>
      </c>
      <c r="BL100" s="58">
        <f ca="1">CapexDA!BL137</f>
        <v>-1329559.535870899</v>
      </c>
      <c r="BM100" s="58">
        <f ca="1">CapexDA!BM137</f>
        <v>-1338879.170173859</v>
      </c>
      <c r="BN100" s="58">
        <f ca="1">CapexDA!BN137</f>
        <v>-1348246.9526351606</v>
      </c>
      <c r="BO100" s="58">
        <f ca="1">CapexDA!BO137</f>
        <v>-1357665.234995628</v>
      </c>
      <c r="BP100" s="58">
        <f ca="1">CapexDA!BP137</f>
        <v>-1367136.1596317845</v>
      </c>
      <c r="BQ100" s="58">
        <f ca="1">CapexDA!BQ137</f>
        <v>-1376661.681924399</v>
      </c>
      <c r="BR100" s="58">
        <f ca="1">CapexDA!BR137</f>
        <v>-1386243.5903722562</v>
      </c>
      <c r="BS100" s="58">
        <f ca="1">CapexDA!BS137</f>
        <v>-1395883.5246703266</v>
      </c>
      <c r="BT100" s="58">
        <f ca="1">CapexDA!BT137</f>
        <v>-1405582.9919510419</v>
      </c>
      <c r="BU100" s="58">
        <f ca="1">CapexDA!BU137</f>
        <v>-1415343.3813687554</v>
      </c>
      <c r="BV100" s="58">
        <f ca="1">CapexDA!BV137</f>
        <v>-1425165.977190455</v>
      </c>
      <c r="BW100" s="58">
        <f ca="1">CapexDA!BW137</f>
        <v>-1435051.9705403715</v>
      </c>
      <c r="BX100" s="58">
        <f ca="1">CapexDA!BX137</f>
        <v>-1445002.4699320493</v>
      </c>
      <c r="BY100" s="58">
        <f ca="1">CapexDA!BY137</f>
        <v>-1455018.5107086753</v>
      </c>
      <c r="BZ100" s="58">
        <f ca="1">CapexDA!BZ137</f>
        <v>-1465101.063500864</v>
      </c>
      <c r="CA100" s="58">
        <f ca="1">CapexDA!CA137</f>
        <v>-1475251.0418005527</v>
      </c>
      <c r="CB100" s="58">
        <f ca="1">CapexDA!CB137</f>
        <v>-1485469.3087401057</v>
      </c>
      <c r="CC100" s="58">
        <f ca="1">CapexDA!CC137</f>
        <v>-1495756.6831570612</v>
      </c>
      <c r="CD100" s="58">
        <f ca="1">CapexDA!CD137</f>
        <v>-1506113.9450170931</v>
      </c>
      <c r="CE100" s="58">
        <f ca="1">CapexDA!CE137</f>
        <v>-1516541.8402606444</v>
      </c>
      <c r="CF100" s="58">
        <f ca="1">CapexDA!CF137</f>
        <v>-1527041.0851322531</v>
      </c>
      <c r="CG100" s="58">
        <f ca="1">CapexDA!CG137</f>
        <v>-1537612.3700457423</v>
      </c>
      <c r="CH100" s="58">
        <f ca="1">CapexDA!CH137</f>
        <v>-1548256.363033188</v>
      </c>
      <c r="CI100" s="58">
        <f ca="1">CapexDA!CI137</f>
        <v>-1558973.712820803</v>
      </c>
      <c r="CJ100" s="58">
        <f ca="1">CapexDA!CJ137</f>
        <v>-1569765.0515705561</v>
      </c>
      <c r="CK100" s="58">
        <f ca="1">CapexDA!CK137</f>
        <v>-1580630.9973224632</v>
      </c>
      <c r="CL100" s="58">
        <f ca="1">CapexDA!CL137</f>
        <v>-1591572.1561689612</v>
      </c>
      <c r="CM100" s="58">
        <f ca="1">CapexDA!CM137</f>
        <v>-1602589.1241896111</v>
      </c>
      <c r="CN100" s="58">
        <f ca="1">CapexDA!CN137</f>
        <v>-16138038.083634047</v>
      </c>
    </row>
    <row r="101" spans="3:92" ht="12.75" customHeight="1" x14ac:dyDescent="0.3">
      <c r="C101"/>
      <c r="D101" s="103" t="s">
        <v>246</v>
      </c>
      <c r="E101" s="95"/>
      <c r="F101" s="95"/>
      <c r="G101" s="95"/>
      <c r="H101" s="16" t="s">
        <v>1</v>
      </c>
      <c r="J101" s="59">
        <f ca="1">SUM(L101:CN101)</f>
        <v>1095645364.1217616</v>
      </c>
      <c r="L101" s="59">
        <f>SUM(L97:L100)</f>
        <v>0</v>
      </c>
      <c r="M101" s="59">
        <f ca="1">SUM(M97:M100)</f>
        <v>804656.69839999638</v>
      </c>
      <c r="N101" s="59">
        <f t="shared" ref="N101:P101" ca="1" si="245">SUM(N97:N100)</f>
        <v>1521889.6593441647</v>
      </c>
      <c r="O101" s="59">
        <f t="shared" ca="1" si="245"/>
        <v>2352976.4118070602</v>
      </c>
      <c r="P101" s="59">
        <f t="shared" ca="1" si="245"/>
        <v>2803503.2192672179</v>
      </c>
      <c r="Q101" s="59">
        <f t="shared" ref="Q101" ca="1" si="246">SUM(Q97:Q100)</f>
        <v>2895394.3400834594</v>
      </c>
      <c r="R101" s="59">
        <f t="shared" ref="R101:S101" ca="1" si="247">SUM(R97:R100)</f>
        <v>3498499.2028457881</v>
      </c>
      <c r="S101" s="59">
        <f t="shared" ca="1" si="247"/>
        <v>4407366.0410615904</v>
      </c>
      <c r="T101" s="59">
        <f t="shared" ref="T101" ca="1" si="248">SUM(T97:T100)</f>
        <v>4780343.2847179594</v>
      </c>
      <c r="U101" s="59">
        <f t="shared" ref="U101:V101" ca="1" si="249">SUM(U97:U100)</f>
        <v>5003646.2646631729</v>
      </c>
      <c r="V101" s="59">
        <f t="shared" ca="1" si="249"/>
        <v>5339855.7180158179</v>
      </c>
      <c r="W101" s="59">
        <f t="shared" ref="W101" ca="1" si="250">SUM(W97:W100)</f>
        <v>6212589.5454628794</v>
      </c>
      <c r="X101" s="59">
        <f t="shared" ref="X101:Y101" ca="1" si="251">SUM(X97:X100)</f>
        <v>8394292.296350617</v>
      </c>
      <c r="Y101" s="59">
        <f t="shared" ca="1" si="251"/>
        <v>8115145.0978730805</v>
      </c>
      <c r="Z101" s="59">
        <f t="shared" ref="Z101" ca="1" si="252">SUM(Z97:Z100)</f>
        <v>8265994.5374729838</v>
      </c>
      <c r="AA101" s="59">
        <f t="shared" ref="AA101:AB101" ca="1" si="253">SUM(AA97:AA100)</f>
        <v>8779999.4141800031</v>
      </c>
      <c r="AB101" s="59">
        <f t="shared" ca="1" si="253"/>
        <v>8802554.3504061084</v>
      </c>
      <c r="AC101" s="59">
        <f t="shared" ref="AC101" ca="1" si="254">SUM(AC97:AC100)</f>
        <v>8536714.781863112</v>
      </c>
      <c r="AD101" s="59">
        <f t="shared" ref="AD101:AE101" ca="1" si="255">SUM(AD97:AD100)</f>
        <v>8712522.9185828678</v>
      </c>
      <c r="AE101" s="59">
        <f t="shared" ca="1" si="255"/>
        <v>9319856.5360565968</v>
      </c>
      <c r="AF101" s="59">
        <f t="shared" ref="AF101" ca="1" si="256">SUM(AF97:AF100)</f>
        <v>9360911.2826791201</v>
      </c>
      <c r="AG101" s="59">
        <f t="shared" ref="AG101:AH101" ca="1" si="257">SUM(AG97:AG100)</f>
        <v>9045286.2674691528</v>
      </c>
      <c r="AH101" s="59">
        <f t="shared" ca="1" si="257"/>
        <v>9198695.7575258166</v>
      </c>
      <c r="AI101" s="59">
        <f t="shared" ref="AI101" ca="1" si="258">SUM(AI97:AI100)</f>
        <v>9855557.2845017612</v>
      </c>
      <c r="AJ101" s="59">
        <f t="shared" ref="AJ101:AK101" ca="1" si="259">SUM(AJ97:AJ100)</f>
        <v>9863773.3907194603</v>
      </c>
      <c r="AK101" s="59">
        <f t="shared" ca="1" si="259"/>
        <v>9712916.0647967272</v>
      </c>
      <c r="AL101" s="59">
        <f t="shared" ref="AL101" ca="1" si="260">SUM(AL97:AL100)</f>
        <v>9724760.7219139449</v>
      </c>
      <c r="AM101" s="59">
        <f t="shared" ref="AM101:AN101" ca="1" si="261">SUM(AM97:AM100)</f>
        <v>10348811.230684385</v>
      </c>
      <c r="AN101" s="59">
        <f t="shared" ca="1" si="261"/>
        <v>10366952.865909129</v>
      </c>
      <c r="AO101" s="59">
        <f t="shared" ref="AO101" ca="1" si="262">SUM(AO97:AO100)</f>
        <v>10049658.722174842</v>
      </c>
      <c r="AP101" s="59">
        <f t="shared" ref="AP101:AQ101" ca="1" si="263">SUM(AP97:AP100)</f>
        <v>10236841.168155111</v>
      </c>
      <c r="AQ101" s="59">
        <f t="shared" ca="1" si="263"/>
        <v>10967711.205691276</v>
      </c>
      <c r="AR101" s="59">
        <f t="shared" ref="AR101" ca="1" si="264">SUM(AR97:AR100)</f>
        <v>10999072.695068182</v>
      </c>
      <c r="AS101" s="59">
        <f t="shared" ref="AS101:AT101" ca="1" si="265">SUM(AS97:AS100)</f>
        <v>10670394.424745781</v>
      </c>
      <c r="AT101" s="59">
        <f t="shared" ca="1" si="265"/>
        <v>10878875.775704484</v>
      </c>
      <c r="AU101" s="59">
        <f t="shared" ref="AU101" ca="1" si="266">SUM(AU97:AU100)</f>
        <v>11602164.011510033</v>
      </c>
      <c r="AV101" s="59">
        <f t="shared" ref="AV101:AW101" ca="1" si="267">SUM(AV97:AV100)</f>
        <v>11646269.199070236</v>
      </c>
      <c r="AW101" s="59">
        <f t="shared" ca="1" si="267"/>
        <v>11315880.452359887</v>
      </c>
      <c r="AX101" s="59">
        <f t="shared" ref="AX101" ca="1" si="268">SUM(AX97:AX100)</f>
        <v>11545629.326199856</v>
      </c>
      <c r="AY101" s="59">
        <f t="shared" ref="AY101:AZ101" ca="1" si="269">SUM(AY97:AY100)</f>
        <v>12379244.854784824</v>
      </c>
      <c r="AZ101" s="59">
        <f t="shared" ca="1" si="269"/>
        <v>12441351.441417731</v>
      </c>
      <c r="BA101" s="59">
        <f t="shared" ref="BA101" ca="1" si="270">SUM(BA97:BA100)</f>
        <v>12309711.647375807</v>
      </c>
      <c r="BB101" s="59">
        <f t="shared" ref="BB101:BC101" ca="1" si="271">SUM(BB97:BB100)</f>
        <v>12377237.590638038</v>
      </c>
      <c r="BC101" s="59">
        <f t="shared" ca="1" si="271"/>
        <v>13289899.862983523</v>
      </c>
      <c r="BD101" s="59">
        <f t="shared" ref="BD101" ca="1" si="272">SUM(BD97:BD100)</f>
        <v>13373111.630425759</v>
      </c>
      <c r="BE101" s="59">
        <f t="shared" ref="BE101:BF101" ca="1" si="273">SUM(BE97:BE100)</f>
        <v>13049416.383040104</v>
      </c>
      <c r="BF101" s="59">
        <f t="shared" ca="1" si="273"/>
        <v>13340676.80864919</v>
      </c>
      <c r="BG101" s="59">
        <f t="shared" ref="BG101" ca="1" si="274">SUM(BG97:BG100)</f>
        <v>14233325.787581634</v>
      </c>
      <c r="BH101" s="59">
        <f t="shared" ref="BH101:BI101" ca="1" si="275">SUM(BH97:BH100)</f>
        <v>14337527.048919659</v>
      </c>
      <c r="BI101" s="59">
        <f t="shared" ca="1" si="275"/>
        <v>14008888.662653599</v>
      </c>
      <c r="BJ101" s="59">
        <f t="shared" ref="BJ101" ca="1" si="276">SUM(BJ97:BJ100)</f>
        <v>14333734.930000078</v>
      </c>
      <c r="BK101" s="59">
        <f t="shared" ref="BK101:BL101" ca="1" si="277">SUM(BK97:BK100)</f>
        <v>15396961.64975916</v>
      </c>
      <c r="BL101" s="59">
        <f t="shared" ca="1" si="277"/>
        <v>15530195.03244948</v>
      </c>
      <c r="BM101" s="59">
        <f t="shared" ref="BM101" ca="1" si="278">SUM(BM97:BM100)</f>
        <v>15204963.32664595</v>
      </c>
      <c r="BN101" s="59">
        <f t="shared" ref="BN101:BO101" ca="1" si="279">SUM(BN97:BN100)</f>
        <v>15574314.15868843</v>
      </c>
      <c r="BO101" s="59">
        <f t="shared" ca="1" si="279"/>
        <v>16674250.747174708</v>
      </c>
      <c r="BP101" s="59">
        <f t="shared" ref="BP101" ca="1" si="280">SUM(BP97:BP100)</f>
        <v>16838476.217034474</v>
      </c>
      <c r="BQ101" s="59">
        <f t="shared" ref="BQ101:BR101" ca="1" si="281">SUM(BQ97:BQ100)</f>
        <v>16761187.453555513</v>
      </c>
      <c r="BR101" s="59">
        <f t="shared" ca="1" si="281"/>
        <v>16935789.715806909</v>
      </c>
      <c r="BS101" s="59">
        <f t="shared" ref="BS101" ca="1" si="282">SUM(BS97:BS100)</f>
        <v>18256922.388115868</v>
      </c>
      <c r="BT101" s="59">
        <f t="shared" ref="BT101:BU101" ca="1" si="283">SUM(BT97:BT100)</f>
        <v>18463324.200288355</v>
      </c>
      <c r="BU101" s="59">
        <f t="shared" ca="1" si="283"/>
        <v>18140977.125446409</v>
      </c>
      <c r="BV101" s="59">
        <f t="shared" ref="BV101" ca="1" si="284">SUM(BV97:BV100)</f>
        <v>18621980.390258182</v>
      </c>
      <c r="BW101" s="59">
        <f t="shared" ref="BW101:BX101" ca="1" si="285">SUM(BW97:BW100)</f>
        <v>20039007.908481363</v>
      </c>
      <c r="BX101" s="59">
        <f t="shared" ca="1" si="285"/>
        <v>20293565.231794205</v>
      </c>
      <c r="BY101" s="59">
        <f t="shared" ref="BY101" ca="1" si="286">SUM(BY97:BY100)</f>
        <v>19984723.12469136</v>
      </c>
      <c r="BZ101" s="59">
        <f t="shared" ref="BZ101:CA101" ca="1" si="287">SUM(BZ97:BZ100)</f>
        <v>20537311.050895456</v>
      </c>
      <c r="CA101" s="59">
        <f t="shared" ca="1" si="287"/>
        <v>22088098.4425762</v>
      </c>
      <c r="CB101" s="59">
        <f t="shared" ref="CB101" ca="1" si="288">SUM(CB97:CB100)</f>
        <v>22397921.358134147</v>
      </c>
      <c r="CC101" s="59">
        <f t="shared" ref="CC101:CD101" ca="1" si="289">SUM(CC97:CC100)</f>
        <v>22101202.625125654</v>
      </c>
      <c r="CD101" s="59">
        <f t="shared" ca="1" si="289"/>
        <v>22736730.676334813</v>
      </c>
      <c r="CE101" s="59">
        <f t="shared" ref="CE101" ca="1" si="290">SUM(CE97:CE100)</f>
        <v>24498767.110331789</v>
      </c>
      <c r="CF101" s="59">
        <f t="shared" ref="CF101:CG101" ca="1" si="291">SUM(CF97:CF100)</f>
        <v>24875633.269521166</v>
      </c>
      <c r="CG101" s="59">
        <f t="shared" ca="1" si="291"/>
        <v>24913935.53205739</v>
      </c>
      <c r="CH101" s="59">
        <f t="shared" ref="CH101" ca="1" si="292">SUM(CH97:CH100)</f>
        <v>25296989.38545493</v>
      </c>
      <c r="CI101" s="59">
        <f t="shared" ref="CI101:CJ101" ca="1" si="293">SUM(CI97:CI100)</f>
        <v>27351727.75395612</v>
      </c>
      <c r="CJ101" s="59">
        <f t="shared" ca="1" si="293"/>
        <v>27796522.593622129</v>
      </c>
      <c r="CK101" s="59">
        <f t="shared" ref="CK101" ca="1" si="294">SUM(CK97:CK100)</f>
        <v>27513920.134975761</v>
      </c>
      <c r="CL101" s="59">
        <f t="shared" ref="CL101:CM101" ca="1" si="295">SUM(CL97:CL100)</f>
        <v>28354257.286746889</v>
      </c>
      <c r="CM101" s="59">
        <f t="shared" ca="1" si="295"/>
        <v>30520519.603397816</v>
      </c>
      <c r="CN101" s="59">
        <f t="shared" ref="CN101" ca="1" si="296">SUM(CN97:CN100)</f>
        <v>16533099.814637268</v>
      </c>
    </row>
    <row r="102" spans="3:92" ht="12.75" customHeight="1" x14ac:dyDescent="0.3">
      <c r="C102"/>
      <c r="D102" s="56"/>
      <c r="E102" s="95"/>
      <c r="F102" s="95"/>
      <c r="G102" s="95"/>
      <c r="H102" s="16"/>
    </row>
    <row r="103" spans="3:92" ht="12.75" customHeight="1" x14ac:dyDescent="0.3">
      <c r="C103"/>
      <c r="D103" s="102" t="s">
        <v>245</v>
      </c>
      <c r="E103" s="95"/>
      <c r="F103" s="95"/>
      <c r="G103" s="95"/>
      <c r="H103" s="16" t="s">
        <v>1</v>
      </c>
      <c r="J103" s="58">
        <f ca="1">SUM(L103:CN103)</f>
        <v>262954887.3892228</v>
      </c>
      <c r="L103" s="15">
        <f>L101*Ass!$I$19</f>
        <v>0</v>
      </c>
      <c r="M103" s="15">
        <f ca="1">M101*Ass!$I$19</f>
        <v>193117.60761599912</v>
      </c>
      <c r="N103" s="15">
        <f ca="1">N101*Ass!$I$19</f>
        <v>365253.5182425995</v>
      </c>
      <c r="O103" s="15">
        <f ca="1">O101*Ass!$I$19</f>
        <v>564714.33883369446</v>
      </c>
      <c r="P103" s="15">
        <f ca="1">P101*Ass!$I$19</f>
        <v>672840.77262413222</v>
      </c>
      <c r="Q103" s="15">
        <f ca="1">Q101*Ass!$I$19</f>
        <v>694894.64162003028</v>
      </c>
      <c r="R103" s="15">
        <f ca="1">R101*Ass!$I$19</f>
        <v>839639.8086829891</v>
      </c>
      <c r="S103" s="15">
        <f ca="1">S101*Ass!$I$19</f>
        <v>1057767.8498547818</v>
      </c>
      <c r="T103" s="15">
        <f ca="1">T101*Ass!$I$19</f>
        <v>1147282.3883323101</v>
      </c>
      <c r="U103" s="15">
        <f ca="1">U101*Ass!$I$19</f>
        <v>1200875.1035191615</v>
      </c>
      <c r="V103" s="15">
        <f ca="1">V101*Ass!$I$19</f>
        <v>1281565.3723237962</v>
      </c>
      <c r="W103" s="15">
        <f ca="1">W101*Ass!$I$19</f>
        <v>1491021.490911091</v>
      </c>
      <c r="X103" s="15">
        <f ca="1">X101*Ass!$I$19</f>
        <v>2014630.1511241479</v>
      </c>
      <c r="Y103" s="15">
        <f ca="1">Y101*Ass!$I$19</f>
        <v>1947634.8234895393</v>
      </c>
      <c r="Z103" s="15">
        <f ca="1">Z101*Ass!$I$19</f>
        <v>1983838.6889935161</v>
      </c>
      <c r="AA103" s="15">
        <f ca="1">AA101*Ass!$I$19</f>
        <v>2107199.8594032004</v>
      </c>
      <c r="AB103" s="15">
        <f ca="1">AB101*Ass!$I$19</f>
        <v>2112613.0440974659</v>
      </c>
      <c r="AC103" s="15">
        <f ca="1">AC101*Ass!$I$19</f>
        <v>2048811.5476471467</v>
      </c>
      <c r="AD103" s="15">
        <f ca="1">AD101*Ass!$I$19</f>
        <v>2091005.5004598883</v>
      </c>
      <c r="AE103" s="15">
        <f ca="1">AE101*Ass!$I$19</f>
        <v>2236765.5686535831</v>
      </c>
      <c r="AF103" s="15">
        <f ca="1">AF101*Ass!$I$19</f>
        <v>2246618.7078429889</v>
      </c>
      <c r="AG103" s="15">
        <f ca="1">AG101*Ass!$I$19</f>
        <v>2170868.7041925965</v>
      </c>
      <c r="AH103" s="15">
        <f ca="1">AH101*Ass!$I$19</f>
        <v>2207686.9818061958</v>
      </c>
      <c r="AI103" s="15">
        <f ca="1">AI101*Ass!$I$19</f>
        <v>2365333.7482804228</v>
      </c>
      <c r="AJ103" s="15">
        <f ca="1">AJ101*Ass!$I$19</f>
        <v>2367305.6137726703</v>
      </c>
      <c r="AK103" s="15">
        <f ca="1">AK101*Ass!$I$19</f>
        <v>2331099.8555512144</v>
      </c>
      <c r="AL103" s="15">
        <f ca="1">AL101*Ass!$I$19</f>
        <v>2333942.5732593467</v>
      </c>
      <c r="AM103" s="15">
        <f ca="1">AM101*Ass!$I$19</f>
        <v>2483714.6953642522</v>
      </c>
      <c r="AN103" s="15">
        <f ca="1">AN101*Ass!$I$19</f>
        <v>2488068.687818191</v>
      </c>
      <c r="AO103" s="15">
        <f ca="1">AO101*Ass!$I$19</f>
        <v>2411918.0933219618</v>
      </c>
      <c r="AP103" s="15">
        <f ca="1">AP101*Ass!$I$19</f>
        <v>2456841.8803572268</v>
      </c>
      <c r="AQ103" s="15">
        <f ca="1">AQ101*Ass!$I$19</f>
        <v>2632250.6893659062</v>
      </c>
      <c r="AR103" s="15">
        <f ca="1">AR101*Ass!$I$19</f>
        <v>2639777.4468163638</v>
      </c>
      <c r="AS103" s="15">
        <f ca="1">AS101*Ass!$I$19</f>
        <v>2560894.6619389872</v>
      </c>
      <c r="AT103" s="15">
        <f ca="1">AT101*Ass!$I$19</f>
        <v>2610930.1861690762</v>
      </c>
      <c r="AU103" s="15">
        <f ca="1">AU101*Ass!$I$19</f>
        <v>2784519.3627624079</v>
      </c>
      <c r="AV103" s="15">
        <f ca="1">AV101*Ass!$I$19</f>
        <v>2795104.6077768565</v>
      </c>
      <c r="AW103" s="15">
        <f ca="1">AW101*Ass!$I$19</f>
        <v>2715811.3085663728</v>
      </c>
      <c r="AX103" s="15">
        <f ca="1">AX101*Ass!$I$19</f>
        <v>2770951.0382879651</v>
      </c>
      <c r="AY103" s="15">
        <f ca="1">AY101*Ass!$I$19</f>
        <v>2971018.7651483575</v>
      </c>
      <c r="AZ103" s="15">
        <f ca="1">AZ101*Ass!$I$19</f>
        <v>2985924.3459402556</v>
      </c>
      <c r="BA103" s="15">
        <f ca="1">BA101*Ass!$I$19</f>
        <v>2954330.7953701937</v>
      </c>
      <c r="BB103" s="15">
        <f ca="1">BB101*Ass!$I$19</f>
        <v>2970537.0217531291</v>
      </c>
      <c r="BC103" s="15">
        <f ca="1">BC101*Ass!$I$19</f>
        <v>3189575.9671160453</v>
      </c>
      <c r="BD103" s="15">
        <f ca="1">BD101*Ass!$I$19</f>
        <v>3209546.7913021818</v>
      </c>
      <c r="BE103" s="15">
        <f ca="1">BE101*Ass!$I$19</f>
        <v>3131859.9319296246</v>
      </c>
      <c r="BF103" s="15">
        <f ca="1">BF101*Ass!$I$19</f>
        <v>3201762.4340758054</v>
      </c>
      <c r="BG103" s="15">
        <f ca="1">BG101*Ass!$I$19</f>
        <v>3415998.189019592</v>
      </c>
      <c r="BH103" s="15">
        <f ca="1">BH101*Ass!$I$19</f>
        <v>3441006.491740718</v>
      </c>
      <c r="BI103" s="15">
        <f ca="1">BI101*Ass!$I$19</f>
        <v>3362133.2790368637</v>
      </c>
      <c r="BJ103" s="15">
        <f ca="1">BJ101*Ass!$I$19</f>
        <v>3440096.3832000187</v>
      </c>
      <c r="BK103" s="15">
        <f ca="1">BK101*Ass!$I$19</f>
        <v>3695270.7959421985</v>
      </c>
      <c r="BL103" s="15">
        <f ca="1">BL101*Ass!$I$19</f>
        <v>3727246.8077878752</v>
      </c>
      <c r="BM103" s="15">
        <f ca="1">BM101*Ass!$I$19</f>
        <v>3649191.1983950278</v>
      </c>
      <c r="BN103" s="15">
        <f ca="1">BN101*Ass!$I$19</f>
        <v>3737835.398085223</v>
      </c>
      <c r="BO103" s="15">
        <f ca="1">BO101*Ass!$I$19</f>
        <v>4001820.1793219298</v>
      </c>
      <c r="BP103" s="15">
        <f ca="1">BP101*Ass!$I$19</f>
        <v>4041234.2920882734</v>
      </c>
      <c r="BQ103" s="15">
        <f ca="1">BQ101*Ass!$I$19</f>
        <v>4022684.9888533228</v>
      </c>
      <c r="BR103" s="15">
        <f ca="1">BR101*Ass!$I$19</f>
        <v>4064589.5317936582</v>
      </c>
      <c r="BS103" s="15">
        <f ca="1">BS101*Ass!$I$19</f>
        <v>4381661.373147808</v>
      </c>
      <c r="BT103" s="15">
        <f ca="1">BT101*Ass!$I$19</f>
        <v>4431197.8080692049</v>
      </c>
      <c r="BU103" s="15">
        <f ca="1">BU101*Ass!$I$19</f>
        <v>4353834.5101071382</v>
      </c>
      <c r="BV103" s="15">
        <f ca="1">BV101*Ass!$I$19</f>
        <v>4469275.2936619632</v>
      </c>
      <c r="BW103" s="15">
        <f ca="1">BW101*Ass!$I$19</f>
        <v>4809361.8980355272</v>
      </c>
      <c r="BX103" s="15">
        <f ca="1">BX101*Ass!$I$19</f>
        <v>4870455.655630609</v>
      </c>
      <c r="BY103" s="15">
        <f ca="1">BY101*Ass!$I$19</f>
        <v>4796333.5499259261</v>
      </c>
      <c r="BZ103" s="15">
        <f ca="1">BZ101*Ass!$I$19</f>
        <v>4928954.652214909</v>
      </c>
      <c r="CA103" s="15">
        <f ca="1">CA101*Ass!$I$19</f>
        <v>5301143.6262182882</v>
      </c>
      <c r="CB103" s="15">
        <f ca="1">CB101*Ass!$I$19</f>
        <v>5375501.1259521954</v>
      </c>
      <c r="CC103" s="15">
        <f ca="1">CC101*Ass!$I$19</f>
        <v>5304288.630030157</v>
      </c>
      <c r="CD103" s="15">
        <f ca="1">CD101*Ass!$I$19</f>
        <v>5456815.3623203551</v>
      </c>
      <c r="CE103" s="15">
        <f ca="1">CE101*Ass!$I$19</f>
        <v>5879704.1064796289</v>
      </c>
      <c r="CF103" s="15">
        <f ca="1">CF101*Ass!$I$19</f>
        <v>5970151.9846850792</v>
      </c>
      <c r="CG103" s="15">
        <f ca="1">CG101*Ass!$I$19</f>
        <v>5979344.5276937736</v>
      </c>
      <c r="CH103" s="15">
        <f ca="1">CH101*Ass!$I$19</f>
        <v>6071277.4525091834</v>
      </c>
      <c r="CI103" s="15">
        <f ca="1">CI101*Ass!$I$19</f>
        <v>6564414.6609494686</v>
      </c>
      <c r="CJ103" s="15">
        <f ca="1">CJ101*Ass!$I$19</f>
        <v>6671165.4224693105</v>
      </c>
      <c r="CK103" s="15">
        <f ca="1">CK101*Ass!$I$19</f>
        <v>6603340.8323941827</v>
      </c>
      <c r="CL103" s="15">
        <f ca="1">CL101*Ass!$I$19</f>
        <v>6805021.7488192534</v>
      </c>
      <c r="CM103" s="15">
        <f ca="1">CM101*Ass!$I$19</f>
        <v>7324924.7048154753</v>
      </c>
      <c r="CN103" s="15">
        <f ca="1">CN101*Ass!$I$19</f>
        <v>3967943.9555129441</v>
      </c>
    </row>
    <row r="104" spans="3:92" ht="12.75" customHeight="1" x14ac:dyDescent="0.3">
      <c r="C104"/>
      <c r="D104" s="56"/>
      <c r="E104" s="95"/>
      <c r="F104" s="95"/>
      <c r="G104" s="95"/>
      <c r="H104" s="16"/>
    </row>
    <row r="105" spans="3:92" ht="12.75" customHeight="1" x14ac:dyDescent="0.3">
      <c r="C105" s="2" t="s">
        <v>242</v>
      </c>
      <c r="D105" s="56"/>
      <c r="E105" s="95"/>
      <c r="F105" s="95"/>
      <c r="G105" s="95"/>
      <c r="H105" s="16"/>
    </row>
    <row r="106" spans="3:92" ht="12.75" customHeight="1" x14ac:dyDescent="0.3">
      <c r="C106"/>
      <c r="D106" s="56" t="s">
        <v>181</v>
      </c>
      <c r="E106" s="95"/>
      <c r="F106" s="95"/>
      <c r="G106" s="95"/>
      <c r="H106" s="16" t="s">
        <v>1</v>
      </c>
      <c r="J106" s="108">
        <f>Ass!I137-Ass!I147</f>
        <v>-30207596.758677851</v>
      </c>
      <c r="L106" s="15">
        <f>K108</f>
        <v>0</v>
      </c>
      <c r="M106" s="15">
        <f>L108</f>
        <v>-30207596.758677851</v>
      </c>
      <c r="N106" s="15">
        <f t="shared" ref="N106:P106" ca="1" si="297">M108</f>
        <v>-29169291.436437853</v>
      </c>
      <c r="O106" s="15">
        <f t="shared" ca="1" si="297"/>
        <v>-27994216.646421853</v>
      </c>
      <c r="P106" s="15">
        <f t="shared" ca="1" si="297"/>
        <v>-26713258.551278982</v>
      </c>
      <c r="Q106" s="15">
        <f t="shared" ref="Q106:CB106" ca="1" si="298">P108</f>
        <v>-25316953.356898248</v>
      </c>
      <c r="R106" s="15">
        <f t="shared" ca="1" si="298"/>
        <v>-23823758.705130871</v>
      </c>
      <c r="S106" s="15">
        <f t="shared" ca="1" si="298"/>
        <v>-22228959.520984977</v>
      </c>
      <c r="T106" s="15">
        <f t="shared" ca="1" si="298"/>
        <v>-20541598.020190462</v>
      </c>
      <c r="U106" s="15">
        <f t="shared" ca="1" si="298"/>
        <v>-19274997.85923079</v>
      </c>
      <c r="V106" s="15">
        <f t="shared" ca="1" si="298"/>
        <v>-17931256.933616154</v>
      </c>
      <c r="W106" s="15">
        <f t="shared" ca="1" si="298"/>
        <v>-16516930.756142959</v>
      </c>
      <c r="X106" s="15">
        <f t="shared" ca="1" si="298"/>
        <v>-15037907.375767032</v>
      </c>
      <c r="Y106" s="15">
        <f t="shared" ca="1" si="298"/>
        <v>-13032620.345610358</v>
      </c>
      <c r="Z106" s="15">
        <f t="shared" ca="1" si="298"/>
        <v>-11019357.717427865</v>
      </c>
      <c r="AA106" s="15">
        <f t="shared" ca="1" si="298"/>
        <v>-8997713.9358729776</v>
      </c>
      <c r="AB106" s="15">
        <f t="shared" ca="1" si="298"/>
        <v>-6977383.1662985208</v>
      </c>
      <c r="AC106" s="15">
        <f t="shared" ca="1" si="298"/>
        <v>-4947948.697648013</v>
      </c>
      <c r="AD106" s="15">
        <f t="shared" ca="1" si="298"/>
        <v>-2919297.505118975</v>
      </c>
      <c r="AE106" s="15">
        <f t="shared" ca="1" si="298"/>
        <v>-880920.82201895351</v>
      </c>
      <c r="AF106" s="15">
        <f t="shared" ca="1" si="298"/>
        <v>-348139.82418422587</v>
      </c>
      <c r="AG106" s="15">
        <f t="shared" ca="1" si="298"/>
        <v>-325502.95172904688</v>
      </c>
      <c r="AH106" s="15">
        <f t="shared" ca="1" si="298"/>
        <v>-292358.4706719612</v>
      </c>
      <c r="AI106" s="15">
        <f t="shared" ca="1" si="298"/>
        <v>-260478.49047660962</v>
      </c>
      <c r="AJ106" s="15">
        <f t="shared" ca="1" si="298"/>
        <v>-246648.44032252903</v>
      </c>
      <c r="AK106" s="15">
        <f t="shared" ca="1" si="298"/>
        <v>-233833.99851193256</v>
      </c>
      <c r="AL106" s="15">
        <f t="shared" ca="1" si="298"/>
        <v>-228054.5767320882</v>
      </c>
      <c r="AM106" s="15">
        <f t="shared" ca="1" si="298"/>
        <v>-223089.11892142575</v>
      </c>
      <c r="AN106" s="15">
        <f t="shared" ca="1" si="298"/>
        <v>-218851.77115800133</v>
      </c>
      <c r="AO106" s="15">
        <f t="shared" ca="1" si="298"/>
        <v>-215265.38840670951</v>
      </c>
      <c r="AP106" s="15">
        <f t="shared" ca="1" si="298"/>
        <v>-212260.69055502277</v>
      </c>
      <c r="AQ106" s="15">
        <f t="shared" ca="1" si="298"/>
        <v>-209775.49636646936</v>
      </c>
      <c r="AR106" s="15">
        <f t="shared" ca="1" si="298"/>
        <v>-207754.0286055234</v>
      </c>
      <c r="AS106" s="15">
        <f t="shared" ca="1" si="298"/>
        <v>-206146.28411363883</v>
      </c>
      <c r="AT106" s="15">
        <f t="shared" ca="1" si="298"/>
        <v>-204907.46310955461</v>
      </c>
      <c r="AU106" s="15">
        <f t="shared" ca="1" si="298"/>
        <v>-203997.45244838871</v>
      </c>
      <c r="AV106" s="15">
        <f t="shared" ca="1" si="298"/>
        <v>-203380.3580043742</v>
      </c>
      <c r="AW106" s="15">
        <f t="shared" ca="1" si="298"/>
        <v>-203024.08174248826</v>
      </c>
      <c r="AX106" s="15">
        <f t="shared" ca="1" si="298"/>
        <v>-202899.93941596948</v>
      </c>
      <c r="AY106" s="15">
        <f t="shared" ca="1" si="298"/>
        <v>-202982.31517116976</v>
      </c>
      <c r="AZ106" s="15">
        <f t="shared" ca="1" si="298"/>
        <v>-203248.34965977253</v>
      </c>
      <c r="BA106" s="15">
        <f t="shared" ca="1" si="298"/>
        <v>-203677.6585525737</v>
      </c>
      <c r="BB106" s="15">
        <f t="shared" ca="1" si="298"/>
        <v>-204252.0786202235</v>
      </c>
      <c r="BC106" s="15">
        <f t="shared" ca="1" si="298"/>
        <v>-204955.43879599622</v>
      </c>
      <c r="BD106" s="15">
        <f t="shared" ca="1" si="298"/>
        <v>-205773.35386519649</v>
      </c>
      <c r="BE106" s="15">
        <f t="shared" ca="1" si="298"/>
        <v>-206693.03863658593</v>
      </c>
      <c r="BF106" s="15">
        <f t="shared" ca="1" si="298"/>
        <v>-207703.14064453181</v>
      </c>
      <c r="BG106" s="15">
        <f t="shared" ca="1" si="298"/>
        <v>-208793.58960769465</v>
      </c>
      <c r="BH106" s="15">
        <f t="shared" ca="1" si="298"/>
        <v>-209955.46203217233</v>
      </c>
      <c r="BI106" s="15">
        <f t="shared" ca="1" si="298"/>
        <v>-211180.85949524041</v>
      </c>
      <c r="BJ106" s="15">
        <f t="shared" ca="1" si="298"/>
        <v>-212462.79928123279</v>
      </c>
      <c r="BK106" s="15">
        <f t="shared" ca="1" si="298"/>
        <v>-213795.11616469381</v>
      </c>
      <c r="BL106" s="15">
        <f t="shared" ca="1" si="298"/>
        <v>-215172.37424864917</v>
      </c>
      <c r="BM106" s="15">
        <f t="shared" ca="1" si="298"/>
        <v>-216589.78786855834</v>
      </c>
      <c r="BN106" s="15">
        <f t="shared" ca="1" si="298"/>
        <v>-218043.15066604235</v>
      </c>
      <c r="BO106" s="15">
        <f t="shared" ca="1" si="298"/>
        <v>-219528.77202159952</v>
      </c>
      <c r="BP106" s="15">
        <f t="shared" ca="1" si="298"/>
        <v>-221043.42011291982</v>
      </c>
      <c r="BQ106" s="15">
        <f t="shared" ca="1" si="298"/>
        <v>-222584.27093574664</v>
      </c>
      <c r="BR106" s="15">
        <f t="shared" ca="1" si="298"/>
        <v>-224148.86268812153</v>
      </c>
      <c r="BS106" s="15">
        <f t="shared" ca="1" si="298"/>
        <v>-225735.05497682912</v>
      </c>
      <c r="BT106" s="15">
        <f t="shared" ca="1" si="298"/>
        <v>-227340.99235746349</v>
      </c>
      <c r="BU106" s="15">
        <f t="shared" ca="1" si="298"/>
        <v>-228965.07176722575</v>
      </c>
      <c r="BV106" s="15">
        <f t="shared" ca="1" si="298"/>
        <v>-230605.91345278069</v>
      </c>
      <c r="BW106" s="15">
        <f t="shared" ca="1" si="298"/>
        <v>-232262.33503463832</v>
      </c>
      <c r="BX106" s="15">
        <f t="shared" ca="1" si="298"/>
        <v>-233933.32838495675</v>
      </c>
      <c r="BY106" s="15">
        <f t="shared" ca="1" si="298"/>
        <v>-235618.03902772316</v>
      </c>
      <c r="BZ106" s="15">
        <f t="shared" ca="1" si="298"/>
        <v>-237315.74779925653</v>
      </c>
      <c r="CA106" s="15">
        <f t="shared" ca="1" si="298"/>
        <v>-239025.85453318452</v>
      </c>
      <c r="CB106" s="15">
        <f t="shared" ca="1" si="298"/>
        <v>-240747.86355772414</v>
      </c>
      <c r="CC106" s="15">
        <f t="shared" ref="CC106:CN106" ca="1" si="299">CB108</f>
        <v>-242481.37081447837</v>
      </c>
      <c r="CD106" s="15">
        <f t="shared" ca="1" si="299"/>
        <v>-244226.05242726518</v>
      </c>
      <c r="CE106" s="15">
        <f t="shared" ca="1" si="299"/>
        <v>-245981.65456691242</v>
      </c>
      <c r="CF106" s="15">
        <f t="shared" ca="1" si="299"/>
        <v>-247747.98447366149</v>
      </c>
      <c r="CG106" s="15">
        <f t="shared" ca="1" si="299"/>
        <v>-249524.90251298674</v>
      </c>
      <c r="CH106" s="15">
        <f t="shared" ca="1" si="299"/>
        <v>-251312.31515339957</v>
      </c>
      <c r="CI106" s="15">
        <f t="shared" ca="1" si="299"/>
        <v>-253110.16876630503</v>
      </c>
      <c r="CJ106" s="15">
        <f t="shared" ca="1" si="299"/>
        <v>-254918.44415832977</v>
      </c>
      <c r="CK106" s="15">
        <f t="shared" ca="1" si="299"/>
        <v>-256737.15175586022</v>
      </c>
      <c r="CL106" s="15">
        <f t="shared" ca="1" si="299"/>
        <v>-258566.32736991046</v>
      </c>
      <c r="CM106" s="15">
        <f t="shared" ca="1" si="299"/>
        <v>-260406.02847697985</v>
      </c>
      <c r="CN106" s="15">
        <f t="shared" ca="1" si="299"/>
        <v>-262256.33095833944</v>
      </c>
    </row>
    <row r="107" spans="3:92" ht="12.75" customHeight="1" x14ac:dyDescent="0.3">
      <c r="C107"/>
      <c r="D107" s="56" t="s">
        <v>234</v>
      </c>
      <c r="E107" s="95"/>
      <c r="F107" s="95"/>
      <c r="G107" s="95"/>
      <c r="H107" s="16" t="s">
        <v>1</v>
      </c>
      <c r="J107" s="58">
        <f ca="1">SUM(L107:CN107)</f>
        <v>30207596.758677855</v>
      </c>
      <c r="L107" s="88">
        <f>SUM(L98:L100)*Ass!$I$19</f>
        <v>0</v>
      </c>
      <c r="M107" s="88">
        <f ca="1">SUM(M98:M100)*Ass!$I$19</f>
        <v>1038305.3222399993</v>
      </c>
      <c r="N107" s="88">
        <f ca="1">SUM(N98:N100)*Ass!$I$19</f>
        <v>1175074.790015999</v>
      </c>
      <c r="O107" s="88">
        <f ca="1">SUM(O98:O100)*Ass!$I$19</f>
        <v>1280958.0951428716</v>
      </c>
      <c r="P107" s="88">
        <f ca="1">SUM(P98:P100)*Ass!$I$19</f>
        <v>1396305.194380735</v>
      </c>
      <c r="Q107" s="88">
        <f ca="1">SUM(Q98:Q100)*Ass!$I$19</f>
        <v>1493194.6517673775</v>
      </c>
      <c r="R107" s="88">
        <f ca="1">SUM(R98:R100)*Ass!$I$19</f>
        <v>1594799.1841458951</v>
      </c>
      <c r="S107" s="88">
        <f ca="1">SUM(S98:S100)*Ass!$I$19</f>
        <v>1687361.5007945132</v>
      </c>
      <c r="T107" s="88">
        <f ca="1">SUM(T98:T100)*Ass!$I$19</f>
        <v>1266600.1609596717</v>
      </c>
      <c r="U107" s="88">
        <f ca="1">SUM(U98:U100)*Ass!$I$19</f>
        <v>1343740.9256146378</v>
      </c>
      <c r="V107" s="88">
        <f ca="1">SUM(V98:V100)*Ass!$I$19</f>
        <v>1414326.1774731944</v>
      </c>
      <c r="W107" s="88">
        <f ca="1">SUM(W98:W100)*Ass!$I$19</f>
        <v>1479023.3803759273</v>
      </c>
      <c r="X107" s="88">
        <f ca="1">SUM(X98:X100)*Ass!$I$19</f>
        <v>2005287.0301566732</v>
      </c>
      <c r="Y107" s="88">
        <f ca="1">SUM(Y98:Y100)*Ass!$I$19</f>
        <v>2013262.6281824929</v>
      </c>
      <c r="Z107" s="88">
        <f ca="1">SUM(Z98:Z100)*Ass!$I$19</f>
        <v>2021643.7815548878</v>
      </c>
      <c r="AA107" s="88">
        <f ca="1">SUM(AA98:AA100)*Ass!$I$19</f>
        <v>2020330.7695744568</v>
      </c>
      <c r="AB107" s="88">
        <f ca="1">SUM(AB98:AB100)*Ass!$I$19</f>
        <v>2029434.4686505082</v>
      </c>
      <c r="AC107" s="88">
        <f ca="1">SUM(AC98:AC100)*Ass!$I$19</f>
        <v>2028651.1925290381</v>
      </c>
      <c r="AD107" s="88">
        <f ca="1">SUM(AD98:AD100)*Ass!$I$19</f>
        <v>2038376.6831000214</v>
      </c>
      <c r="AE107" s="88">
        <f ca="1">SUM(AE98:AE100)*Ass!$I$19</f>
        <v>532780.99783472763</v>
      </c>
      <c r="AF107" s="88">
        <f ca="1">SUM(AF98:AF100)*Ass!$I$19</f>
        <v>22636.872455179011</v>
      </c>
      <c r="AG107" s="88">
        <f ca="1">SUM(AG98:AG100)*Ass!$I$19</f>
        <v>33144.481057085701</v>
      </c>
      <c r="AH107" s="88">
        <f ca="1">SUM(AH98:AH100)*Ass!$I$19</f>
        <v>31879.980195351596</v>
      </c>
      <c r="AI107" s="88">
        <f ca="1">SUM(AI98:AI100)*Ass!$I$19</f>
        <v>13830.050154080594</v>
      </c>
      <c r="AJ107" s="88">
        <f ca="1">SUM(AJ98:AJ100)*Ass!$I$19</f>
        <v>12814.441810596472</v>
      </c>
      <c r="AK107" s="88">
        <f ca="1">SUM(AK98:AK100)*Ass!$I$19</f>
        <v>5779.4217798443506</v>
      </c>
      <c r="AL107" s="88">
        <f ca="1">SUM(AL98:AL100)*Ass!$I$19</f>
        <v>4965.4578106624449</v>
      </c>
      <c r="AM107" s="88">
        <f ca="1">SUM(AM98:AM100)*Ass!$I$19</f>
        <v>4237.3477634244227</v>
      </c>
      <c r="AN107" s="88">
        <f ca="1">SUM(AN98:AN100)*Ass!$I$19</f>
        <v>3586.3827512918224</v>
      </c>
      <c r="AO107" s="88">
        <f ca="1">SUM(AO98:AO100)*Ass!$I$19</f>
        <v>3004.6978516867384</v>
      </c>
      <c r="AP107" s="88">
        <f ca="1">SUM(AP98:AP100)*Ass!$I$19</f>
        <v>2485.1941885533929</v>
      </c>
      <c r="AQ107" s="88">
        <f ca="1">SUM(AQ98:AQ100)*Ass!$I$19</f>
        <v>2021.4677609459682</v>
      </c>
      <c r="AR107" s="88">
        <f ca="1">SUM(AR98:AR100)*Ass!$I$19</f>
        <v>1607.7444918845592</v>
      </c>
      <c r="AS107" s="88">
        <f ca="1">SUM(AS98:AS100)*Ass!$I$19</f>
        <v>1238.8210040842182</v>
      </c>
      <c r="AT107" s="88">
        <f ca="1">SUM(AT98:AT100)*Ass!$I$19</f>
        <v>910.0106611659005</v>
      </c>
      <c r="AU107" s="88">
        <f ca="1">SUM(AU98:AU100)*Ass!$I$19</f>
        <v>617.09444401452311</v>
      </c>
      <c r="AV107" s="88">
        <f ca="1">SUM(AV98:AV100)*Ass!$I$19</f>
        <v>356.27626188592984</v>
      </c>
      <c r="AW107" s="88">
        <f ca="1">SUM(AW98:AW100)*Ass!$I$19</f>
        <v>124.14232651876286</v>
      </c>
      <c r="AX107" s="88">
        <f ca="1">SUM(AX98:AX100)*Ass!$I$19</f>
        <v>-82.375755200274284</v>
      </c>
      <c r="AY107" s="88">
        <f ca="1">SUM(AY98:AY100)*Ass!$I$19</f>
        <v>-266.03448860278354</v>
      </c>
      <c r="AZ107" s="88">
        <f ca="1">SUM(AZ98:AZ100)*Ass!$I$19</f>
        <v>-429.30889280118049</v>
      </c>
      <c r="BA107" s="88">
        <f ca="1">SUM(BA98:BA100)*Ass!$I$19</f>
        <v>-574.42006764980033</v>
      </c>
      <c r="BB107" s="88">
        <f ca="1">SUM(BB98:BB100)*Ass!$I$19</f>
        <v>-703.360175772719</v>
      </c>
      <c r="BC107" s="88">
        <f ca="1">SUM(BC98:BC100)*Ass!$I$19</f>
        <v>-817.91506920028473</v>
      </c>
      <c r="BD107" s="88">
        <f ca="1">SUM(BD98:BD100)*Ass!$I$19</f>
        <v>-919.68477138943967</v>
      </c>
      <c r="BE107" s="88">
        <f ca="1">SUM(BE98:BE100)*Ass!$I$19</f>
        <v>-1010.1020079458691</v>
      </c>
      <c r="BF107" s="88">
        <f ca="1">SUM(BF98:BF100)*Ass!$I$19</f>
        <v>-1090.448963162843</v>
      </c>
      <c r="BG107" s="88">
        <f ca="1">SUM(BG98:BG100)*Ass!$I$19</f>
        <v>-1161.872424477674</v>
      </c>
      <c r="BH107" s="88">
        <f ca="1">SUM(BH98:BH100)*Ass!$I$19</f>
        <v>-1225.397463068068</v>
      </c>
      <c r="BI107" s="88">
        <f ca="1">SUM(BI98:BI100)*Ass!$I$19</f>
        <v>-1281.9397859923727</v>
      </c>
      <c r="BJ107" s="88">
        <f ca="1">SUM(BJ98:BJ100)*Ass!$I$19</f>
        <v>-1332.3168834610283</v>
      </c>
      <c r="BK107" s="88">
        <f ca="1">SUM(BK98:BK100)*Ass!$I$19</f>
        <v>-1377.2580839553661</v>
      </c>
      <c r="BL107" s="88">
        <f ca="1">SUM(BL98:BL100)*Ass!$I$19</f>
        <v>-1417.4136199091747</v>
      </c>
      <c r="BM107" s="88">
        <f ca="1">SUM(BM98:BM100)*Ass!$I$19</f>
        <v>-1453.3627974840067</v>
      </c>
      <c r="BN107" s="88">
        <f ca="1">SUM(BN98:BN100)*Ass!$I$19</f>
        <v>-1485.6213555571808</v>
      </c>
      <c r="BO107" s="88">
        <f ca="1">SUM(BO98:BO100)*Ass!$I$19</f>
        <v>-1514.6480913203022</v>
      </c>
      <c r="BP107" s="88">
        <f ca="1">SUM(BP98:BP100)*Ass!$I$19</f>
        <v>-1540.8508228268288</v>
      </c>
      <c r="BQ107" s="88">
        <f ca="1">SUM(BQ98:BQ100)*Ass!$I$19</f>
        <v>-1564.5917523748799</v>
      </c>
      <c r="BR107" s="88">
        <f ca="1">SUM(BR98:BR100)*Ass!$I$19</f>
        <v>-1586.1922887076064</v>
      </c>
      <c r="BS107" s="88">
        <f ca="1">SUM(BS98:BS100)*Ass!$I$19</f>
        <v>-1605.9373806343785</v>
      </c>
      <c r="BT107" s="88">
        <f ca="1">SUM(BT98:BT100)*Ass!$I$19</f>
        <v>-1624.0794097622484</v>
      </c>
      <c r="BU107" s="88">
        <f ca="1">SUM(BU98:BU100)*Ass!$I$19</f>
        <v>-1640.841685554944</v>
      </c>
      <c r="BV107" s="88">
        <f ca="1">SUM(BV98:BV100)*Ass!$I$19</f>
        <v>-1656.4215818576329</v>
      </c>
      <c r="BW107" s="88">
        <f ca="1">SUM(BW98:BW100)*Ass!$I$19</f>
        <v>-1670.9933503184282</v>
      </c>
      <c r="BX107" s="88">
        <f ca="1">SUM(BX98:BX100)*Ass!$I$19</f>
        <v>-1684.7106427664123</v>
      </c>
      <c r="BY107" s="88">
        <f ca="1">SUM(BY98:BY100)*Ass!$I$19</f>
        <v>-1697.7087715333701</v>
      </c>
      <c r="BZ107" s="88">
        <f ca="1">SUM(BZ98:BZ100)*Ass!$I$19</f>
        <v>-1710.1067339279875</v>
      </c>
      <c r="CA107" s="88">
        <f ca="1">SUM(CA98:CA100)*Ass!$I$19</f>
        <v>-1722.0090245396084</v>
      </c>
      <c r="CB107" s="88">
        <f ca="1">SUM(CB98:CB100)*Ass!$I$19</f>
        <v>-1733.507256754227</v>
      </c>
      <c r="CC107" s="88">
        <f ca="1">SUM(CC98:CC100)*Ass!$I$19</f>
        <v>-1744.6816127867996</v>
      </c>
      <c r="CD107" s="88">
        <f ca="1">SUM(CD98:CD100)*Ass!$I$19</f>
        <v>-1755.602139647249</v>
      </c>
      <c r="CE107" s="88">
        <f ca="1">SUM(CE98:CE100)*Ass!$I$19</f>
        <v>-1766.3299067490734</v>
      </c>
      <c r="CF107" s="88">
        <f ca="1">SUM(CF98:CF100)*Ass!$I$19</f>
        <v>-1776.918039325252</v>
      </c>
      <c r="CG107" s="88">
        <f ca="1">SUM(CG98:CG100)*Ass!$I$19</f>
        <v>-1787.412640412841</v>
      </c>
      <c r="CH107" s="88">
        <f ca="1">SUM(CH98:CH100)*Ass!$I$19</f>
        <v>-1797.8536129054426</v>
      </c>
      <c r="CI107" s="88">
        <f ca="1">SUM(CI98:CI100)*Ass!$I$19</f>
        <v>-1808.2753920247592</v>
      </c>
      <c r="CJ107" s="88">
        <f ca="1">SUM(CJ98:CJ100)*Ass!$I$19</f>
        <v>-1818.7075975304469</v>
      </c>
      <c r="CK107" s="88">
        <f ca="1">SUM(CK98:CK100)*Ass!$I$19</f>
        <v>-1829.1756140502355</v>
      </c>
      <c r="CL107" s="88">
        <f ca="1">SUM(CL98:CL100)*Ass!$I$19</f>
        <v>-1839.7011070693843</v>
      </c>
      <c r="CM107" s="88">
        <f ca="1">SUM(CM98:CM100)*Ass!$I$19</f>
        <v>-1850.3024813595973</v>
      </c>
      <c r="CN107" s="105">
        <f ca="1">SUM(CN98:CN100)*Ass!$I$19</f>
        <v>262256.33095833554</v>
      </c>
    </row>
    <row r="108" spans="3:92" ht="12.75" customHeight="1" x14ac:dyDescent="0.3">
      <c r="C108"/>
      <c r="D108" s="96" t="s">
        <v>184</v>
      </c>
      <c r="E108" s="95"/>
      <c r="F108" s="95"/>
      <c r="G108" s="95"/>
      <c r="H108" s="16" t="s">
        <v>1</v>
      </c>
      <c r="J108" s="50">
        <f ca="1">SUM(J106:J107)</f>
        <v>0</v>
      </c>
      <c r="L108" s="99">
        <f>Ass!I137-Ass!I147</f>
        <v>-30207596.758677851</v>
      </c>
      <c r="M108" s="50">
        <f ca="1">SUM(M106:M107)</f>
        <v>-29169291.436437853</v>
      </c>
      <c r="N108" s="50">
        <f t="shared" ref="N108:P108" ca="1" si="300">SUM(N106:N107)</f>
        <v>-27994216.646421853</v>
      </c>
      <c r="O108" s="50">
        <f t="shared" ca="1" si="300"/>
        <v>-26713258.551278982</v>
      </c>
      <c r="P108" s="50">
        <f t="shared" ca="1" si="300"/>
        <v>-25316953.356898248</v>
      </c>
      <c r="Q108" s="50">
        <f t="shared" ref="Q108" ca="1" si="301">SUM(Q106:Q107)</f>
        <v>-23823758.705130871</v>
      </c>
      <c r="R108" s="50">
        <f t="shared" ref="R108:S108" ca="1" si="302">SUM(R106:R107)</f>
        <v>-22228959.520984977</v>
      </c>
      <c r="S108" s="50">
        <f t="shared" ca="1" si="302"/>
        <v>-20541598.020190462</v>
      </c>
      <c r="T108" s="50">
        <f t="shared" ref="T108" ca="1" si="303">SUM(T106:T107)</f>
        <v>-19274997.85923079</v>
      </c>
      <c r="U108" s="50">
        <f t="shared" ref="U108:V108" ca="1" si="304">SUM(U106:U107)</f>
        <v>-17931256.933616154</v>
      </c>
      <c r="V108" s="50">
        <f t="shared" ca="1" si="304"/>
        <v>-16516930.756142959</v>
      </c>
      <c r="W108" s="50">
        <f t="shared" ref="W108" ca="1" si="305">SUM(W106:W107)</f>
        <v>-15037907.375767032</v>
      </c>
      <c r="X108" s="50">
        <f t="shared" ref="X108:Y108" ca="1" si="306">SUM(X106:X107)</f>
        <v>-13032620.345610358</v>
      </c>
      <c r="Y108" s="50">
        <f t="shared" ca="1" si="306"/>
        <v>-11019357.717427865</v>
      </c>
      <c r="Z108" s="50">
        <f t="shared" ref="Z108" ca="1" si="307">SUM(Z106:Z107)</f>
        <v>-8997713.9358729776</v>
      </c>
      <c r="AA108" s="50">
        <f t="shared" ref="AA108:AB108" ca="1" si="308">SUM(AA106:AA107)</f>
        <v>-6977383.1662985208</v>
      </c>
      <c r="AB108" s="50">
        <f t="shared" ca="1" si="308"/>
        <v>-4947948.697648013</v>
      </c>
      <c r="AC108" s="50">
        <f t="shared" ref="AC108" ca="1" si="309">SUM(AC106:AC107)</f>
        <v>-2919297.505118975</v>
      </c>
      <c r="AD108" s="50">
        <f t="shared" ref="AD108:AE108" ca="1" si="310">SUM(AD106:AD107)</f>
        <v>-880920.82201895351</v>
      </c>
      <c r="AE108" s="50">
        <f t="shared" ca="1" si="310"/>
        <v>-348139.82418422587</v>
      </c>
      <c r="AF108" s="50">
        <f t="shared" ref="AF108" ca="1" si="311">SUM(AF106:AF107)</f>
        <v>-325502.95172904688</v>
      </c>
      <c r="AG108" s="50">
        <f t="shared" ref="AG108:AH108" ca="1" si="312">SUM(AG106:AG107)</f>
        <v>-292358.4706719612</v>
      </c>
      <c r="AH108" s="50">
        <f t="shared" ca="1" si="312"/>
        <v>-260478.49047660962</v>
      </c>
      <c r="AI108" s="50">
        <f t="shared" ref="AI108" ca="1" si="313">SUM(AI106:AI107)</f>
        <v>-246648.44032252903</v>
      </c>
      <c r="AJ108" s="50">
        <f t="shared" ref="AJ108:AK108" ca="1" si="314">SUM(AJ106:AJ107)</f>
        <v>-233833.99851193256</v>
      </c>
      <c r="AK108" s="50">
        <f t="shared" ca="1" si="314"/>
        <v>-228054.5767320882</v>
      </c>
      <c r="AL108" s="50">
        <f t="shared" ref="AL108" ca="1" si="315">SUM(AL106:AL107)</f>
        <v>-223089.11892142575</v>
      </c>
      <c r="AM108" s="50">
        <f t="shared" ref="AM108:AN108" ca="1" si="316">SUM(AM106:AM107)</f>
        <v>-218851.77115800133</v>
      </c>
      <c r="AN108" s="50">
        <f t="shared" ca="1" si="316"/>
        <v>-215265.38840670951</v>
      </c>
      <c r="AO108" s="50">
        <f t="shared" ref="AO108" ca="1" si="317">SUM(AO106:AO107)</f>
        <v>-212260.69055502277</v>
      </c>
      <c r="AP108" s="50">
        <f t="shared" ref="AP108:AQ108" ca="1" si="318">SUM(AP106:AP107)</f>
        <v>-209775.49636646936</v>
      </c>
      <c r="AQ108" s="50">
        <f t="shared" ca="1" si="318"/>
        <v>-207754.0286055234</v>
      </c>
      <c r="AR108" s="50">
        <f t="shared" ref="AR108" ca="1" si="319">SUM(AR106:AR107)</f>
        <v>-206146.28411363883</v>
      </c>
      <c r="AS108" s="50">
        <f t="shared" ref="AS108:AT108" ca="1" si="320">SUM(AS106:AS107)</f>
        <v>-204907.46310955461</v>
      </c>
      <c r="AT108" s="50">
        <f t="shared" ca="1" si="320"/>
        <v>-203997.45244838871</v>
      </c>
      <c r="AU108" s="50">
        <f t="shared" ref="AU108" ca="1" si="321">SUM(AU106:AU107)</f>
        <v>-203380.3580043742</v>
      </c>
      <c r="AV108" s="50">
        <f t="shared" ref="AV108:AW108" ca="1" si="322">SUM(AV106:AV107)</f>
        <v>-203024.08174248826</v>
      </c>
      <c r="AW108" s="50">
        <f t="shared" ca="1" si="322"/>
        <v>-202899.93941596948</v>
      </c>
      <c r="AX108" s="50">
        <f t="shared" ref="AX108" ca="1" si="323">SUM(AX106:AX107)</f>
        <v>-202982.31517116976</v>
      </c>
      <c r="AY108" s="50">
        <f t="shared" ref="AY108:AZ108" ca="1" si="324">SUM(AY106:AY107)</f>
        <v>-203248.34965977253</v>
      </c>
      <c r="AZ108" s="50">
        <f t="shared" ca="1" si="324"/>
        <v>-203677.6585525737</v>
      </c>
      <c r="BA108" s="50">
        <f t="shared" ref="BA108" ca="1" si="325">SUM(BA106:BA107)</f>
        <v>-204252.0786202235</v>
      </c>
      <c r="BB108" s="50">
        <f t="shared" ref="BB108:BC108" ca="1" si="326">SUM(BB106:BB107)</f>
        <v>-204955.43879599622</v>
      </c>
      <c r="BC108" s="50">
        <f t="shared" ca="1" si="326"/>
        <v>-205773.35386519649</v>
      </c>
      <c r="BD108" s="50">
        <f t="shared" ref="BD108" ca="1" si="327">SUM(BD106:BD107)</f>
        <v>-206693.03863658593</v>
      </c>
      <c r="BE108" s="50">
        <f t="shared" ref="BE108:BF108" ca="1" si="328">SUM(BE106:BE107)</f>
        <v>-207703.14064453181</v>
      </c>
      <c r="BF108" s="50">
        <f t="shared" ca="1" si="328"/>
        <v>-208793.58960769465</v>
      </c>
      <c r="BG108" s="50">
        <f t="shared" ref="BG108" ca="1" si="329">SUM(BG106:BG107)</f>
        <v>-209955.46203217233</v>
      </c>
      <c r="BH108" s="50">
        <f t="shared" ref="BH108:BI108" ca="1" si="330">SUM(BH106:BH107)</f>
        <v>-211180.85949524041</v>
      </c>
      <c r="BI108" s="50">
        <f t="shared" ca="1" si="330"/>
        <v>-212462.79928123279</v>
      </c>
      <c r="BJ108" s="50">
        <f t="shared" ref="BJ108" ca="1" si="331">SUM(BJ106:BJ107)</f>
        <v>-213795.11616469381</v>
      </c>
      <c r="BK108" s="50">
        <f t="shared" ref="BK108:BL108" ca="1" si="332">SUM(BK106:BK107)</f>
        <v>-215172.37424864917</v>
      </c>
      <c r="BL108" s="50">
        <f t="shared" ca="1" si="332"/>
        <v>-216589.78786855834</v>
      </c>
      <c r="BM108" s="50">
        <f t="shared" ref="BM108" ca="1" si="333">SUM(BM106:BM107)</f>
        <v>-218043.15066604235</v>
      </c>
      <c r="BN108" s="50">
        <f t="shared" ref="BN108:BO108" ca="1" si="334">SUM(BN106:BN107)</f>
        <v>-219528.77202159952</v>
      </c>
      <c r="BO108" s="50">
        <f t="shared" ca="1" si="334"/>
        <v>-221043.42011291982</v>
      </c>
      <c r="BP108" s="50">
        <f t="shared" ref="BP108" ca="1" si="335">SUM(BP106:BP107)</f>
        <v>-222584.27093574664</v>
      </c>
      <c r="BQ108" s="50">
        <f t="shared" ref="BQ108:BR108" ca="1" si="336">SUM(BQ106:BQ107)</f>
        <v>-224148.86268812153</v>
      </c>
      <c r="BR108" s="50">
        <f t="shared" ca="1" si="336"/>
        <v>-225735.05497682912</v>
      </c>
      <c r="BS108" s="50">
        <f t="shared" ref="BS108" ca="1" si="337">SUM(BS106:BS107)</f>
        <v>-227340.99235746349</v>
      </c>
      <c r="BT108" s="50">
        <f t="shared" ref="BT108:BU108" ca="1" si="338">SUM(BT106:BT107)</f>
        <v>-228965.07176722575</v>
      </c>
      <c r="BU108" s="50">
        <f t="shared" ca="1" si="338"/>
        <v>-230605.91345278069</v>
      </c>
      <c r="BV108" s="50">
        <f t="shared" ref="BV108" ca="1" si="339">SUM(BV106:BV107)</f>
        <v>-232262.33503463832</v>
      </c>
      <c r="BW108" s="50">
        <f t="shared" ref="BW108:BX108" ca="1" si="340">SUM(BW106:BW107)</f>
        <v>-233933.32838495675</v>
      </c>
      <c r="BX108" s="50">
        <f t="shared" ca="1" si="340"/>
        <v>-235618.03902772316</v>
      </c>
      <c r="BY108" s="50">
        <f t="shared" ref="BY108" ca="1" si="341">SUM(BY106:BY107)</f>
        <v>-237315.74779925653</v>
      </c>
      <c r="BZ108" s="50">
        <f t="shared" ref="BZ108:CA108" ca="1" si="342">SUM(BZ106:BZ107)</f>
        <v>-239025.85453318452</v>
      </c>
      <c r="CA108" s="50">
        <f t="shared" ca="1" si="342"/>
        <v>-240747.86355772414</v>
      </c>
      <c r="CB108" s="50">
        <f t="shared" ref="CB108" ca="1" si="343">SUM(CB106:CB107)</f>
        <v>-242481.37081447837</v>
      </c>
      <c r="CC108" s="50">
        <f t="shared" ref="CC108:CD108" ca="1" si="344">SUM(CC106:CC107)</f>
        <v>-244226.05242726518</v>
      </c>
      <c r="CD108" s="50">
        <f t="shared" ca="1" si="344"/>
        <v>-245981.65456691242</v>
      </c>
      <c r="CE108" s="50">
        <f t="shared" ref="CE108" ca="1" si="345">SUM(CE106:CE107)</f>
        <v>-247747.98447366149</v>
      </c>
      <c r="CF108" s="50">
        <f t="shared" ref="CF108:CG108" ca="1" si="346">SUM(CF106:CF107)</f>
        <v>-249524.90251298674</v>
      </c>
      <c r="CG108" s="50">
        <f t="shared" ca="1" si="346"/>
        <v>-251312.31515339957</v>
      </c>
      <c r="CH108" s="50">
        <f t="shared" ref="CH108" ca="1" si="347">SUM(CH106:CH107)</f>
        <v>-253110.16876630503</v>
      </c>
      <c r="CI108" s="50">
        <f t="shared" ref="CI108:CJ108" ca="1" si="348">SUM(CI106:CI107)</f>
        <v>-254918.44415832977</v>
      </c>
      <c r="CJ108" s="50">
        <f t="shared" ca="1" si="348"/>
        <v>-256737.15175586022</v>
      </c>
      <c r="CK108" s="50">
        <f t="shared" ref="CK108" ca="1" si="349">SUM(CK106:CK107)</f>
        <v>-258566.32736991046</v>
      </c>
      <c r="CL108" s="50">
        <f t="shared" ref="CL108:CM108" ca="1" si="350">SUM(CL106:CL107)</f>
        <v>-260406.02847697985</v>
      </c>
      <c r="CM108" s="50">
        <f t="shared" ca="1" si="350"/>
        <v>-262256.33095833944</v>
      </c>
      <c r="CN108" s="50">
        <f t="shared" ref="CN108" ca="1" si="351">SUM(CN106:CN107)</f>
        <v>-3.8999132812023163E-9</v>
      </c>
    </row>
    <row r="109" spans="3:92" ht="12.75" customHeight="1" x14ac:dyDescent="0.3">
      <c r="C109"/>
      <c r="D109" s="56"/>
      <c r="E109" s="95"/>
      <c r="F109" s="95"/>
      <c r="G109" s="95"/>
      <c r="H109" s="16"/>
    </row>
    <row r="110" spans="3:92" ht="12.75" customHeight="1" x14ac:dyDescent="0.3">
      <c r="C110"/>
      <c r="D110" s="102" t="s">
        <v>243</v>
      </c>
      <c r="E110" s="95"/>
      <c r="F110" s="95"/>
      <c r="G110" s="95"/>
      <c r="H110" s="16" t="s">
        <v>1</v>
      </c>
      <c r="L110" s="15">
        <f>MAX(L108,0)</f>
        <v>0</v>
      </c>
      <c r="M110" s="15">
        <f ca="1">MAX(M108,0)</f>
        <v>0</v>
      </c>
      <c r="N110" s="15">
        <f t="shared" ref="N110:P110" ca="1" si="352">MAX(N108,0)</f>
        <v>0</v>
      </c>
      <c r="O110" s="15">
        <f t="shared" ca="1" si="352"/>
        <v>0</v>
      </c>
      <c r="P110" s="15">
        <f t="shared" ca="1" si="352"/>
        <v>0</v>
      </c>
      <c r="Q110" s="15">
        <f t="shared" ref="Q110:CB110" ca="1" si="353">MAX(Q108,0)</f>
        <v>0</v>
      </c>
      <c r="R110" s="15">
        <f t="shared" ca="1" si="353"/>
        <v>0</v>
      </c>
      <c r="S110" s="15">
        <f t="shared" ca="1" si="353"/>
        <v>0</v>
      </c>
      <c r="T110" s="15">
        <f t="shared" ca="1" si="353"/>
        <v>0</v>
      </c>
      <c r="U110" s="15">
        <f t="shared" ca="1" si="353"/>
        <v>0</v>
      </c>
      <c r="V110" s="15">
        <f t="shared" ca="1" si="353"/>
        <v>0</v>
      </c>
      <c r="W110" s="15">
        <f t="shared" ca="1" si="353"/>
        <v>0</v>
      </c>
      <c r="X110" s="15">
        <f t="shared" ca="1" si="353"/>
        <v>0</v>
      </c>
      <c r="Y110" s="15">
        <f t="shared" ca="1" si="353"/>
        <v>0</v>
      </c>
      <c r="Z110" s="15">
        <f t="shared" ca="1" si="353"/>
        <v>0</v>
      </c>
      <c r="AA110" s="15">
        <f t="shared" ca="1" si="353"/>
        <v>0</v>
      </c>
      <c r="AB110" s="15">
        <f t="shared" ca="1" si="353"/>
        <v>0</v>
      </c>
      <c r="AC110" s="15">
        <f t="shared" ca="1" si="353"/>
        <v>0</v>
      </c>
      <c r="AD110" s="15">
        <f t="shared" ca="1" si="353"/>
        <v>0</v>
      </c>
      <c r="AE110" s="15">
        <f t="shared" ca="1" si="353"/>
        <v>0</v>
      </c>
      <c r="AF110" s="15">
        <f t="shared" ca="1" si="353"/>
        <v>0</v>
      </c>
      <c r="AG110" s="15">
        <f t="shared" ca="1" si="353"/>
        <v>0</v>
      </c>
      <c r="AH110" s="15">
        <f t="shared" ca="1" si="353"/>
        <v>0</v>
      </c>
      <c r="AI110" s="15">
        <f t="shared" ca="1" si="353"/>
        <v>0</v>
      </c>
      <c r="AJ110" s="15">
        <f t="shared" ca="1" si="353"/>
        <v>0</v>
      </c>
      <c r="AK110" s="15">
        <f t="shared" ca="1" si="353"/>
        <v>0</v>
      </c>
      <c r="AL110" s="15">
        <f t="shared" ca="1" si="353"/>
        <v>0</v>
      </c>
      <c r="AM110" s="15">
        <f t="shared" ca="1" si="353"/>
        <v>0</v>
      </c>
      <c r="AN110" s="15">
        <f t="shared" ca="1" si="353"/>
        <v>0</v>
      </c>
      <c r="AO110" s="15">
        <f t="shared" ca="1" si="353"/>
        <v>0</v>
      </c>
      <c r="AP110" s="15">
        <f t="shared" ca="1" si="353"/>
        <v>0</v>
      </c>
      <c r="AQ110" s="15">
        <f t="shared" ca="1" si="353"/>
        <v>0</v>
      </c>
      <c r="AR110" s="15">
        <f t="shared" ca="1" si="353"/>
        <v>0</v>
      </c>
      <c r="AS110" s="15">
        <f t="shared" ca="1" si="353"/>
        <v>0</v>
      </c>
      <c r="AT110" s="15">
        <f t="shared" ca="1" si="353"/>
        <v>0</v>
      </c>
      <c r="AU110" s="15">
        <f t="shared" ca="1" si="353"/>
        <v>0</v>
      </c>
      <c r="AV110" s="15">
        <f t="shared" ca="1" si="353"/>
        <v>0</v>
      </c>
      <c r="AW110" s="15">
        <f t="shared" ca="1" si="353"/>
        <v>0</v>
      </c>
      <c r="AX110" s="15">
        <f t="shared" ca="1" si="353"/>
        <v>0</v>
      </c>
      <c r="AY110" s="15">
        <f t="shared" ca="1" si="353"/>
        <v>0</v>
      </c>
      <c r="AZ110" s="15">
        <f t="shared" ca="1" si="353"/>
        <v>0</v>
      </c>
      <c r="BA110" s="15">
        <f t="shared" ca="1" si="353"/>
        <v>0</v>
      </c>
      <c r="BB110" s="15">
        <f t="shared" ca="1" si="353"/>
        <v>0</v>
      </c>
      <c r="BC110" s="15">
        <f t="shared" ca="1" si="353"/>
        <v>0</v>
      </c>
      <c r="BD110" s="15">
        <f t="shared" ca="1" si="353"/>
        <v>0</v>
      </c>
      <c r="BE110" s="15">
        <f t="shared" ca="1" si="353"/>
        <v>0</v>
      </c>
      <c r="BF110" s="15">
        <f t="shared" ca="1" si="353"/>
        <v>0</v>
      </c>
      <c r="BG110" s="15">
        <f t="shared" ca="1" si="353"/>
        <v>0</v>
      </c>
      <c r="BH110" s="15">
        <f t="shared" ca="1" si="353"/>
        <v>0</v>
      </c>
      <c r="BI110" s="15">
        <f t="shared" ca="1" si="353"/>
        <v>0</v>
      </c>
      <c r="BJ110" s="15">
        <f t="shared" ca="1" si="353"/>
        <v>0</v>
      </c>
      <c r="BK110" s="15">
        <f t="shared" ca="1" si="353"/>
        <v>0</v>
      </c>
      <c r="BL110" s="15">
        <f t="shared" ca="1" si="353"/>
        <v>0</v>
      </c>
      <c r="BM110" s="15">
        <f t="shared" ca="1" si="353"/>
        <v>0</v>
      </c>
      <c r="BN110" s="15">
        <f t="shared" ca="1" si="353"/>
        <v>0</v>
      </c>
      <c r="BO110" s="15">
        <f t="shared" ca="1" si="353"/>
        <v>0</v>
      </c>
      <c r="BP110" s="15">
        <f t="shared" ca="1" si="353"/>
        <v>0</v>
      </c>
      <c r="BQ110" s="15">
        <f t="shared" ca="1" si="353"/>
        <v>0</v>
      </c>
      <c r="BR110" s="15">
        <f t="shared" ca="1" si="353"/>
        <v>0</v>
      </c>
      <c r="BS110" s="15">
        <f t="shared" ca="1" si="353"/>
        <v>0</v>
      </c>
      <c r="BT110" s="15">
        <f t="shared" ca="1" si="353"/>
        <v>0</v>
      </c>
      <c r="BU110" s="15">
        <f t="shared" ca="1" si="353"/>
        <v>0</v>
      </c>
      <c r="BV110" s="15">
        <f t="shared" ca="1" si="353"/>
        <v>0</v>
      </c>
      <c r="BW110" s="15">
        <f t="shared" ca="1" si="353"/>
        <v>0</v>
      </c>
      <c r="BX110" s="15">
        <f t="shared" ca="1" si="353"/>
        <v>0</v>
      </c>
      <c r="BY110" s="15">
        <f t="shared" ca="1" si="353"/>
        <v>0</v>
      </c>
      <c r="BZ110" s="15">
        <f t="shared" ca="1" si="353"/>
        <v>0</v>
      </c>
      <c r="CA110" s="15">
        <f t="shared" ca="1" si="353"/>
        <v>0</v>
      </c>
      <c r="CB110" s="15">
        <f t="shared" ca="1" si="353"/>
        <v>0</v>
      </c>
      <c r="CC110" s="15">
        <f t="shared" ref="CC110:CN110" ca="1" si="354">MAX(CC108,0)</f>
        <v>0</v>
      </c>
      <c r="CD110" s="15">
        <f t="shared" ca="1" si="354"/>
        <v>0</v>
      </c>
      <c r="CE110" s="15">
        <f t="shared" ca="1" si="354"/>
        <v>0</v>
      </c>
      <c r="CF110" s="15">
        <f t="shared" ca="1" si="354"/>
        <v>0</v>
      </c>
      <c r="CG110" s="15">
        <f t="shared" ca="1" si="354"/>
        <v>0</v>
      </c>
      <c r="CH110" s="15">
        <f t="shared" ca="1" si="354"/>
        <v>0</v>
      </c>
      <c r="CI110" s="15">
        <f t="shared" ca="1" si="354"/>
        <v>0</v>
      </c>
      <c r="CJ110" s="15">
        <f t="shared" ca="1" si="354"/>
        <v>0</v>
      </c>
      <c r="CK110" s="15">
        <f t="shared" ca="1" si="354"/>
        <v>0</v>
      </c>
      <c r="CL110" s="15">
        <f t="shared" ca="1" si="354"/>
        <v>0</v>
      </c>
      <c r="CM110" s="15">
        <f t="shared" ca="1" si="354"/>
        <v>0</v>
      </c>
      <c r="CN110" s="15">
        <f t="shared" ca="1" si="354"/>
        <v>0</v>
      </c>
    </row>
    <row r="111" spans="3:92" ht="12.75" customHeight="1" x14ac:dyDescent="0.3">
      <c r="C111"/>
      <c r="D111" s="102" t="s">
        <v>244</v>
      </c>
      <c r="E111" s="95"/>
      <c r="F111" s="95"/>
      <c r="G111" s="95"/>
      <c r="H111" s="16" t="s">
        <v>1</v>
      </c>
      <c r="L111" s="15">
        <f>-MIN(L108,0)</f>
        <v>30207596.758677851</v>
      </c>
      <c r="M111" s="15">
        <f ca="1">-MIN(M108,0)</f>
        <v>29169291.436437853</v>
      </c>
      <c r="N111" s="15">
        <f t="shared" ref="N111:P111" ca="1" si="355">-MIN(N108,0)</f>
        <v>27994216.646421853</v>
      </c>
      <c r="O111" s="15">
        <f t="shared" ca="1" si="355"/>
        <v>26713258.551278982</v>
      </c>
      <c r="P111" s="15">
        <f t="shared" ca="1" si="355"/>
        <v>25316953.356898248</v>
      </c>
      <c r="Q111" s="15">
        <f t="shared" ref="Q111:CB111" ca="1" si="356">-MIN(Q108,0)</f>
        <v>23823758.705130871</v>
      </c>
      <c r="R111" s="15">
        <f t="shared" ca="1" si="356"/>
        <v>22228959.520984977</v>
      </c>
      <c r="S111" s="15">
        <f t="shared" ca="1" si="356"/>
        <v>20541598.020190462</v>
      </c>
      <c r="T111" s="15">
        <f t="shared" ca="1" si="356"/>
        <v>19274997.85923079</v>
      </c>
      <c r="U111" s="15">
        <f t="shared" ca="1" si="356"/>
        <v>17931256.933616154</v>
      </c>
      <c r="V111" s="15">
        <f t="shared" ca="1" si="356"/>
        <v>16516930.756142959</v>
      </c>
      <c r="W111" s="15">
        <f t="shared" ca="1" si="356"/>
        <v>15037907.375767032</v>
      </c>
      <c r="X111" s="15">
        <f t="shared" ca="1" si="356"/>
        <v>13032620.345610358</v>
      </c>
      <c r="Y111" s="15">
        <f t="shared" ca="1" si="356"/>
        <v>11019357.717427865</v>
      </c>
      <c r="Z111" s="15">
        <f t="shared" ca="1" si="356"/>
        <v>8997713.9358729776</v>
      </c>
      <c r="AA111" s="15">
        <f t="shared" ca="1" si="356"/>
        <v>6977383.1662985208</v>
      </c>
      <c r="AB111" s="15">
        <f t="shared" ca="1" si="356"/>
        <v>4947948.697648013</v>
      </c>
      <c r="AC111" s="15">
        <f t="shared" ca="1" si="356"/>
        <v>2919297.505118975</v>
      </c>
      <c r="AD111" s="15">
        <f t="shared" ca="1" si="356"/>
        <v>880920.82201895351</v>
      </c>
      <c r="AE111" s="15">
        <f t="shared" ca="1" si="356"/>
        <v>348139.82418422587</v>
      </c>
      <c r="AF111" s="15">
        <f t="shared" ca="1" si="356"/>
        <v>325502.95172904688</v>
      </c>
      <c r="AG111" s="15">
        <f t="shared" ca="1" si="356"/>
        <v>292358.4706719612</v>
      </c>
      <c r="AH111" s="15">
        <f t="shared" ca="1" si="356"/>
        <v>260478.49047660962</v>
      </c>
      <c r="AI111" s="15">
        <f t="shared" ca="1" si="356"/>
        <v>246648.44032252903</v>
      </c>
      <c r="AJ111" s="15">
        <f t="shared" ca="1" si="356"/>
        <v>233833.99851193256</v>
      </c>
      <c r="AK111" s="15">
        <f t="shared" ca="1" si="356"/>
        <v>228054.5767320882</v>
      </c>
      <c r="AL111" s="15">
        <f t="shared" ca="1" si="356"/>
        <v>223089.11892142575</v>
      </c>
      <c r="AM111" s="15">
        <f t="shared" ca="1" si="356"/>
        <v>218851.77115800133</v>
      </c>
      <c r="AN111" s="15">
        <f t="shared" ca="1" si="356"/>
        <v>215265.38840670951</v>
      </c>
      <c r="AO111" s="15">
        <f t="shared" ca="1" si="356"/>
        <v>212260.69055502277</v>
      </c>
      <c r="AP111" s="15">
        <f t="shared" ca="1" si="356"/>
        <v>209775.49636646936</v>
      </c>
      <c r="AQ111" s="15">
        <f t="shared" ca="1" si="356"/>
        <v>207754.0286055234</v>
      </c>
      <c r="AR111" s="15">
        <f t="shared" ca="1" si="356"/>
        <v>206146.28411363883</v>
      </c>
      <c r="AS111" s="15">
        <f t="shared" ca="1" si="356"/>
        <v>204907.46310955461</v>
      </c>
      <c r="AT111" s="15">
        <f t="shared" ca="1" si="356"/>
        <v>203997.45244838871</v>
      </c>
      <c r="AU111" s="15">
        <f t="shared" ca="1" si="356"/>
        <v>203380.3580043742</v>
      </c>
      <c r="AV111" s="15">
        <f t="shared" ca="1" si="356"/>
        <v>203024.08174248826</v>
      </c>
      <c r="AW111" s="15">
        <f t="shared" ca="1" si="356"/>
        <v>202899.93941596948</v>
      </c>
      <c r="AX111" s="15">
        <f t="shared" ca="1" si="356"/>
        <v>202982.31517116976</v>
      </c>
      <c r="AY111" s="15">
        <f t="shared" ca="1" si="356"/>
        <v>203248.34965977253</v>
      </c>
      <c r="AZ111" s="15">
        <f t="shared" ca="1" si="356"/>
        <v>203677.6585525737</v>
      </c>
      <c r="BA111" s="15">
        <f t="shared" ca="1" si="356"/>
        <v>204252.0786202235</v>
      </c>
      <c r="BB111" s="15">
        <f t="shared" ca="1" si="356"/>
        <v>204955.43879599622</v>
      </c>
      <c r="BC111" s="15">
        <f t="shared" ca="1" si="356"/>
        <v>205773.35386519649</v>
      </c>
      <c r="BD111" s="15">
        <f t="shared" ca="1" si="356"/>
        <v>206693.03863658593</v>
      </c>
      <c r="BE111" s="15">
        <f t="shared" ca="1" si="356"/>
        <v>207703.14064453181</v>
      </c>
      <c r="BF111" s="15">
        <f t="shared" ca="1" si="356"/>
        <v>208793.58960769465</v>
      </c>
      <c r="BG111" s="15">
        <f t="shared" ca="1" si="356"/>
        <v>209955.46203217233</v>
      </c>
      <c r="BH111" s="15">
        <f t="shared" ca="1" si="356"/>
        <v>211180.85949524041</v>
      </c>
      <c r="BI111" s="15">
        <f t="shared" ca="1" si="356"/>
        <v>212462.79928123279</v>
      </c>
      <c r="BJ111" s="15">
        <f t="shared" ca="1" si="356"/>
        <v>213795.11616469381</v>
      </c>
      <c r="BK111" s="15">
        <f t="shared" ca="1" si="356"/>
        <v>215172.37424864917</v>
      </c>
      <c r="BL111" s="15">
        <f t="shared" ca="1" si="356"/>
        <v>216589.78786855834</v>
      </c>
      <c r="BM111" s="15">
        <f t="shared" ca="1" si="356"/>
        <v>218043.15066604235</v>
      </c>
      <c r="BN111" s="15">
        <f t="shared" ca="1" si="356"/>
        <v>219528.77202159952</v>
      </c>
      <c r="BO111" s="15">
        <f t="shared" ca="1" si="356"/>
        <v>221043.42011291982</v>
      </c>
      <c r="BP111" s="15">
        <f t="shared" ca="1" si="356"/>
        <v>222584.27093574664</v>
      </c>
      <c r="BQ111" s="15">
        <f t="shared" ca="1" si="356"/>
        <v>224148.86268812153</v>
      </c>
      <c r="BR111" s="15">
        <f t="shared" ca="1" si="356"/>
        <v>225735.05497682912</v>
      </c>
      <c r="BS111" s="15">
        <f t="shared" ca="1" si="356"/>
        <v>227340.99235746349</v>
      </c>
      <c r="BT111" s="15">
        <f t="shared" ca="1" si="356"/>
        <v>228965.07176722575</v>
      </c>
      <c r="BU111" s="15">
        <f t="shared" ca="1" si="356"/>
        <v>230605.91345278069</v>
      </c>
      <c r="BV111" s="15">
        <f t="shared" ca="1" si="356"/>
        <v>232262.33503463832</v>
      </c>
      <c r="BW111" s="15">
        <f t="shared" ca="1" si="356"/>
        <v>233933.32838495675</v>
      </c>
      <c r="BX111" s="15">
        <f t="shared" ca="1" si="356"/>
        <v>235618.03902772316</v>
      </c>
      <c r="BY111" s="15">
        <f t="shared" ca="1" si="356"/>
        <v>237315.74779925653</v>
      </c>
      <c r="BZ111" s="15">
        <f t="shared" ca="1" si="356"/>
        <v>239025.85453318452</v>
      </c>
      <c r="CA111" s="15">
        <f t="shared" ca="1" si="356"/>
        <v>240747.86355772414</v>
      </c>
      <c r="CB111" s="15">
        <f t="shared" ca="1" si="356"/>
        <v>242481.37081447837</v>
      </c>
      <c r="CC111" s="15">
        <f t="shared" ref="CC111:CN111" ca="1" si="357">-MIN(CC108,0)</f>
        <v>244226.05242726518</v>
      </c>
      <c r="CD111" s="15">
        <f t="shared" ca="1" si="357"/>
        <v>245981.65456691242</v>
      </c>
      <c r="CE111" s="15">
        <f t="shared" ca="1" si="357"/>
        <v>247747.98447366149</v>
      </c>
      <c r="CF111" s="15">
        <f t="shared" ca="1" si="357"/>
        <v>249524.90251298674</v>
      </c>
      <c r="CG111" s="15">
        <f t="shared" ca="1" si="357"/>
        <v>251312.31515339957</v>
      </c>
      <c r="CH111" s="15">
        <f t="shared" ca="1" si="357"/>
        <v>253110.16876630503</v>
      </c>
      <c r="CI111" s="15">
        <f t="shared" ca="1" si="357"/>
        <v>254918.44415832977</v>
      </c>
      <c r="CJ111" s="15">
        <f t="shared" ca="1" si="357"/>
        <v>256737.15175586022</v>
      </c>
      <c r="CK111" s="15">
        <f t="shared" ca="1" si="357"/>
        <v>258566.32736991046</v>
      </c>
      <c r="CL111" s="15">
        <f t="shared" ca="1" si="357"/>
        <v>260406.02847697985</v>
      </c>
      <c r="CM111" s="15">
        <f t="shared" ca="1" si="357"/>
        <v>262256.33095833944</v>
      </c>
      <c r="CN111" s="15">
        <f t="shared" ca="1" si="357"/>
        <v>3.8999132812023163E-9</v>
      </c>
    </row>
    <row r="112" spans="3:92" ht="12.75" customHeight="1" x14ac:dyDescent="0.3">
      <c r="C112" s="17"/>
      <c r="D112" s="75"/>
    </row>
    <row r="113" spans="1:92" ht="12.75" customHeight="1" x14ac:dyDescent="0.3">
      <c r="C113" s="17"/>
      <c r="D113" s="98" t="s">
        <v>247</v>
      </c>
      <c r="H113" s="16" t="s">
        <v>1</v>
      </c>
      <c r="J113" s="58">
        <f ca="1">SUM(L113:CN113)</f>
        <v>0</v>
      </c>
      <c r="L113" s="107">
        <v>0</v>
      </c>
      <c r="M113" s="15">
        <f t="shared" ref="M113:AR113" ca="1" si="358">M110-L110</f>
        <v>0</v>
      </c>
      <c r="N113" s="15">
        <f t="shared" ca="1" si="358"/>
        <v>0</v>
      </c>
      <c r="O113" s="15">
        <f t="shared" ca="1" si="358"/>
        <v>0</v>
      </c>
      <c r="P113" s="15">
        <f t="shared" ca="1" si="358"/>
        <v>0</v>
      </c>
      <c r="Q113" s="15">
        <f t="shared" ca="1" si="358"/>
        <v>0</v>
      </c>
      <c r="R113" s="15">
        <f t="shared" ca="1" si="358"/>
        <v>0</v>
      </c>
      <c r="S113" s="15">
        <f t="shared" ca="1" si="358"/>
        <v>0</v>
      </c>
      <c r="T113" s="15">
        <f t="shared" ca="1" si="358"/>
        <v>0</v>
      </c>
      <c r="U113" s="15">
        <f t="shared" ca="1" si="358"/>
        <v>0</v>
      </c>
      <c r="V113" s="15">
        <f t="shared" ca="1" si="358"/>
        <v>0</v>
      </c>
      <c r="W113" s="15">
        <f t="shared" ca="1" si="358"/>
        <v>0</v>
      </c>
      <c r="X113" s="15">
        <f t="shared" ca="1" si="358"/>
        <v>0</v>
      </c>
      <c r="Y113" s="15">
        <f t="shared" ca="1" si="358"/>
        <v>0</v>
      </c>
      <c r="Z113" s="15">
        <f t="shared" ca="1" si="358"/>
        <v>0</v>
      </c>
      <c r="AA113" s="15">
        <f t="shared" ca="1" si="358"/>
        <v>0</v>
      </c>
      <c r="AB113" s="15">
        <f t="shared" ca="1" si="358"/>
        <v>0</v>
      </c>
      <c r="AC113" s="15">
        <f t="shared" ca="1" si="358"/>
        <v>0</v>
      </c>
      <c r="AD113" s="15">
        <f t="shared" ca="1" si="358"/>
        <v>0</v>
      </c>
      <c r="AE113" s="15">
        <f t="shared" ca="1" si="358"/>
        <v>0</v>
      </c>
      <c r="AF113" s="15">
        <f t="shared" ca="1" si="358"/>
        <v>0</v>
      </c>
      <c r="AG113" s="15">
        <f t="shared" ca="1" si="358"/>
        <v>0</v>
      </c>
      <c r="AH113" s="15">
        <f t="shared" ca="1" si="358"/>
        <v>0</v>
      </c>
      <c r="AI113" s="15">
        <f t="shared" ca="1" si="358"/>
        <v>0</v>
      </c>
      <c r="AJ113" s="15">
        <f t="shared" ca="1" si="358"/>
        <v>0</v>
      </c>
      <c r="AK113" s="15">
        <f t="shared" ca="1" si="358"/>
        <v>0</v>
      </c>
      <c r="AL113" s="15">
        <f t="shared" ca="1" si="358"/>
        <v>0</v>
      </c>
      <c r="AM113" s="15">
        <f t="shared" ca="1" si="358"/>
        <v>0</v>
      </c>
      <c r="AN113" s="15">
        <f t="shared" ca="1" si="358"/>
        <v>0</v>
      </c>
      <c r="AO113" s="15">
        <f t="shared" ca="1" si="358"/>
        <v>0</v>
      </c>
      <c r="AP113" s="15">
        <f t="shared" ca="1" si="358"/>
        <v>0</v>
      </c>
      <c r="AQ113" s="15">
        <f t="shared" ca="1" si="358"/>
        <v>0</v>
      </c>
      <c r="AR113" s="15">
        <f t="shared" ca="1" si="358"/>
        <v>0</v>
      </c>
      <c r="AS113" s="15">
        <f t="shared" ref="AS113:BX113" ca="1" si="359">AS110-AR110</f>
        <v>0</v>
      </c>
      <c r="AT113" s="15">
        <f t="shared" ca="1" si="359"/>
        <v>0</v>
      </c>
      <c r="AU113" s="15">
        <f t="shared" ca="1" si="359"/>
        <v>0</v>
      </c>
      <c r="AV113" s="15">
        <f t="shared" ca="1" si="359"/>
        <v>0</v>
      </c>
      <c r="AW113" s="15">
        <f t="shared" ca="1" si="359"/>
        <v>0</v>
      </c>
      <c r="AX113" s="15">
        <f t="shared" ca="1" si="359"/>
        <v>0</v>
      </c>
      <c r="AY113" s="15">
        <f t="shared" ca="1" si="359"/>
        <v>0</v>
      </c>
      <c r="AZ113" s="15">
        <f t="shared" ca="1" si="359"/>
        <v>0</v>
      </c>
      <c r="BA113" s="15">
        <f t="shared" ca="1" si="359"/>
        <v>0</v>
      </c>
      <c r="BB113" s="15">
        <f t="shared" ca="1" si="359"/>
        <v>0</v>
      </c>
      <c r="BC113" s="15">
        <f t="shared" ca="1" si="359"/>
        <v>0</v>
      </c>
      <c r="BD113" s="15">
        <f t="shared" ca="1" si="359"/>
        <v>0</v>
      </c>
      <c r="BE113" s="15">
        <f t="shared" ca="1" si="359"/>
        <v>0</v>
      </c>
      <c r="BF113" s="15">
        <f t="shared" ca="1" si="359"/>
        <v>0</v>
      </c>
      <c r="BG113" s="15">
        <f t="shared" ca="1" si="359"/>
        <v>0</v>
      </c>
      <c r="BH113" s="15">
        <f t="shared" ca="1" si="359"/>
        <v>0</v>
      </c>
      <c r="BI113" s="15">
        <f t="shared" ca="1" si="359"/>
        <v>0</v>
      </c>
      <c r="BJ113" s="15">
        <f t="shared" ca="1" si="359"/>
        <v>0</v>
      </c>
      <c r="BK113" s="15">
        <f t="shared" ca="1" si="359"/>
        <v>0</v>
      </c>
      <c r="BL113" s="15">
        <f t="shared" ca="1" si="359"/>
        <v>0</v>
      </c>
      <c r="BM113" s="15">
        <f t="shared" ca="1" si="359"/>
        <v>0</v>
      </c>
      <c r="BN113" s="15">
        <f t="shared" ca="1" si="359"/>
        <v>0</v>
      </c>
      <c r="BO113" s="15">
        <f t="shared" ca="1" si="359"/>
        <v>0</v>
      </c>
      <c r="BP113" s="15">
        <f t="shared" ca="1" si="359"/>
        <v>0</v>
      </c>
      <c r="BQ113" s="15">
        <f t="shared" ca="1" si="359"/>
        <v>0</v>
      </c>
      <c r="BR113" s="15">
        <f t="shared" ca="1" si="359"/>
        <v>0</v>
      </c>
      <c r="BS113" s="15">
        <f t="shared" ca="1" si="359"/>
        <v>0</v>
      </c>
      <c r="BT113" s="15">
        <f t="shared" ca="1" si="359"/>
        <v>0</v>
      </c>
      <c r="BU113" s="15">
        <f t="shared" ca="1" si="359"/>
        <v>0</v>
      </c>
      <c r="BV113" s="15">
        <f t="shared" ca="1" si="359"/>
        <v>0</v>
      </c>
      <c r="BW113" s="15">
        <f t="shared" ca="1" si="359"/>
        <v>0</v>
      </c>
      <c r="BX113" s="15">
        <f t="shared" ca="1" si="359"/>
        <v>0</v>
      </c>
      <c r="BY113" s="15">
        <f t="shared" ref="BY113:CN113" ca="1" si="360">BY110-BX110</f>
        <v>0</v>
      </c>
      <c r="BZ113" s="15">
        <f t="shared" ca="1" si="360"/>
        <v>0</v>
      </c>
      <c r="CA113" s="15">
        <f t="shared" ca="1" si="360"/>
        <v>0</v>
      </c>
      <c r="CB113" s="15">
        <f t="shared" ca="1" si="360"/>
        <v>0</v>
      </c>
      <c r="CC113" s="15">
        <f t="shared" ca="1" si="360"/>
        <v>0</v>
      </c>
      <c r="CD113" s="15">
        <f t="shared" ca="1" si="360"/>
        <v>0</v>
      </c>
      <c r="CE113" s="15">
        <f t="shared" ca="1" si="360"/>
        <v>0</v>
      </c>
      <c r="CF113" s="15">
        <f t="shared" ca="1" si="360"/>
        <v>0</v>
      </c>
      <c r="CG113" s="15">
        <f t="shared" ca="1" si="360"/>
        <v>0</v>
      </c>
      <c r="CH113" s="15">
        <f t="shared" ca="1" si="360"/>
        <v>0</v>
      </c>
      <c r="CI113" s="15">
        <f t="shared" ca="1" si="360"/>
        <v>0</v>
      </c>
      <c r="CJ113" s="15">
        <f t="shared" ca="1" si="360"/>
        <v>0</v>
      </c>
      <c r="CK113" s="15">
        <f t="shared" ca="1" si="360"/>
        <v>0</v>
      </c>
      <c r="CL113" s="15">
        <f t="shared" ca="1" si="360"/>
        <v>0</v>
      </c>
      <c r="CM113" s="15">
        <f t="shared" ca="1" si="360"/>
        <v>0</v>
      </c>
      <c r="CN113" s="15">
        <f t="shared" ca="1" si="360"/>
        <v>0</v>
      </c>
    </row>
    <row r="114" spans="1:92" ht="12.75" customHeight="1" x14ac:dyDescent="0.3">
      <c r="D114" s="98" t="s">
        <v>248</v>
      </c>
      <c r="H114" s="16" t="s">
        <v>1</v>
      </c>
      <c r="J114" s="58">
        <f ca="1">SUM(L114:CN114)</f>
        <v>-30207596.758677851</v>
      </c>
      <c r="L114" s="107">
        <v>0</v>
      </c>
      <c r="M114" s="15">
        <f t="shared" ref="M114:AR114" ca="1" si="361">M111-L111</f>
        <v>-1038305.3222399987</v>
      </c>
      <c r="N114" s="15">
        <f t="shared" ca="1" si="361"/>
        <v>-1175074.7900159992</v>
      </c>
      <c r="O114" s="15">
        <f t="shared" ca="1" si="361"/>
        <v>-1280958.0951428711</v>
      </c>
      <c r="P114" s="15">
        <f t="shared" ca="1" si="361"/>
        <v>-1396305.1943807341</v>
      </c>
      <c r="Q114" s="15">
        <f t="shared" ca="1" si="361"/>
        <v>-1493194.6517673768</v>
      </c>
      <c r="R114" s="15">
        <f t="shared" ca="1" si="361"/>
        <v>-1594799.1841458939</v>
      </c>
      <c r="S114" s="15">
        <f t="shared" ca="1" si="361"/>
        <v>-1687361.500794515</v>
      </c>
      <c r="T114" s="15">
        <f t="shared" ca="1" si="361"/>
        <v>-1266600.1609596722</v>
      </c>
      <c r="U114" s="15">
        <f t="shared" ca="1" si="361"/>
        <v>-1343740.9256146364</v>
      </c>
      <c r="V114" s="15">
        <f t="shared" ca="1" si="361"/>
        <v>-1414326.1774731949</v>
      </c>
      <c r="W114" s="15">
        <f t="shared" ca="1" si="361"/>
        <v>-1479023.3803759273</v>
      </c>
      <c r="X114" s="15">
        <f t="shared" ca="1" si="361"/>
        <v>-2005287.0301566739</v>
      </c>
      <c r="Y114" s="15">
        <f t="shared" ca="1" si="361"/>
        <v>-2013262.6281824932</v>
      </c>
      <c r="Z114" s="15">
        <f t="shared" ca="1" si="361"/>
        <v>-2021643.7815548871</v>
      </c>
      <c r="AA114" s="15">
        <f t="shared" ca="1" si="361"/>
        <v>-2020330.7695744568</v>
      </c>
      <c r="AB114" s="15">
        <f t="shared" ca="1" si="361"/>
        <v>-2029434.4686505077</v>
      </c>
      <c r="AC114" s="15">
        <f t="shared" ca="1" si="361"/>
        <v>-2028651.1925290381</v>
      </c>
      <c r="AD114" s="15">
        <f t="shared" ca="1" si="361"/>
        <v>-2038376.6831000214</v>
      </c>
      <c r="AE114" s="15">
        <f t="shared" ca="1" si="361"/>
        <v>-532780.99783472763</v>
      </c>
      <c r="AF114" s="15">
        <f t="shared" ca="1" si="361"/>
        <v>-22636.872455178993</v>
      </c>
      <c r="AG114" s="15">
        <f t="shared" ca="1" si="361"/>
        <v>-33144.481057085679</v>
      </c>
      <c r="AH114" s="15">
        <f t="shared" ca="1" si="361"/>
        <v>-31879.980195351585</v>
      </c>
      <c r="AI114" s="15">
        <f t="shared" ca="1" si="361"/>
        <v>-13830.050154080585</v>
      </c>
      <c r="AJ114" s="15">
        <f t="shared" ca="1" si="361"/>
        <v>-12814.441810596472</v>
      </c>
      <c r="AK114" s="15">
        <f t="shared" ca="1" si="361"/>
        <v>-5779.4217798443569</v>
      </c>
      <c r="AL114" s="15">
        <f t="shared" ca="1" si="361"/>
        <v>-4965.457810662454</v>
      </c>
      <c r="AM114" s="15">
        <f t="shared" ca="1" si="361"/>
        <v>-4237.3477634244191</v>
      </c>
      <c r="AN114" s="15">
        <f t="shared" ca="1" si="361"/>
        <v>-3586.3827512918215</v>
      </c>
      <c r="AO114" s="15">
        <f t="shared" ca="1" si="361"/>
        <v>-3004.6978516867384</v>
      </c>
      <c r="AP114" s="15">
        <f t="shared" ca="1" si="361"/>
        <v>-2485.1941885534034</v>
      </c>
      <c r="AQ114" s="15">
        <f t="shared" ca="1" si="361"/>
        <v>-2021.4677609459613</v>
      </c>
      <c r="AR114" s="15">
        <f t="shared" ca="1" si="361"/>
        <v>-1607.7444918845722</v>
      </c>
      <c r="AS114" s="15">
        <f t="shared" ref="AS114:BX114" ca="1" si="362">AS111-AR111</f>
        <v>-1238.8210040842241</v>
      </c>
      <c r="AT114" s="15">
        <f t="shared" ca="1" si="362"/>
        <v>-910.01066116589936</v>
      </c>
      <c r="AU114" s="15">
        <f t="shared" ca="1" si="362"/>
        <v>-617.09444401451037</v>
      </c>
      <c r="AV114" s="15">
        <f t="shared" ca="1" si="362"/>
        <v>-356.27626188594149</v>
      </c>
      <c r="AW114" s="15">
        <f t="shared" ca="1" si="362"/>
        <v>-124.14232651877683</v>
      </c>
      <c r="AX114" s="15">
        <f t="shared" ca="1" si="362"/>
        <v>82.375755200278945</v>
      </c>
      <c r="AY114" s="15">
        <f t="shared" ca="1" si="362"/>
        <v>266.03448860277422</v>
      </c>
      <c r="AZ114" s="15">
        <f t="shared" ca="1" si="362"/>
        <v>429.30889280117117</v>
      </c>
      <c r="BA114" s="15">
        <f t="shared" ca="1" si="362"/>
        <v>574.42006764980033</v>
      </c>
      <c r="BB114" s="15">
        <f t="shared" ca="1" si="362"/>
        <v>703.36017577271559</v>
      </c>
      <c r="BC114" s="15">
        <f t="shared" ca="1" si="362"/>
        <v>817.91506920027314</v>
      </c>
      <c r="BD114" s="15">
        <f t="shared" ca="1" si="362"/>
        <v>919.68477138943854</v>
      </c>
      <c r="BE114" s="15">
        <f t="shared" ca="1" si="362"/>
        <v>1010.1020079458831</v>
      </c>
      <c r="BF114" s="15">
        <f t="shared" ca="1" si="362"/>
        <v>1090.4489631628385</v>
      </c>
      <c r="BG114" s="15">
        <f t="shared" ca="1" si="362"/>
        <v>1161.8724244776822</v>
      </c>
      <c r="BH114" s="15">
        <f t="shared" ca="1" si="362"/>
        <v>1225.397463068075</v>
      </c>
      <c r="BI114" s="15">
        <f t="shared" ca="1" si="362"/>
        <v>1281.9397859923774</v>
      </c>
      <c r="BJ114" s="15">
        <f t="shared" ca="1" si="362"/>
        <v>1332.316883461026</v>
      </c>
      <c r="BK114" s="15">
        <f t="shared" ca="1" si="362"/>
        <v>1377.2580839553557</v>
      </c>
      <c r="BL114" s="15">
        <f t="shared" ca="1" si="362"/>
        <v>1417.4136199091736</v>
      </c>
      <c r="BM114" s="15">
        <f t="shared" ca="1" si="362"/>
        <v>1453.3627974840056</v>
      </c>
      <c r="BN114" s="15">
        <f t="shared" ca="1" si="362"/>
        <v>1485.621355557174</v>
      </c>
      <c r="BO114" s="15">
        <f t="shared" ca="1" si="362"/>
        <v>1514.6480913202977</v>
      </c>
      <c r="BP114" s="15">
        <f t="shared" ca="1" si="362"/>
        <v>1540.8508228268183</v>
      </c>
      <c r="BQ114" s="15">
        <f t="shared" ca="1" si="362"/>
        <v>1564.591752374894</v>
      </c>
      <c r="BR114" s="15">
        <f t="shared" ca="1" si="362"/>
        <v>1586.1922887075925</v>
      </c>
      <c r="BS114" s="15">
        <f t="shared" ca="1" si="362"/>
        <v>1605.9373806343647</v>
      </c>
      <c r="BT114" s="15">
        <f t="shared" ca="1" si="362"/>
        <v>1624.0794097622565</v>
      </c>
      <c r="BU114" s="15">
        <f t="shared" ca="1" si="362"/>
        <v>1640.841685554944</v>
      </c>
      <c r="BV114" s="15">
        <f t="shared" ca="1" si="362"/>
        <v>1656.421581857634</v>
      </c>
      <c r="BW114" s="15">
        <f t="shared" ca="1" si="362"/>
        <v>1670.9933503184293</v>
      </c>
      <c r="BX114" s="15">
        <f t="shared" ca="1" si="362"/>
        <v>1684.7106427664112</v>
      </c>
      <c r="BY114" s="15">
        <f t="shared" ref="BY114:CN114" ca="1" si="363">BY111-BX111</f>
        <v>1697.7087715333619</v>
      </c>
      <c r="BZ114" s="15">
        <f t="shared" ca="1" si="363"/>
        <v>1710.106733927998</v>
      </c>
      <c r="CA114" s="15">
        <f t="shared" ca="1" si="363"/>
        <v>1722.0090245396132</v>
      </c>
      <c r="CB114" s="15">
        <f t="shared" ca="1" si="363"/>
        <v>1733.5072567542375</v>
      </c>
      <c r="CC114" s="15">
        <f t="shared" ca="1" si="363"/>
        <v>1744.6816127868078</v>
      </c>
      <c r="CD114" s="15">
        <f t="shared" ca="1" si="363"/>
        <v>1755.6021396472352</v>
      </c>
      <c r="CE114" s="15">
        <f t="shared" ca="1" si="363"/>
        <v>1766.3299067490734</v>
      </c>
      <c r="CF114" s="15">
        <f t="shared" ca="1" si="363"/>
        <v>1776.9180393252464</v>
      </c>
      <c r="CG114" s="15">
        <f t="shared" ca="1" si="363"/>
        <v>1787.4126404128328</v>
      </c>
      <c r="CH114" s="15">
        <f t="shared" ca="1" si="363"/>
        <v>1797.8536129054555</v>
      </c>
      <c r="CI114" s="15">
        <f t="shared" ca="1" si="363"/>
        <v>1808.2753920247487</v>
      </c>
      <c r="CJ114" s="15">
        <f t="shared" ca="1" si="363"/>
        <v>1818.7075975304469</v>
      </c>
      <c r="CK114" s="15">
        <f t="shared" ca="1" si="363"/>
        <v>1829.1756140502403</v>
      </c>
      <c r="CL114" s="15">
        <f t="shared" ca="1" si="363"/>
        <v>1839.7011070693843</v>
      </c>
      <c r="CM114" s="15">
        <f t="shared" ca="1" si="363"/>
        <v>1850.3024813595985</v>
      </c>
      <c r="CN114" s="15">
        <f t="shared" ca="1" si="363"/>
        <v>-262256.33095833554</v>
      </c>
    </row>
    <row r="115" spans="1:92" ht="12.75" customHeight="1" x14ac:dyDescent="0.3">
      <c r="D115" s="75"/>
    </row>
    <row r="116" spans="1:92" ht="13.2" x14ac:dyDescent="0.25">
      <c r="A116" s="14"/>
      <c r="B116" s="14"/>
      <c r="C116" s="14" t="s">
        <v>101</v>
      </c>
      <c r="D116" s="20"/>
      <c r="E116" s="14"/>
      <c r="F116" s="14"/>
      <c r="G116" s="14"/>
      <c r="H116" s="57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</row>
    <row r="117" spans="1:92" ht="12.75" customHeight="1" x14ac:dyDescent="0.3">
      <c r="D117" s="75"/>
    </row>
    <row r="118" spans="1:92" ht="12.75" customHeight="1" x14ac:dyDescent="0.3">
      <c r="D118" s="98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</row>
    <row r="119" spans="1:92" ht="12.75" customHeight="1" x14ac:dyDescent="0.3">
      <c r="D119" s="75"/>
    </row>
    <row r="120" spans="1:92" ht="12.75" customHeight="1" x14ac:dyDescent="0.3">
      <c r="D120" s="9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</row>
    <row r="121" spans="1:92" ht="12.75" customHeight="1" x14ac:dyDescent="0.3">
      <c r="D121" s="9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</row>
    <row r="122" spans="1:92" ht="12.75" customHeight="1" x14ac:dyDescent="0.3">
      <c r="D122" s="75"/>
    </row>
    <row r="123" spans="1:92" ht="12.75" customHeight="1" x14ac:dyDescent="0.3">
      <c r="D123" s="75"/>
    </row>
    <row r="124" spans="1:92" ht="12.75" customHeight="1" x14ac:dyDescent="0.3"/>
    <row r="125" spans="1:92" ht="12.75" customHeight="1" x14ac:dyDescent="0.3"/>
    <row r="126" spans="1:92" ht="12.75" customHeight="1" x14ac:dyDescent="0.3"/>
    <row r="127" spans="1:92" ht="12.75" customHeight="1" x14ac:dyDescent="0.3"/>
    <row r="128" spans="1:92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</sheetData>
  <pageMargins left="0.7" right="0.7" top="0.75" bottom="0.75" header="0.3" footer="0.3"/>
  <pageSetup paperSize="9" orientation="portrait" verticalDpi="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41"/>
  <sheetViews>
    <sheetView showGridLines="0" zoomScale="79" zoomScaleNormal="100" workbookViewId="0">
      <pane xSplit="10" ySplit="7" topLeftCell="AM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A11" sqref="A11"/>
    </sheetView>
  </sheetViews>
  <sheetFormatPr defaultColWidth="9.109375" defaultRowHeight="14.4" x14ac:dyDescent="0.3"/>
  <cols>
    <col min="1" max="1" width="7.33203125" style="1" customWidth="1"/>
    <col min="2" max="2" width="3.6640625" style="1" customWidth="1"/>
    <col min="3" max="3" width="3.6640625" style="7" customWidth="1"/>
    <col min="4" max="4" width="40.6640625" style="7" customWidth="1"/>
    <col min="5" max="6" width="9.109375" style="1" customWidth="1"/>
    <col min="7" max="7" width="3.6640625" style="1" customWidth="1"/>
    <col min="8" max="8" width="5.6640625" style="10" customWidth="1"/>
    <col min="9" max="9" width="9.6640625" customWidth="1"/>
    <col min="10" max="10" width="14.6640625" style="1" customWidth="1"/>
    <col min="11" max="92" width="12.6640625" style="1" customWidth="1"/>
    <col min="93" max="16384" width="9.109375" style="1"/>
  </cols>
  <sheetData>
    <row r="1" spans="1:92" ht="21" x14ac:dyDescent="0.4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</row>
    <row r="2" spans="1:92" s="6" customFormat="1" ht="18" customHeigh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</row>
    <row r="3" spans="1:92" ht="18" customHeight="1" x14ac:dyDescent="0.4">
      <c r="A3" s="63">
        <f>Accounts!A3+1</f>
        <v>6</v>
      </c>
      <c r="B3" s="64"/>
      <c r="C3" s="64" t="s">
        <v>249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</row>
    <row r="4" spans="1:92" x14ac:dyDescent="0.3">
      <c r="D4" s="8"/>
      <c r="E4" s="9"/>
    </row>
    <row r="5" spans="1:92" x14ac:dyDescent="0.3">
      <c r="D5" s="11"/>
    </row>
    <row r="6" spans="1:92" ht="15" customHeight="1" x14ac:dyDescent="0.3">
      <c r="D6" s="12"/>
      <c r="E6" s="2" t="s">
        <v>47</v>
      </c>
      <c r="L6" s="71">
        <f>Ass!$I$12</f>
        <v>41639</v>
      </c>
      <c r="M6" s="13">
        <f>L7+1</f>
        <v>41640</v>
      </c>
      <c r="N6" s="13">
        <f t="shared" ref="N6:BY6" si="0">M7+1</f>
        <v>41730</v>
      </c>
      <c r="O6" s="13">
        <f t="shared" si="0"/>
        <v>41821</v>
      </c>
      <c r="P6" s="13">
        <f t="shared" si="0"/>
        <v>41913</v>
      </c>
      <c r="Q6" s="13">
        <f t="shared" si="0"/>
        <v>42005</v>
      </c>
      <c r="R6" s="13">
        <f t="shared" si="0"/>
        <v>42095</v>
      </c>
      <c r="S6" s="13">
        <f t="shared" si="0"/>
        <v>42186</v>
      </c>
      <c r="T6" s="13">
        <f t="shared" si="0"/>
        <v>42278</v>
      </c>
      <c r="U6" s="13">
        <f t="shared" si="0"/>
        <v>42370</v>
      </c>
      <c r="V6" s="13">
        <f t="shared" si="0"/>
        <v>42461</v>
      </c>
      <c r="W6" s="13">
        <f t="shared" si="0"/>
        <v>42552</v>
      </c>
      <c r="X6" s="13">
        <f t="shared" si="0"/>
        <v>42644</v>
      </c>
      <c r="Y6" s="13">
        <f t="shared" si="0"/>
        <v>42736</v>
      </c>
      <c r="Z6" s="13">
        <f t="shared" si="0"/>
        <v>42826</v>
      </c>
      <c r="AA6" s="13">
        <f t="shared" si="0"/>
        <v>42917</v>
      </c>
      <c r="AB6" s="13">
        <f t="shared" si="0"/>
        <v>43009</v>
      </c>
      <c r="AC6" s="13">
        <f t="shared" si="0"/>
        <v>43101</v>
      </c>
      <c r="AD6" s="13">
        <f t="shared" si="0"/>
        <v>43191</v>
      </c>
      <c r="AE6" s="13">
        <f t="shared" si="0"/>
        <v>43282</v>
      </c>
      <c r="AF6" s="13">
        <f t="shared" si="0"/>
        <v>43374</v>
      </c>
      <c r="AG6" s="13">
        <f t="shared" si="0"/>
        <v>43466</v>
      </c>
      <c r="AH6" s="13">
        <f t="shared" si="0"/>
        <v>43556</v>
      </c>
      <c r="AI6" s="13">
        <f t="shared" si="0"/>
        <v>43647</v>
      </c>
      <c r="AJ6" s="13">
        <f t="shared" si="0"/>
        <v>43739</v>
      </c>
      <c r="AK6" s="13">
        <f t="shared" si="0"/>
        <v>43831</v>
      </c>
      <c r="AL6" s="13">
        <f t="shared" si="0"/>
        <v>43922</v>
      </c>
      <c r="AM6" s="13">
        <f t="shared" si="0"/>
        <v>44013</v>
      </c>
      <c r="AN6" s="13">
        <f t="shared" si="0"/>
        <v>44105</v>
      </c>
      <c r="AO6" s="13">
        <f t="shared" si="0"/>
        <v>44197</v>
      </c>
      <c r="AP6" s="13">
        <f t="shared" si="0"/>
        <v>44287</v>
      </c>
      <c r="AQ6" s="13">
        <f t="shared" si="0"/>
        <v>44378</v>
      </c>
      <c r="AR6" s="13">
        <f t="shared" si="0"/>
        <v>44470</v>
      </c>
      <c r="AS6" s="13">
        <f t="shared" si="0"/>
        <v>44562</v>
      </c>
      <c r="AT6" s="13">
        <f t="shared" si="0"/>
        <v>44652</v>
      </c>
      <c r="AU6" s="13">
        <f t="shared" si="0"/>
        <v>44743</v>
      </c>
      <c r="AV6" s="13">
        <f t="shared" si="0"/>
        <v>44835</v>
      </c>
      <c r="AW6" s="13">
        <f t="shared" si="0"/>
        <v>44927</v>
      </c>
      <c r="AX6" s="13">
        <f t="shared" si="0"/>
        <v>45017</v>
      </c>
      <c r="AY6" s="13">
        <f t="shared" si="0"/>
        <v>45108</v>
      </c>
      <c r="AZ6" s="13">
        <f t="shared" si="0"/>
        <v>45200</v>
      </c>
      <c r="BA6" s="13">
        <f t="shared" si="0"/>
        <v>45292</v>
      </c>
      <c r="BB6" s="13">
        <f t="shared" si="0"/>
        <v>45383</v>
      </c>
      <c r="BC6" s="13">
        <f t="shared" si="0"/>
        <v>45474</v>
      </c>
      <c r="BD6" s="13">
        <f t="shared" si="0"/>
        <v>45566</v>
      </c>
      <c r="BE6" s="13">
        <f t="shared" si="0"/>
        <v>45658</v>
      </c>
      <c r="BF6" s="13">
        <f t="shared" si="0"/>
        <v>45748</v>
      </c>
      <c r="BG6" s="13">
        <f t="shared" si="0"/>
        <v>45839</v>
      </c>
      <c r="BH6" s="13">
        <f t="shared" si="0"/>
        <v>45931</v>
      </c>
      <c r="BI6" s="13">
        <f t="shared" si="0"/>
        <v>46023</v>
      </c>
      <c r="BJ6" s="13">
        <f t="shared" si="0"/>
        <v>46113</v>
      </c>
      <c r="BK6" s="13">
        <f t="shared" si="0"/>
        <v>46204</v>
      </c>
      <c r="BL6" s="13">
        <f t="shared" si="0"/>
        <v>46296</v>
      </c>
      <c r="BM6" s="13">
        <f t="shared" si="0"/>
        <v>46388</v>
      </c>
      <c r="BN6" s="13">
        <f t="shared" si="0"/>
        <v>46478</v>
      </c>
      <c r="BO6" s="13">
        <f t="shared" si="0"/>
        <v>46569</v>
      </c>
      <c r="BP6" s="13">
        <f t="shared" si="0"/>
        <v>46661</v>
      </c>
      <c r="BQ6" s="13">
        <f t="shared" si="0"/>
        <v>46753</v>
      </c>
      <c r="BR6" s="13">
        <f t="shared" si="0"/>
        <v>46844</v>
      </c>
      <c r="BS6" s="13">
        <f t="shared" si="0"/>
        <v>46935</v>
      </c>
      <c r="BT6" s="13">
        <f t="shared" si="0"/>
        <v>47027</v>
      </c>
      <c r="BU6" s="13">
        <f t="shared" si="0"/>
        <v>47119</v>
      </c>
      <c r="BV6" s="13">
        <f t="shared" si="0"/>
        <v>47209</v>
      </c>
      <c r="BW6" s="13">
        <f t="shared" si="0"/>
        <v>47300</v>
      </c>
      <c r="BX6" s="13">
        <f t="shared" si="0"/>
        <v>47392</v>
      </c>
      <c r="BY6" s="13">
        <f t="shared" si="0"/>
        <v>47484</v>
      </c>
      <c r="BZ6" s="13">
        <f t="shared" ref="BZ6:CN6" si="1">BY7+1</f>
        <v>47574</v>
      </c>
      <c r="CA6" s="13">
        <f t="shared" si="1"/>
        <v>47665</v>
      </c>
      <c r="CB6" s="13">
        <f t="shared" si="1"/>
        <v>47757</v>
      </c>
      <c r="CC6" s="13">
        <f t="shared" si="1"/>
        <v>47849</v>
      </c>
      <c r="CD6" s="13">
        <f t="shared" si="1"/>
        <v>47939</v>
      </c>
      <c r="CE6" s="13">
        <f t="shared" si="1"/>
        <v>48030</v>
      </c>
      <c r="CF6" s="13">
        <f t="shared" si="1"/>
        <v>48122</v>
      </c>
      <c r="CG6" s="13">
        <f t="shared" si="1"/>
        <v>48214</v>
      </c>
      <c r="CH6" s="13">
        <f t="shared" si="1"/>
        <v>48305</v>
      </c>
      <c r="CI6" s="13">
        <f t="shared" si="1"/>
        <v>48396</v>
      </c>
      <c r="CJ6" s="13">
        <f t="shared" si="1"/>
        <v>48488</v>
      </c>
      <c r="CK6" s="13">
        <f t="shared" si="1"/>
        <v>48580</v>
      </c>
      <c r="CL6" s="13">
        <f t="shared" si="1"/>
        <v>48670</v>
      </c>
      <c r="CM6" s="13">
        <f t="shared" si="1"/>
        <v>48761</v>
      </c>
      <c r="CN6" s="13">
        <f t="shared" si="1"/>
        <v>48853</v>
      </c>
    </row>
    <row r="7" spans="1:92" ht="15" customHeight="1" x14ac:dyDescent="0.3">
      <c r="D7" s="12"/>
      <c r="E7" s="2" t="s">
        <v>48</v>
      </c>
      <c r="H7" s="10" t="s">
        <v>49</v>
      </c>
      <c r="J7" s="1" t="s">
        <v>50</v>
      </c>
      <c r="L7" s="71">
        <f>Ass!$I$12</f>
        <v>41639</v>
      </c>
      <c r="M7" s="13">
        <f>EOMONTH(L7,3)</f>
        <v>41729</v>
      </c>
      <c r="N7" s="13">
        <f t="shared" ref="N7:BY7" si="2">EOMONTH(M7,3)</f>
        <v>41820</v>
      </c>
      <c r="O7" s="13">
        <f t="shared" si="2"/>
        <v>41912</v>
      </c>
      <c r="P7" s="13">
        <f t="shared" si="2"/>
        <v>42004</v>
      </c>
      <c r="Q7" s="13">
        <f t="shared" si="2"/>
        <v>42094</v>
      </c>
      <c r="R7" s="13">
        <f t="shared" si="2"/>
        <v>42185</v>
      </c>
      <c r="S7" s="13">
        <f t="shared" si="2"/>
        <v>42277</v>
      </c>
      <c r="T7" s="13">
        <f t="shared" si="2"/>
        <v>42369</v>
      </c>
      <c r="U7" s="13">
        <f t="shared" si="2"/>
        <v>42460</v>
      </c>
      <c r="V7" s="13">
        <f t="shared" si="2"/>
        <v>42551</v>
      </c>
      <c r="W7" s="13">
        <f t="shared" si="2"/>
        <v>42643</v>
      </c>
      <c r="X7" s="13">
        <f t="shared" si="2"/>
        <v>42735</v>
      </c>
      <c r="Y7" s="13">
        <f t="shared" si="2"/>
        <v>42825</v>
      </c>
      <c r="Z7" s="13">
        <f t="shared" si="2"/>
        <v>42916</v>
      </c>
      <c r="AA7" s="13">
        <f t="shared" si="2"/>
        <v>43008</v>
      </c>
      <c r="AB7" s="13">
        <f t="shared" si="2"/>
        <v>43100</v>
      </c>
      <c r="AC7" s="13">
        <f t="shared" si="2"/>
        <v>43190</v>
      </c>
      <c r="AD7" s="13">
        <f t="shared" si="2"/>
        <v>43281</v>
      </c>
      <c r="AE7" s="13">
        <f t="shared" si="2"/>
        <v>43373</v>
      </c>
      <c r="AF7" s="13">
        <f t="shared" si="2"/>
        <v>43465</v>
      </c>
      <c r="AG7" s="13">
        <f t="shared" si="2"/>
        <v>43555</v>
      </c>
      <c r="AH7" s="13">
        <f t="shared" si="2"/>
        <v>43646</v>
      </c>
      <c r="AI7" s="13">
        <f t="shared" si="2"/>
        <v>43738</v>
      </c>
      <c r="AJ7" s="13">
        <f t="shared" si="2"/>
        <v>43830</v>
      </c>
      <c r="AK7" s="13">
        <f t="shared" si="2"/>
        <v>43921</v>
      </c>
      <c r="AL7" s="13">
        <f t="shared" si="2"/>
        <v>44012</v>
      </c>
      <c r="AM7" s="13">
        <f t="shared" si="2"/>
        <v>44104</v>
      </c>
      <c r="AN7" s="13">
        <f t="shared" si="2"/>
        <v>44196</v>
      </c>
      <c r="AO7" s="13">
        <f t="shared" si="2"/>
        <v>44286</v>
      </c>
      <c r="AP7" s="13">
        <f t="shared" si="2"/>
        <v>44377</v>
      </c>
      <c r="AQ7" s="13">
        <f t="shared" si="2"/>
        <v>44469</v>
      </c>
      <c r="AR7" s="13">
        <f t="shared" si="2"/>
        <v>44561</v>
      </c>
      <c r="AS7" s="13">
        <f t="shared" si="2"/>
        <v>44651</v>
      </c>
      <c r="AT7" s="13">
        <f t="shared" si="2"/>
        <v>44742</v>
      </c>
      <c r="AU7" s="13">
        <f t="shared" si="2"/>
        <v>44834</v>
      </c>
      <c r="AV7" s="13">
        <f t="shared" si="2"/>
        <v>44926</v>
      </c>
      <c r="AW7" s="13">
        <f t="shared" si="2"/>
        <v>45016</v>
      </c>
      <c r="AX7" s="13">
        <f t="shared" si="2"/>
        <v>45107</v>
      </c>
      <c r="AY7" s="13">
        <f t="shared" si="2"/>
        <v>45199</v>
      </c>
      <c r="AZ7" s="13">
        <f t="shared" si="2"/>
        <v>45291</v>
      </c>
      <c r="BA7" s="13">
        <f t="shared" si="2"/>
        <v>45382</v>
      </c>
      <c r="BB7" s="13">
        <f t="shared" si="2"/>
        <v>45473</v>
      </c>
      <c r="BC7" s="13">
        <f t="shared" si="2"/>
        <v>45565</v>
      </c>
      <c r="BD7" s="13">
        <f t="shared" si="2"/>
        <v>45657</v>
      </c>
      <c r="BE7" s="13">
        <f t="shared" si="2"/>
        <v>45747</v>
      </c>
      <c r="BF7" s="13">
        <f t="shared" si="2"/>
        <v>45838</v>
      </c>
      <c r="BG7" s="13">
        <f t="shared" si="2"/>
        <v>45930</v>
      </c>
      <c r="BH7" s="13">
        <f t="shared" si="2"/>
        <v>46022</v>
      </c>
      <c r="BI7" s="13">
        <f t="shared" si="2"/>
        <v>46112</v>
      </c>
      <c r="BJ7" s="13">
        <f t="shared" si="2"/>
        <v>46203</v>
      </c>
      <c r="BK7" s="13">
        <f t="shared" si="2"/>
        <v>46295</v>
      </c>
      <c r="BL7" s="13">
        <f t="shared" si="2"/>
        <v>46387</v>
      </c>
      <c r="BM7" s="13">
        <f t="shared" si="2"/>
        <v>46477</v>
      </c>
      <c r="BN7" s="13">
        <f t="shared" si="2"/>
        <v>46568</v>
      </c>
      <c r="BO7" s="13">
        <f t="shared" si="2"/>
        <v>46660</v>
      </c>
      <c r="BP7" s="13">
        <f t="shared" si="2"/>
        <v>46752</v>
      </c>
      <c r="BQ7" s="13">
        <f t="shared" si="2"/>
        <v>46843</v>
      </c>
      <c r="BR7" s="13">
        <f t="shared" si="2"/>
        <v>46934</v>
      </c>
      <c r="BS7" s="13">
        <f t="shared" si="2"/>
        <v>47026</v>
      </c>
      <c r="BT7" s="13">
        <f t="shared" si="2"/>
        <v>47118</v>
      </c>
      <c r="BU7" s="13">
        <f t="shared" si="2"/>
        <v>47208</v>
      </c>
      <c r="BV7" s="13">
        <f t="shared" si="2"/>
        <v>47299</v>
      </c>
      <c r="BW7" s="13">
        <f t="shared" si="2"/>
        <v>47391</v>
      </c>
      <c r="BX7" s="13">
        <f t="shared" si="2"/>
        <v>47483</v>
      </c>
      <c r="BY7" s="13">
        <f t="shared" si="2"/>
        <v>47573</v>
      </c>
      <c r="BZ7" s="13">
        <f t="shared" ref="BZ7:CN7" si="3">EOMONTH(BY7,3)</f>
        <v>47664</v>
      </c>
      <c r="CA7" s="13">
        <f t="shared" si="3"/>
        <v>47756</v>
      </c>
      <c r="CB7" s="13">
        <f t="shared" si="3"/>
        <v>47848</v>
      </c>
      <c r="CC7" s="13">
        <f t="shared" si="3"/>
        <v>47938</v>
      </c>
      <c r="CD7" s="13">
        <f t="shared" si="3"/>
        <v>48029</v>
      </c>
      <c r="CE7" s="13">
        <f t="shared" si="3"/>
        <v>48121</v>
      </c>
      <c r="CF7" s="13">
        <f t="shared" si="3"/>
        <v>48213</v>
      </c>
      <c r="CG7" s="13">
        <f t="shared" si="3"/>
        <v>48304</v>
      </c>
      <c r="CH7" s="13">
        <f t="shared" si="3"/>
        <v>48395</v>
      </c>
      <c r="CI7" s="13">
        <f t="shared" si="3"/>
        <v>48487</v>
      </c>
      <c r="CJ7" s="13">
        <f t="shared" si="3"/>
        <v>48579</v>
      </c>
      <c r="CK7" s="13">
        <f t="shared" si="3"/>
        <v>48669</v>
      </c>
      <c r="CL7" s="13">
        <f t="shared" si="3"/>
        <v>48760</v>
      </c>
      <c r="CM7" s="13">
        <f t="shared" si="3"/>
        <v>48852</v>
      </c>
      <c r="CN7" s="13">
        <f t="shared" si="3"/>
        <v>48944</v>
      </c>
    </row>
    <row r="8" spans="1:92" x14ac:dyDescent="0.3">
      <c r="C8" s="8"/>
    </row>
    <row r="9" spans="1:92" ht="13.2" x14ac:dyDescent="0.25">
      <c r="A9" s="14">
        <f>MAX(A$3:A8)+0.01</f>
        <v>6.01</v>
      </c>
      <c r="B9" s="14"/>
      <c r="C9" s="14" t="s">
        <v>249</v>
      </c>
      <c r="D9" s="20"/>
      <c r="E9" s="14"/>
      <c r="F9" s="14"/>
      <c r="G9" s="14"/>
      <c r="H9" s="5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ht="12.75" customHeight="1" x14ac:dyDescent="0.3">
      <c r="D10" s="15"/>
      <c r="H10" s="16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92" ht="12.75" customHeight="1" x14ac:dyDescent="0.3">
      <c r="C11" s="17" t="s">
        <v>250</v>
      </c>
      <c r="D11" s="15"/>
      <c r="H11" s="16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92" ht="12.75" customHeight="1" x14ac:dyDescent="0.3">
      <c r="C12" s="17"/>
      <c r="D12" s="98" t="s">
        <v>226</v>
      </c>
      <c r="H12" s="16" t="s">
        <v>1</v>
      </c>
      <c r="L12" s="15">
        <f>-Accounts!L86</f>
        <v>0</v>
      </c>
      <c r="M12" s="15">
        <f ca="1">-Accounts!M86</f>
        <v>0</v>
      </c>
      <c r="N12" s="15">
        <f ca="1">-Accounts!N86</f>
        <v>0</v>
      </c>
      <c r="O12" s="15">
        <f ca="1">-Accounts!O86</f>
        <v>0</v>
      </c>
      <c r="P12" s="15">
        <f ca="1">-Accounts!P86</f>
        <v>0</v>
      </c>
      <c r="Q12" s="15">
        <f ca="1">-Accounts!Q86</f>
        <v>0</v>
      </c>
      <c r="R12" s="15">
        <f ca="1">-Accounts!R86</f>
        <v>0</v>
      </c>
      <c r="S12" s="15">
        <f ca="1">-Accounts!S86</f>
        <v>0</v>
      </c>
      <c r="T12" s="15">
        <f ca="1">-Accounts!T86</f>
        <v>0</v>
      </c>
      <c r="U12" s="15">
        <f ca="1">-Accounts!U86</f>
        <v>0</v>
      </c>
      <c r="V12" s="15">
        <f ca="1">-Accounts!V86</f>
        <v>0</v>
      </c>
      <c r="W12" s="15">
        <f ca="1">-Accounts!W86</f>
        <v>37994.016694684789</v>
      </c>
      <c r="X12" s="15">
        <f ca="1">-Accounts!X86</f>
        <v>29586.549730336672</v>
      </c>
      <c r="Y12" s="15">
        <f ca="1">-Accounts!Y86</f>
        <v>0</v>
      </c>
      <c r="Z12" s="15">
        <f ca="1">-Accounts!Z86</f>
        <v>0</v>
      </c>
      <c r="AA12" s="15">
        <f ca="1">-Accounts!AA86</f>
        <v>275085.45112435572</v>
      </c>
      <c r="AB12" s="15">
        <f ca="1">-Accounts!AB86</f>
        <v>263398.82224869984</v>
      </c>
      <c r="AC12" s="15">
        <f ca="1">-Accounts!AC86</f>
        <v>63841.124540677163</v>
      </c>
      <c r="AD12" s="15">
        <f ca="1">-Accounts!AD86</f>
        <v>166657.9216395781</v>
      </c>
      <c r="AE12" s="15">
        <f ca="1">-Accounts!AE86</f>
        <v>5395951.1409263769</v>
      </c>
      <c r="AF12" s="15">
        <f ca="1">-Accounts!AF86</f>
        <v>7042609.1453947313</v>
      </c>
      <c r="AG12" s="15">
        <f ca="1">-Accounts!AG86</f>
        <v>6769460.039929118</v>
      </c>
      <c r="AH12" s="15">
        <f ca="1">-Accounts!AH86</f>
        <v>6890055.5051010074</v>
      </c>
      <c r="AI12" s="15">
        <f ca="1">-Accounts!AI86</f>
        <v>7446428.3774000816</v>
      </c>
      <c r="AJ12" s="15">
        <f ca="1">-Accounts!AJ86</f>
        <v>7455888.7112132348</v>
      </c>
      <c r="AK12" s="15">
        <f ca="1">-Accounts!AK86</f>
        <v>7363514.7069426719</v>
      </c>
      <c r="AL12" s="15">
        <f ca="1">-Accounts!AL86</f>
        <v>7375094.1989208339</v>
      </c>
      <c r="AM12" s="15">
        <f ca="1">-Accounts!AM86</f>
        <v>7851678.2674026219</v>
      </c>
      <c r="AN12" s="15">
        <f ca="1">-Accounts!AN86</f>
        <v>7867527.2993785152</v>
      </c>
      <c r="AO12" s="15">
        <f ca="1">-Accounts!AO86</f>
        <v>7628225.7523225378</v>
      </c>
      <c r="AP12" s="15">
        <f ca="1">-Accounts!AP86</f>
        <v>7772129.5062007988</v>
      </c>
      <c r="AQ12" s="15">
        <f ca="1">-Accounts!AQ86</f>
        <v>8329059.2017490398</v>
      </c>
      <c r="AR12" s="15">
        <f ca="1">-Accounts!AR86</f>
        <v>8354204.0573608503</v>
      </c>
      <c r="AS12" s="15">
        <f ca="1">-Accounts!AS86</f>
        <v>8105576.8296271935</v>
      </c>
      <c r="AT12" s="15">
        <f ca="1">-Accounts!AT86</f>
        <v>8265063.889108384</v>
      </c>
      <c r="AU12" s="15">
        <f ca="1">-Accounts!AU86</f>
        <v>8815690.5163415782</v>
      </c>
      <c r="AV12" s="15">
        <f ca="1">-Accounts!AV86</f>
        <v>8850036.3831307404</v>
      </c>
      <c r="AW12" s="15">
        <f ca="1">-Accounts!AW86</f>
        <v>8599676.0264262054</v>
      </c>
      <c r="AX12" s="15">
        <f ca="1">-Accounts!AX86</f>
        <v>8774939.1444700249</v>
      </c>
      <c r="AY12" s="15">
        <f ca="1">-Accounts!AY86</f>
        <v>9409068.5321837086</v>
      </c>
      <c r="AZ12" s="15">
        <f ca="1">-Accounts!AZ86</f>
        <v>9456786.5736380145</v>
      </c>
      <c r="BA12" s="15">
        <f ca="1">-Accounts!BA86</f>
        <v>9357199.8488865048</v>
      </c>
      <c r="BB12" s="15">
        <f ca="1">-Accounts!BB86</f>
        <v>9408927.8761081882</v>
      </c>
      <c r="BC12" s="15">
        <f ca="1">-Accounts!BC86</f>
        <v>10102913.96025328</v>
      </c>
      <c r="BD12" s="15">
        <f ca="1">-Accounts!BD86</f>
        <v>10166477.174232978</v>
      </c>
      <c r="BE12" s="15">
        <f ca="1">-Accounts!BE86</f>
        <v>9920755.1074689738</v>
      </c>
      <c r="BF12" s="15">
        <f ca="1">-Accounts!BF86</f>
        <v>10142367.462956734</v>
      </c>
      <c r="BG12" s="15">
        <f ca="1">-Accounts!BG86</f>
        <v>10821006.861239552</v>
      </c>
      <c r="BH12" s="15">
        <f ca="1">-Accounts!BH86</f>
        <v>10900400.982478656</v>
      </c>
      <c r="BI12" s="15">
        <f ca="1">-Accounts!BI86</f>
        <v>10650814.859605711</v>
      </c>
      <c r="BJ12" s="15">
        <f ca="1">-Accounts!BJ86</f>
        <v>10897857.550264353</v>
      </c>
      <c r="BK12" s="15">
        <f ca="1">-Accounts!BK86</f>
        <v>11706052.171082821</v>
      </c>
      <c r="BL12" s="15">
        <f ca="1">-Accounts!BL86</f>
        <v>11807436.701124651</v>
      </c>
      <c r="BM12" s="15">
        <f ca="1">-Accounts!BM86</f>
        <v>11560374.443776287</v>
      </c>
      <c r="BN12" s="15">
        <f ca="1">-Accounts!BN86</f>
        <v>11841183.228229139</v>
      </c>
      <c r="BO12" s="15">
        <f ca="1">-Accounts!BO86</f>
        <v>12677226.953475293</v>
      </c>
      <c r="BP12" s="15">
        <f ca="1">-Accounts!BP86</f>
        <v>12802121.285885153</v>
      </c>
      <c r="BQ12" s="15">
        <f ca="1">-Accounts!BQ86</f>
        <v>12743457.005251378</v>
      </c>
      <c r="BR12" s="15">
        <f ca="1">-Accounts!BR86</f>
        <v>12876223.126260825</v>
      </c>
      <c r="BS12" s="15">
        <f ca="1">-Accounts!BS86</f>
        <v>13878475.673930611</v>
      </c>
      <c r="BT12" s="15">
        <f ca="1">-Accounts!BT86</f>
        <v>12975058.37909276</v>
      </c>
      <c r="BU12" s="15">
        <f ca="1">-Accounts!BU86</f>
        <v>12529601.224657895</v>
      </c>
      <c r="BV12" s="15">
        <f ca="1">-Accounts!BV86</f>
        <v>13137158.467497252</v>
      </c>
      <c r="BW12" s="15">
        <f ca="1">-Accounts!BW86</f>
        <v>14360049.761766039</v>
      </c>
      <c r="BX12" s="15">
        <f ca="1">-Accounts!BX86</f>
        <v>14370037.854316846</v>
      </c>
      <c r="BY12" s="15">
        <f ca="1">-Accounts!BY86</f>
        <v>14004055.553525837</v>
      </c>
      <c r="BZ12" s="15">
        <f ca="1">-Accounts!BZ86</f>
        <v>14601457.735345244</v>
      </c>
      <c r="CA12" s="15">
        <f ca="1">-Accounts!CA86</f>
        <v>15927609.059382938</v>
      </c>
      <c r="CB12" s="15">
        <f ca="1">-Accounts!CB86</f>
        <v>15975218.392679371</v>
      </c>
      <c r="CC12" s="15">
        <f ca="1">-Accounts!CC86</f>
        <v>15587219.058078155</v>
      </c>
      <c r="CD12" s="15">
        <f ca="1">-Accounts!CD86</f>
        <v>16282053.09724699</v>
      </c>
      <c r="CE12" s="15">
        <f ca="1">-Accounts!CE86</f>
        <v>17794845.229041256</v>
      </c>
      <c r="CF12" s="15">
        <f ca="1">-Accounts!CF86</f>
        <v>18865625.540976699</v>
      </c>
      <c r="CG12" s="15">
        <f ca="1">-Accounts!CG86</f>
        <v>18839212.422249097</v>
      </c>
      <c r="CH12" s="15">
        <f ca="1">-Accounts!CH86</f>
        <v>19184677.034486454</v>
      </c>
      <c r="CI12" s="15">
        <f ca="1">-Accounts!CI86</f>
        <v>20793039.29841473</v>
      </c>
      <c r="CJ12" s="15">
        <f ca="1">-Accounts!CJ86</f>
        <v>21131116.411878332</v>
      </c>
      <c r="CK12" s="15">
        <f ca="1">-Accounts!CK86</f>
        <v>20916371.692026071</v>
      </c>
      <c r="CL12" s="15">
        <f ca="1">-Accounts!CL86</f>
        <v>21555061.258100022</v>
      </c>
      <c r="CM12" s="15">
        <f ca="1">-Accounts!CM86</f>
        <v>23201454.189773314</v>
      </c>
      <c r="CN12" s="15">
        <f ca="1">-Accounts!CN86</f>
        <v>11734677.477756262</v>
      </c>
    </row>
    <row r="13" spans="1:92" ht="12.75" customHeight="1" x14ac:dyDescent="0.3">
      <c r="C13" s="17"/>
      <c r="D13" s="98" t="s">
        <v>251</v>
      </c>
      <c r="H13" s="16" t="s">
        <v>1</v>
      </c>
      <c r="L13" s="15">
        <f>(L$7=Ass!$I$14)*Accounts!L65</f>
        <v>0</v>
      </c>
      <c r="M13" s="15">
        <f ca="1">(M$7=Ass!$I$14)*Accounts!M65</f>
        <v>0</v>
      </c>
      <c r="N13" s="15">
        <f ca="1">(N$7=Ass!$I$14)*Accounts!N65</f>
        <v>0</v>
      </c>
      <c r="O13" s="15">
        <f ca="1">(O$7=Ass!$I$14)*Accounts!O65</f>
        <v>0</v>
      </c>
      <c r="P13" s="15">
        <f ca="1">(P$7=Ass!$I$14)*Accounts!P65</f>
        <v>0</v>
      </c>
      <c r="Q13" s="15">
        <f ca="1">(Q$7=Ass!$I$14)*Accounts!Q65</f>
        <v>0</v>
      </c>
      <c r="R13" s="15">
        <f ca="1">(R$7=Ass!$I$14)*Accounts!R65</f>
        <v>0</v>
      </c>
      <c r="S13" s="15">
        <f ca="1">(S$7=Ass!$I$14)*Accounts!S65</f>
        <v>0</v>
      </c>
      <c r="T13" s="15">
        <f ca="1">(T$7=Ass!$I$14)*Accounts!T65</f>
        <v>0</v>
      </c>
      <c r="U13" s="15">
        <f ca="1">(U$7=Ass!$I$14)*Accounts!U65</f>
        <v>0</v>
      </c>
      <c r="V13" s="15">
        <f ca="1">(V$7=Ass!$I$14)*Accounts!V65</f>
        <v>0</v>
      </c>
      <c r="W13" s="15">
        <f ca="1">(W$7=Ass!$I$14)*Accounts!W65</f>
        <v>0</v>
      </c>
      <c r="X13" s="15">
        <f ca="1">(X$7=Ass!$I$14)*Accounts!X65</f>
        <v>0</v>
      </c>
      <c r="Y13" s="15">
        <f ca="1">(Y$7=Ass!$I$14)*Accounts!Y65</f>
        <v>0</v>
      </c>
      <c r="Z13" s="15">
        <f ca="1">(Z$7=Ass!$I$14)*Accounts!Z65</f>
        <v>0</v>
      </c>
      <c r="AA13" s="15">
        <f ca="1">(AA$7=Ass!$I$14)*Accounts!AA65</f>
        <v>0</v>
      </c>
      <c r="AB13" s="15">
        <f ca="1">(AB$7=Ass!$I$14)*Accounts!AB65</f>
        <v>0</v>
      </c>
      <c r="AC13" s="15">
        <f ca="1">(AC$7=Ass!$I$14)*Accounts!AC65</f>
        <v>0</v>
      </c>
      <c r="AD13" s="15">
        <f ca="1">(AD$7=Ass!$I$14)*Accounts!AD65</f>
        <v>0</v>
      </c>
      <c r="AE13" s="15">
        <f ca="1">(AE$7=Ass!$I$14)*Accounts!AE65</f>
        <v>0</v>
      </c>
      <c r="AF13" s="15">
        <f ca="1">(AF$7=Ass!$I$14)*Accounts!AF65</f>
        <v>0</v>
      </c>
      <c r="AG13" s="15">
        <f ca="1">(AG$7=Ass!$I$14)*Accounts!AG65</f>
        <v>0</v>
      </c>
      <c r="AH13" s="15">
        <f ca="1">(AH$7=Ass!$I$14)*Accounts!AH65</f>
        <v>0</v>
      </c>
      <c r="AI13" s="15">
        <f ca="1">(AI$7=Ass!$I$14)*Accounts!AI65</f>
        <v>0</v>
      </c>
      <c r="AJ13" s="15">
        <f ca="1">(AJ$7=Ass!$I$14)*Accounts!AJ65</f>
        <v>0</v>
      </c>
      <c r="AK13" s="15">
        <f ca="1">(AK$7=Ass!$I$14)*Accounts!AK65</f>
        <v>0</v>
      </c>
      <c r="AL13" s="15">
        <f ca="1">(AL$7=Ass!$I$14)*Accounts!AL65</f>
        <v>0</v>
      </c>
      <c r="AM13" s="15">
        <f ca="1">(AM$7=Ass!$I$14)*Accounts!AM65</f>
        <v>0</v>
      </c>
      <c r="AN13" s="15">
        <f ca="1">(AN$7=Ass!$I$14)*Accounts!AN65</f>
        <v>0</v>
      </c>
      <c r="AO13" s="15">
        <f ca="1">(AO$7=Ass!$I$14)*Accounts!AO65</f>
        <v>0</v>
      </c>
      <c r="AP13" s="15">
        <f ca="1">(AP$7=Ass!$I$14)*Accounts!AP65</f>
        <v>0</v>
      </c>
      <c r="AQ13" s="15">
        <f ca="1">(AQ$7=Ass!$I$14)*Accounts!AQ65</f>
        <v>0</v>
      </c>
      <c r="AR13" s="15">
        <f ca="1">(AR$7=Ass!$I$14)*Accounts!AR65</f>
        <v>0</v>
      </c>
      <c r="AS13" s="15">
        <f ca="1">(AS$7=Ass!$I$14)*Accounts!AS65</f>
        <v>0</v>
      </c>
      <c r="AT13" s="15">
        <f ca="1">(AT$7=Ass!$I$14)*Accounts!AT65</f>
        <v>0</v>
      </c>
      <c r="AU13" s="15">
        <f ca="1">(AU$7=Ass!$I$14)*Accounts!AU65</f>
        <v>0</v>
      </c>
      <c r="AV13" s="15">
        <f ca="1">(AV$7=Ass!$I$14)*Accounts!AV65</f>
        <v>0</v>
      </c>
      <c r="AW13" s="15">
        <f ca="1">(AW$7=Ass!$I$14)*Accounts!AW65</f>
        <v>0</v>
      </c>
      <c r="AX13" s="15">
        <f ca="1">(AX$7=Ass!$I$14)*Accounts!AX65</f>
        <v>0</v>
      </c>
      <c r="AY13" s="15">
        <f ca="1">(AY$7=Ass!$I$14)*Accounts!AY65</f>
        <v>0</v>
      </c>
      <c r="AZ13" s="15">
        <f ca="1">(AZ$7=Ass!$I$14)*Accounts!AZ65</f>
        <v>0</v>
      </c>
      <c r="BA13" s="15">
        <f ca="1">(BA$7=Ass!$I$14)*Accounts!BA65</f>
        <v>0</v>
      </c>
      <c r="BB13" s="15">
        <f ca="1">(BB$7=Ass!$I$14)*Accounts!BB65</f>
        <v>0</v>
      </c>
      <c r="BC13" s="15">
        <f ca="1">(BC$7=Ass!$I$14)*Accounts!BC65</f>
        <v>0</v>
      </c>
      <c r="BD13" s="15">
        <f ca="1">(BD$7=Ass!$I$14)*Accounts!BD65</f>
        <v>0</v>
      </c>
      <c r="BE13" s="15">
        <f ca="1">(BE$7=Ass!$I$14)*Accounts!BE65</f>
        <v>0</v>
      </c>
      <c r="BF13" s="15">
        <f ca="1">(BF$7=Ass!$I$14)*Accounts!BF65</f>
        <v>0</v>
      </c>
      <c r="BG13" s="15">
        <f ca="1">(BG$7=Ass!$I$14)*Accounts!BG65</f>
        <v>0</v>
      </c>
      <c r="BH13" s="15">
        <f ca="1">(BH$7=Ass!$I$14)*Accounts!BH65</f>
        <v>0</v>
      </c>
      <c r="BI13" s="15">
        <f ca="1">(BI$7=Ass!$I$14)*Accounts!BI65</f>
        <v>0</v>
      </c>
      <c r="BJ13" s="15">
        <f ca="1">(BJ$7=Ass!$I$14)*Accounts!BJ65</f>
        <v>0</v>
      </c>
      <c r="BK13" s="15">
        <f ca="1">(BK$7=Ass!$I$14)*Accounts!BK65</f>
        <v>0</v>
      </c>
      <c r="BL13" s="15">
        <f ca="1">(BL$7=Ass!$I$14)*Accounts!BL65</f>
        <v>0</v>
      </c>
      <c r="BM13" s="15">
        <f ca="1">(BM$7=Ass!$I$14)*Accounts!BM65</f>
        <v>0</v>
      </c>
      <c r="BN13" s="15">
        <f ca="1">(BN$7=Ass!$I$14)*Accounts!BN65</f>
        <v>0</v>
      </c>
      <c r="BO13" s="15">
        <f ca="1">(BO$7=Ass!$I$14)*Accounts!BO65</f>
        <v>0</v>
      </c>
      <c r="BP13" s="15">
        <f ca="1">(BP$7=Ass!$I$14)*Accounts!BP65</f>
        <v>0</v>
      </c>
      <c r="BQ13" s="15">
        <f ca="1">(BQ$7=Ass!$I$14)*Accounts!BQ65</f>
        <v>0</v>
      </c>
      <c r="BR13" s="15">
        <f ca="1">(BR$7=Ass!$I$14)*Accounts!BR65</f>
        <v>0</v>
      </c>
      <c r="BS13" s="15">
        <f ca="1">(BS$7=Ass!$I$14)*Accounts!BS65</f>
        <v>0</v>
      </c>
      <c r="BT13" s="15">
        <f ca="1">(BT$7=Ass!$I$14)*Accounts!BT65</f>
        <v>0</v>
      </c>
      <c r="BU13" s="15">
        <f ca="1">(BU$7=Ass!$I$14)*Accounts!BU65</f>
        <v>0</v>
      </c>
      <c r="BV13" s="15">
        <f ca="1">(BV$7=Ass!$I$14)*Accounts!BV65</f>
        <v>0</v>
      </c>
      <c r="BW13" s="15">
        <f ca="1">(BW$7=Ass!$I$14)*Accounts!BW65</f>
        <v>0</v>
      </c>
      <c r="BX13" s="15">
        <f ca="1">(BX$7=Ass!$I$14)*Accounts!BX65</f>
        <v>0</v>
      </c>
      <c r="BY13" s="15">
        <f ca="1">(BY$7=Ass!$I$14)*Accounts!BY65</f>
        <v>0</v>
      </c>
      <c r="BZ13" s="15">
        <f ca="1">(BZ$7=Ass!$I$14)*Accounts!BZ65</f>
        <v>0</v>
      </c>
      <c r="CA13" s="15">
        <f ca="1">(CA$7=Ass!$I$14)*Accounts!CA65</f>
        <v>0</v>
      </c>
      <c r="CB13" s="15">
        <f ca="1">(CB$7=Ass!$I$14)*Accounts!CB65</f>
        <v>0</v>
      </c>
      <c r="CC13" s="15">
        <f ca="1">(CC$7=Ass!$I$14)*Accounts!CC65</f>
        <v>0</v>
      </c>
      <c r="CD13" s="15">
        <f ca="1">(CD$7=Ass!$I$14)*Accounts!CD65</f>
        <v>0</v>
      </c>
      <c r="CE13" s="15">
        <f ca="1">(CE$7=Ass!$I$14)*Accounts!CE65</f>
        <v>0</v>
      </c>
      <c r="CF13" s="15">
        <f ca="1">(CF$7=Ass!$I$14)*Accounts!CF65</f>
        <v>0</v>
      </c>
      <c r="CG13" s="15">
        <f ca="1">(CG$7=Ass!$I$14)*Accounts!CG65</f>
        <v>0</v>
      </c>
      <c r="CH13" s="15">
        <f ca="1">(CH$7=Ass!$I$14)*Accounts!CH65</f>
        <v>0</v>
      </c>
      <c r="CI13" s="15">
        <f ca="1">(CI$7=Ass!$I$14)*Accounts!CI65</f>
        <v>0</v>
      </c>
      <c r="CJ13" s="15">
        <f ca="1">(CJ$7=Ass!$I$14)*Accounts!CJ65</f>
        <v>0</v>
      </c>
      <c r="CK13" s="15">
        <f ca="1">(CK$7=Ass!$I$14)*Accounts!CK65</f>
        <v>0</v>
      </c>
      <c r="CL13" s="15">
        <f ca="1">(CL$7=Ass!$I$14)*Accounts!CL65</f>
        <v>0</v>
      </c>
      <c r="CM13" s="15">
        <f ca="1">(CM$7=Ass!$I$14)*Accounts!CM65</f>
        <v>0</v>
      </c>
      <c r="CN13" s="15">
        <f ca="1">(CN$7=Ass!$I$14)*Accounts!CN65</f>
        <v>13405391.136098459</v>
      </c>
    </row>
    <row r="14" spans="1:92" ht="12.75" customHeight="1" x14ac:dyDescent="0.3">
      <c r="C14" s="17"/>
      <c r="D14" s="100" t="s">
        <v>256</v>
      </c>
      <c r="H14" s="16" t="s">
        <v>1</v>
      </c>
      <c r="L14" s="50">
        <f t="shared" ref="L14:AQ14" si="4">SUM(L12:L13)</f>
        <v>0</v>
      </c>
      <c r="M14" s="50">
        <f t="shared" ca="1" si="4"/>
        <v>0</v>
      </c>
      <c r="N14" s="50">
        <f t="shared" ca="1" si="4"/>
        <v>0</v>
      </c>
      <c r="O14" s="50">
        <f t="shared" ca="1" si="4"/>
        <v>0</v>
      </c>
      <c r="P14" s="50">
        <f t="shared" ca="1" si="4"/>
        <v>0</v>
      </c>
      <c r="Q14" s="50">
        <f t="shared" ca="1" si="4"/>
        <v>0</v>
      </c>
      <c r="R14" s="50">
        <f t="shared" ca="1" si="4"/>
        <v>0</v>
      </c>
      <c r="S14" s="50">
        <f t="shared" ca="1" si="4"/>
        <v>0</v>
      </c>
      <c r="T14" s="50">
        <f t="shared" ca="1" si="4"/>
        <v>0</v>
      </c>
      <c r="U14" s="50">
        <f t="shared" ca="1" si="4"/>
        <v>0</v>
      </c>
      <c r="V14" s="50">
        <f t="shared" ca="1" si="4"/>
        <v>0</v>
      </c>
      <c r="W14" s="50">
        <f t="shared" ca="1" si="4"/>
        <v>37994.016694684789</v>
      </c>
      <c r="X14" s="50">
        <f t="shared" ca="1" si="4"/>
        <v>29586.549730336672</v>
      </c>
      <c r="Y14" s="50">
        <f t="shared" ca="1" si="4"/>
        <v>0</v>
      </c>
      <c r="Z14" s="50">
        <f t="shared" ca="1" si="4"/>
        <v>0</v>
      </c>
      <c r="AA14" s="50">
        <f t="shared" ca="1" si="4"/>
        <v>275085.45112435572</v>
      </c>
      <c r="AB14" s="50">
        <f t="shared" ca="1" si="4"/>
        <v>263398.82224869984</v>
      </c>
      <c r="AC14" s="50">
        <f t="shared" ca="1" si="4"/>
        <v>63841.124540677163</v>
      </c>
      <c r="AD14" s="50">
        <f t="shared" ca="1" si="4"/>
        <v>166657.9216395781</v>
      </c>
      <c r="AE14" s="50">
        <f t="shared" ca="1" si="4"/>
        <v>5395951.1409263769</v>
      </c>
      <c r="AF14" s="50">
        <f t="shared" ca="1" si="4"/>
        <v>7042609.1453947313</v>
      </c>
      <c r="AG14" s="50">
        <f t="shared" ca="1" si="4"/>
        <v>6769460.039929118</v>
      </c>
      <c r="AH14" s="50">
        <f t="shared" ca="1" si="4"/>
        <v>6890055.5051010074</v>
      </c>
      <c r="AI14" s="50">
        <f t="shared" ca="1" si="4"/>
        <v>7446428.3774000816</v>
      </c>
      <c r="AJ14" s="50">
        <f t="shared" ca="1" si="4"/>
        <v>7455888.7112132348</v>
      </c>
      <c r="AK14" s="50">
        <f t="shared" ca="1" si="4"/>
        <v>7363514.7069426719</v>
      </c>
      <c r="AL14" s="50">
        <f t="shared" ca="1" si="4"/>
        <v>7375094.1989208339</v>
      </c>
      <c r="AM14" s="50">
        <f t="shared" ca="1" si="4"/>
        <v>7851678.2674026219</v>
      </c>
      <c r="AN14" s="50">
        <f t="shared" ca="1" si="4"/>
        <v>7867527.2993785152</v>
      </c>
      <c r="AO14" s="50">
        <f t="shared" ca="1" si="4"/>
        <v>7628225.7523225378</v>
      </c>
      <c r="AP14" s="50">
        <f t="shared" ca="1" si="4"/>
        <v>7772129.5062007988</v>
      </c>
      <c r="AQ14" s="50">
        <f t="shared" ca="1" si="4"/>
        <v>8329059.2017490398</v>
      </c>
      <c r="AR14" s="50">
        <f t="shared" ref="AR14:BW14" ca="1" si="5">SUM(AR12:AR13)</f>
        <v>8354204.0573608503</v>
      </c>
      <c r="AS14" s="50">
        <f t="shared" ca="1" si="5"/>
        <v>8105576.8296271935</v>
      </c>
      <c r="AT14" s="50">
        <f t="shared" ca="1" si="5"/>
        <v>8265063.889108384</v>
      </c>
      <c r="AU14" s="50">
        <f t="shared" ca="1" si="5"/>
        <v>8815690.5163415782</v>
      </c>
      <c r="AV14" s="50">
        <f t="shared" ca="1" si="5"/>
        <v>8850036.3831307404</v>
      </c>
      <c r="AW14" s="50">
        <f t="shared" ca="1" si="5"/>
        <v>8599676.0264262054</v>
      </c>
      <c r="AX14" s="50">
        <f t="shared" ca="1" si="5"/>
        <v>8774939.1444700249</v>
      </c>
      <c r="AY14" s="50">
        <f t="shared" ca="1" si="5"/>
        <v>9409068.5321837086</v>
      </c>
      <c r="AZ14" s="50">
        <f t="shared" ca="1" si="5"/>
        <v>9456786.5736380145</v>
      </c>
      <c r="BA14" s="50">
        <f t="shared" ca="1" si="5"/>
        <v>9357199.8488865048</v>
      </c>
      <c r="BB14" s="50">
        <f t="shared" ca="1" si="5"/>
        <v>9408927.8761081882</v>
      </c>
      <c r="BC14" s="50">
        <f t="shared" ca="1" si="5"/>
        <v>10102913.96025328</v>
      </c>
      <c r="BD14" s="50">
        <f t="shared" ca="1" si="5"/>
        <v>10166477.174232978</v>
      </c>
      <c r="BE14" s="50">
        <f t="shared" ca="1" si="5"/>
        <v>9920755.1074689738</v>
      </c>
      <c r="BF14" s="50">
        <f t="shared" ca="1" si="5"/>
        <v>10142367.462956734</v>
      </c>
      <c r="BG14" s="50">
        <f t="shared" ca="1" si="5"/>
        <v>10821006.861239552</v>
      </c>
      <c r="BH14" s="50">
        <f t="shared" ca="1" si="5"/>
        <v>10900400.982478656</v>
      </c>
      <c r="BI14" s="50">
        <f t="shared" ca="1" si="5"/>
        <v>10650814.859605711</v>
      </c>
      <c r="BJ14" s="50">
        <f t="shared" ca="1" si="5"/>
        <v>10897857.550264353</v>
      </c>
      <c r="BK14" s="50">
        <f t="shared" ca="1" si="5"/>
        <v>11706052.171082821</v>
      </c>
      <c r="BL14" s="50">
        <f t="shared" ca="1" si="5"/>
        <v>11807436.701124651</v>
      </c>
      <c r="BM14" s="50">
        <f t="shared" ca="1" si="5"/>
        <v>11560374.443776287</v>
      </c>
      <c r="BN14" s="50">
        <f t="shared" ca="1" si="5"/>
        <v>11841183.228229139</v>
      </c>
      <c r="BO14" s="50">
        <f t="shared" ca="1" si="5"/>
        <v>12677226.953475293</v>
      </c>
      <c r="BP14" s="50">
        <f t="shared" ca="1" si="5"/>
        <v>12802121.285885153</v>
      </c>
      <c r="BQ14" s="50">
        <f t="shared" ca="1" si="5"/>
        <v>12743457.005251378</v>
      </c>
      <c r="BR14" s="50">
        <f t="shared" ca="1" si="5"/>
        <v>12876223.126260825</v>
      </c>
      <c r="BS14" s="50">
        <f t="shared" ca="1" si="5"/>
        <v>13878475.673930611</v>
      </c>
      <c r="BT14" s="50">
        <f t="shared" ca="1" si="5"/>
        <v>12975058.37909276</v>
      </c>
      <c r="BU14" s="50">
        <f t="shared" ca="1" si="5"/>
        <v>12529601.224657895</v>
      </c>
      <c r="BV14" s="50">
        <f t="shared" ca="1" si="5"/>
        <v>13137158.467497252</v>
      </c>
      <c r="BW14" s="50">
        <f t="shared" ca="1" si="5"/>
        <v>14360049.761766039</v>
      </c>
      <c r="BX14" s="50">
        <f t="shared" ref="BX14:CN14" ca="1" si="6">SUM(BX12:BX13)</f>
        <v>14370037.854316846</v>
      </c>
      <c r="BY14" s="50">
        <f t="shared" ca="1" si="6"/>
        <v>14004055.553525837</v>
      </c>
      <c r="BZ14" s="50">
        <f t="shared" ca="1" si="6"/>
        <v>14601457.735345244</v>
      </c>
      <c r="CA14" s="50">
        <f t="shared" ca="1" si="6"/>
        <v>15927609.059382938</v>
      </c>
      <c r="CB14" s="50">
        <f t="shared" ca="1" si="6"/>
        <v>15975218.392679371</v>
      </c>
      <c r="CC14" s="50">
        <f t="shared" ca="1" si="6"/>
        <v>15587219.058078155</v>
      </c>
      <c r="CD14" s="50">
        <f t="shared" ca="1" si="6"/>
        <v>16282053.09724699</v>
      </c>
      <c r="CE14" s="50">
        <f t="shared" ca="1" si="6"/>
        <v>17794845.229041256</v>
      </c>
      <c r="CF14" s="50">
        <f t="shared" ca="1" si="6"/>
        <v>18865625.540976699</v>
      </c>
      <c r="CG14" s="50">
        <f t="shared" ca="1" si="6"/>
        <v>18839212.422249097</v>
      </c>
      <c r="CH14" s="50">
        <f t="shared" ca="1" si="6"/>
        <v>19184677.034486454</v>
      </c>
      <c r="CI14" s="50">
        <f t="shared" ca="1" si="6"/>
        <v>20793039.29841473</v>
      </c>
      <c r="CJ14" s="50">
        <f t="shared" ca="1" si="6"/>
        <v>21131116.411878332</v>
      </c>
      <c r="CK14" s="50">
        <f t="shared" ca="1" si="6"/>
        <v>20916371.692026071</v>
      </c>
      <c r="CL14" s="50">
        <f t="shared" ca="1" si="6"/>
        <v>21555061.258100022</v>
      </c>
      <c r="CM14" s="50">
        <f t="shared" ca="1" si="6"/>
        <v>23201454.189773314</v>
      </c>
      <c r="CN14" s="50">
        <f t="shared" ca="1" si="6"/>
        <v>25140068.613854721</v>
      </c>
    </row>
    <row r="15" spans="1:92" ht="12.75" customHeight="1" x14ac:dyDescent="0.3">
      <c r="C15" s="17"/>
      <c r="D15" s="15"/>
      <c r="H15" s="16"/>
    </row>
    <row r="16" spans="1:92" ht="12.75" customHeight="1" x14ac:dyDescent="0.3">
      <c r="C16" s="17"/>
      <c r="D16" s="98" t="s">
        <v>252</v>
      </c>
      <c r="H16" s="16"/>
      <c r="L16" s="109">
        <f ca="1">XNPV(Ass!$I$156,L14:CN14,L7:CN7)</f>
        <v>130845808.68077609</v>
      </c>
    </row>
    <row r="17" spans="1:92" ht="12.75" customHeight="1" x14ac:dyDescent="0.3">
      <c r="C17" s="17"/>
      <c r="D17" s="15"/>
      <c r="H17" s="16"/>
    </row>
    <row r="18" spans="1:92" ht="12.75" customHeight="1" x14ac:dyDescent="0.3">
      <c r="C18" s="17" t="s">
        <v>253</v>
      </c>
      <c r="D18" s="15"/>
      <c r="H18" s="16"/>
    </row>
    <row r="19" spans="1:92" ht="12.75" customHeight="1" x14ac:dyDescent="0.3">
      <c r="C19" s="17"/>
      <c r="D19" s="98" t="s">
        <v>254</v>
      </c>
      <c r="H19" s="16" t="s">
        <v>1</v>
      </c>
      <c r="L19" s="58">
        <f ca="1">-$L$16*(L$7=Ass!$I$12)</f>
        <v>-130845808.68077609</v>
      </c>
      <c r="M19" s="58">
        <f ca="1">-$L$16*(M$7=Ass!$I$12)</f>
        <v>0</v>
      </c>
      <c r="N19" s="58">
        <f ca="1">-$L$16*(N$7=Ass!$I$12)</f>
        <v>0</v>
      </c>
      <c r="O19" s="58">
        <f ca="1">-$L$16*(O$7=Ass!$I$12)</f>
        <v>0</v>
      </c>
      <c r="P19" s="58">
        <f ca="1">-$L$16*(P$7=Ass!$I$12)</f>
        <v>0</v>
      </c>
      <c r="Q19" s="58">
        <f ca="1">-$L$16*(Q$7=Ass!$I$12)</f>
        <v>0</v>
      </c>
      <c r="R19" s="58">
        <f ca="1">-$L$16*(R$7=Ass!$I$12)</f>
        <v>0</v>
      </c>
      <c r="S19" s="58">
        <f ca="1">-$L$16*(S$7=Ass!$I$12)</f>
        <v>0</v>
      </c>
      <c r="T19" s="58">
        <f ca="1">-$L$16*(T$7=Ass!$I$12)</f>
        <v>0</v>
      </c>
      <c r="U19" s="58">
        <f ca="1">-$L$16*(U$7=Ass!$I$12)</f>
        <v>0</v>
      </c>
      <c r="V19" s="58">
        <f ca="1">-$L$16*(V$7=Ass!$I$12)</f>
        <v>0</v>
      </c>
      <c r="W19" s="58">
        <f ca="1">-$L$16*(W$7=Ass!$I$12)</f>
        <v>0</v>
      </c>
      <c r="X19" s="58">
        <f ca="1">-$L$16*(X$7=Ass!$I$12)</f>
        <v>0</v>
      </c>
      <c r="Y19" s="58">
        <f ca="1">-$L$16*(Y$7=Ass!$I$12)</f>
        <v>0</v>
      </c>
      <c r="Z19" s="58">
        <f ca="1">-$L$16*(Z$7=Ass!$I$12)</f>
        <v>0</v>
      </c>
      <c r="AA19" s="58">
        <f ca="1">-$L$16*(AA$7=Ass!$I$12)</f>
        <v>0</v>
      </c>
      <c r="AB19" s="58">
        <f ca="1">-$L$16*(AB$7=Ass!$I$12)</f>
        <v>0</v>
      </c>
      <c r="AC19" s="58">
        <f ca="1">-$L$16*(AC$7=Ass!$I$12)</f>
        <v>0</v>
      </c>
      <c r="AD19" s="58">
        <f ca="1">-$L$16*(AD$7=Ass!$I$12)</f>
        <v>0</v>
      </c>
      <c r="AE19" s="58">
        <f ca="1">-$L$16*(AE$7=Ass!$I$12)</f>
        <v>0</v>
      </c>
      <c r="AF19" s="58">
        <f ca="1">-$L$16*(AF$7=Ass!$I$12)</f>
        <v>0</v>
      </c>
      <c r="AG19" s="58">
        <f ca="1">-$L$16*(AG$7=Ass!$I$12)</f>
        <v>0</v>
      </c>
      <c r="AH19" s="58">
        <f ca="1">-$L$16*(AH$7=Ass!$I$12)</f>
        <v>0</v>
      </c>
      <c r="AI19" s="58">
        <f ca="1">-$L$16*(AI$7=Ass!$I$12)</f>
        <v>0</v>
      </c>
      <c r="AJ19" s="58">
        <f ca="1">-$L$16*(AJ$7=Ass!$I$12)</f>
        <v>0</v>
      </c>
      <c r="AK19" s="58">
        <f ca="1">-$L$16*(AK$7=Ass!$I$12)</f>
        <v>0</v>
      </c>
      <c r="AL19" s="58">
        <f ca="1">-$L$16*(AL$7=Ass!$I$12)</f>
        <v>0</v>
      </c>
      <c r="AM19" s="58">
        <f ca="1">-$L$16*(AM$7=Ass!$I$12)</f>
        <v>0</v>
      </c>
      <c r="AN19" s="58">
        <f ca="1">-$L$16*(AN$7=Ass!$I$12)</f>
        <v>0</v>
      </c>
      <c r="AO19" s="58">
        <f ca="1">-$L$16*(AO$7=Ass!$I$12)</f>
        <v>0</v>
      </c>
      <c r="AP19" s="58">
        <f ca="1">-$L$16*(AP$7=Ass!$I$12)</f>
        <v>0</v>
      </c>
      <c r="AQ19" s="58">
        <f ca="1">-$L$16*(AQ$7=Ass!$I$12)</f>
        <v>0</v>
      </c>
      <c r="AR19" s="58">
        <f ca="1">-$L$16*(AR$7=Ass!$I$12)</f>
        <v>0</v>
      </c>
      <c r="AS19" s="58">
        <f ca="1">-$L$16*(AS$7=Ass!$I$12)</f>
        <v>0</v>
      </c>
      <c r="AT19" s="58">
        <f ca="1">-$L$16*(AT$7=Ass!$I$12)</f>
        <v>0</v>
      </c>
      <c r="AU19" s="58">
        <f ca="1">-$L$16*(AU$7=Ass!$I$12)</f>
        <v>0</v>
      </c>
      <c r="AV19" s="58">
        <f ca="1">-$L$16*(AV$7=Ass!$I$12)</f>
        <v>0</v>
      </c>
      <c r="AW19" s="58">
        <f ca="1">-$L$16*(AW$7=Ass!$I$12)</f>
        <v>0</v>
      </c>
      <c r="AX19" s="58">
        <f ca="1">-$L$16*(AX$7=Ass!$I$12)</f>
        <v>0</v>
      </c>
      <c r="AY19" s="58">
        <f ca="1">-$L$16*(AY$7=Ass!$I$12)</f>
        <v>0</v>
      </c>
      <c r="AZ19" s="58">
        <f ca="1">-$L$16*(AZ$7=Ass!$I$12)</f>
        <v>0</v>
      </c>
      <c r="BA19" s="58">
        <f ca="1">-$L$16*(BA$7=Ass!$I$12)</f>
        <v>0</v>
      </c>
      <c r="BB19" s="58">
        <f ca="1">-$L$16*(BB$7=Ass!$I$12)</f>
        <v>0</v>
      </c>
      <c r="BC19" s="58">
        <f ca="1">-$L$16*(BC$7=Ass!$I$12)</f>
        <v>0</v>
      </c>
      <c r="BD19" s="58">
        <f ca="1">-$L$16*(BD$7=Ass!$I$12)</f>
        <v>0</v>
      </c>
      <c r="BE19" s="58">
        <f ca="1">-$L$16*(BE$7=Ass!$I$12)</f>
        <v>0</v>
      </c>
      <c r="BF19" s="58">
        <f ca="1">-$L$16*(BF$7=Ass!$I$12)</f>
        <v>0</v>
      </c>
      <c r="BG19" s="58">
        <f ca="1">-$L$16*(BG$7=Ass!$I$12)</f>
        <v>0</v>
      </c>
      <c r="BH19" s="58">
        <f ca="1">-$L$16*(BH$7=Ass!$I$12)</f>
        <v>0</v>
      </c>
      <c r="BI19" s="58">
        <f ca="1">-$L$16*(BI$7=Ass!$I$12)</f>
        <v>0</v>
      </c>
      <c r="BJ19" s="58">
        <f ca="1">-$L$16*(BJ$7=Ass!$I$12)</f>
        <v>0</v>
      </c>
      <c r="BK19" s="58">
        <f ca="1">-$L$16*(BK$7=Ass!$I$12)</f>
        <v>0</v>
      </c>
      <c r="BL19" s="58">
        <f ca="1">-$L$16*(BL$7=Ass!$I$12)</f>
        <v>0</v>
      </c>
      <c r="BM19" s="58">
        <f ca="1">-$L$16*(BM$7=Ass!$I$12)</f>
        <v>0</v>
      </c>
      <c r="BN19" s="58">
        <f ca="1">-$L$16*(BN$7=Ass!$I$12)</f>
        <v>0</v>
      </c>
      <c r="BO19" s="58">
        <f ca="1">-$L$16*(BO$7=Ass!$I$12)</f>
        <v>0</v>
      </c>
      <c r="BP19" s="58">
        <f ca="1">-$L$16*(BP$7=Ass!$I$12)</f>
        <v>0</v>
      </c>
      <c r="BQ19" s="58">
        <f ca="1">-$L$16*(BQ$7=Ass!$I$12)</f>
        <v>0</v>
      </c>
      <c r="BR19" s="58">
        <f ca="1">-$L$16*(BR$7=Ass!$I$12)</f>
        <v>0</v>
      </c>
      <c r="BS19" s="58">
        <f ca="1">-$L$16*(BS$7=Ass!$I$12)</f>
        <v>0</v>
      </c>
      <c r="BT19" s="58">
        <f ca="1">-$L$16*(BT$7=Ass!$I$12)</f>
        <v>0</v>
      </c>
      <c r="BU19" s="58">
        <f ca="1">-$L$16*(BU$7=Ass!$I$12)</f>
        <v>0</v>
      </c>
      <c r="BV19" s="58">
        <f ca="1">-$L$16*(BV$7=Ass!$I$12)</f>
        <v>0</v>
      </c>
      <c r="BW19" s="58">
        <f ca="1">-$L$16*(BW$7=Ass!$I$12)</f>
        <v>0</v>
      </c>
      <c r="BX19" s="58">
        <f ca="1">-$L$16*(BX$7=Ass!$I$12)</f>
        <v>0</v>
      </c>
      <c r="BY19" s="58">
        <f ca="1">-$L$16*(BY$7=Ass!$I$12)</f>
        <v>0</v>
      </c>
      <c r="BZ19" s="58">
        <f ca="1">-$L$16*(BZ$7=Ass!$I$12)</f>
        <v>0</v>
      </c>
      <c r="CA19" s="58">
        <f ca="1">-$L$16*(CA$7=Ass!$I$12)</f>
        <v>0</v>
      </c>
      <c r="CB19" s="58">
        <f ca="1">-$L$16*(CB$7=Ass!$I$12)</f>
        <v>0</v>
      </c>
      <c r="CC19" s="58">
        <f ca="1">-$L$16*(CC$7=Ass!$I$12)</f>
        <v>0</v>
      </c>
      <c r="CD19" s="58">
        <f ca="1">-$L$16*(CD$7=Ass!$I$12)</f>
        <v>0</v>
      </c>
      <c r="CE19" s="58">
        <f ca="1">-$L$16*(CE$7=Ass!$I$12)</f>
        <v>0</v>
      </c>
      <c r="CF19" s="58">
        <f ca="1">-$L$16*(CF$7=Ass!$I$12)</f>
        <v>0</v>
      </c>
      <c r="CG19" s="58">
        <f ca="1">-$L$16*(CG$7=Ass!$I$12)</f>
        <v>0</v>
      </c>
      <c r="CH19" s="58">
        <f ca="1">-$L$16*(CH$7=Ass!$I$12)</f>
        <v>0</v>
      </c>
      <c r="CI19" s="58">
        <f ca="1">-$L$16*(CI$7=Ass!$I$12)</f>
        <v>0</v>
      </c>
      <c r="CJ19" s="58">
        <f ca="1">-$L$16*(CJ$7=Ass!$I$12)</f>
        <v>0</v>
      </c>
      <c r="CK19" s="58">
        <f ca="1">-$L$16*(CK$7=Ass!$I$12)</f>
        <v>0</v>
      </c>
      <c r="CL19" s="58">
        <f ca="1">-$L$16*(CL$7=Ass!$I$12)</f>
        <v>0</v>
      </c>
      <c r="CM19" s="58">
        <f ca="1">-$L$16*(CM$7=Ass!$I$12)</f>
        <v>0</v>
      </c>
      <c r="CN19" s="58">
        <f ca="1">-$L$16*(CN$7=Ass!$I$12)</f>
        <v>0</v>
      </c>
    </row>
    <row r="20" spans="1:92" ht="12.75" customHeight="1" x14ac:dyDescent="0.3">
      <c r="C20" s="17"/>
      <c r="D20" s="98" t="s">
        <v>226</v>
      </c>
      <c r="H20" s="16" t="s">
        <v>1</v>
      </c>
      <c r="L20" s="58">
        <f>L12</f>
        <v>0</v>
      </c>
      <c r="M20" s="58">
        <f t="shared" ref="M20:BX20" ca="1" si="7">M12</f>
        <v>0</v>
      </c>
      <c r="N20" s="58">
        <f t="shared" ca="1" si="7"/>
        <v>0</v>
      </c>
      <c r="O20" s="58">
        <f t="shared" ca="1" si="7"/>
        <v>0</v>
      </c>
      <c r="P20" s="58">
        <f t="shared" ca="1" si="7"/>
        <v>0</v>
      </c>
      <c r="Q20" s="58">
        <f t="shared" ca="1" si="7"/>
        <v>0</v>
      </c>
      <c r="R20" s="58">
        <f t="shared" ca="1" si="7"/>
        <v>0</v>
      </c>
      <c r="S20" s="58">
        <f t="shared" ca="1" si="7"/>
        <v>0</v>
      </c>
      <c r="T20" s="58">
        <f t="shared" ca="1" si="7"/>
        <v>0</v>
      </c>
      <c r="U20" s="58">
        <f t="shared" ca="1" si="7"/>
        <v>0</v>
      </c>
      <c r="V20" s="58">
        <f t="shared" ca="1" si="7"/>
        <v>0</v>
      </c>
      <c r="W20" s="58">
        <f t="shared" ca="1" si="7"/>
        <v>37994.016694684789</v>
      </c>
      <c r="X20" s="58">
        <f t="shared" ca="1" si="7"/>
        <v>29586.549730336672</v>
      </c>
      <c r="Y20" s="58">
        <f t="shared" ca="1" si="7"/>
        <v>0</v>
      </c>
      <c r="Z20" s="58">
        <f t="shared" ca="1" si="7"/>
        <v>0</v>
      </c>
      <c r="AA20" s="58">
        <f t="shared" ca="1" si="7"/>
        <v>275085.45112435572</v>
      </c>
      <c r="AB20" s="58">
        <f t="shared" ca="1" si="7"/>
        <v>263398.82224869984</v>
      </c>
      <c r="AC20" s="58">
        <f t="shared" ca="1" si="7"/>
        <v>63841.124540677163</v>
      </c>
      <c r="AD20" s="58">
        <f t="shared" ca="1" si="7"/>
        <v>166657.9216395781</v>
      </c>
      <c r="AE20" s="58">
        <f t="shared" ca="1" si="7"/>
        <v>5395951.1409263769</v>
      </c>
      <c r="AF20" s="58">
        <f t="shared" ca="1" si="7"/>
        <v>7042609.1453947313</v>
      </c>
      <c r="AG20" s="58">
        <f t="shared" ca="1" si="7"/>
        <v>6769460.039929118</v>
      </c>
      <c r="AH20" s="58">
        <f t="shared" ca="1" si="7"/>
        <v>6890055.5051010074</v>
      </c>
      <c r="AI20" s="58">
        <f t="shared" ca="1" si="7"/>
        <v>7446428.3774000816</v>
      </c>
      <c r="AJ20" s="58">
        <f t="shared" ca="1" si="7"/>
        <v>7455888.7112132348</v>
      </c>
      <c r="AK20" s="58">
        <f t="shared" ca="1" si="7"/>
        <v>7363514.7069426719</v>
      </c>
      <c r="AL20" s="58">
        <f t="shared" ca="1" si="7"/>
        <v>7375094.1989208339</v>
      </c>
      <c r="AM20" s="58">
        <f t="shared" ca="1" si="7"/>
        <v>7851678.2674026219</v>
      </c>
      <c r="AN20" s="58">
        <f t="shared" ca="1" si="7"/>
        <v>7867527.2993785152</v>
      </c>
      <c r="AO20" s="58">
        <f t="shared" ca="1" si="7"/>
        <v>7628225.7523225378</v>
      </c>
      <c r="AP20" s="58">
        <f t="shared" ca="1" si="7"/>
        <v>7772129.5062007988</v>
      </c>
      <c r="AQ20" s="58">
        <f t="shared" ca="1" si="7"/>
        <v>8329059.2017490398</v>
      </c>
      <c r="AR20" s="58">
        <f t="shared" ca="1" si="7"/>
        <v>8354204.0573608503</v>
      </c>
      <c r="AS20" s="58">
        <f t="shared" ca="1" si="7"/>
        <v>8105576.8296271935</v>
      </c>
      <c r="AT20" s="58">
        <f t="shared" ca="1" si="7"/>
        <v>8265063.889108384</v>
      </c>
      <c r="AU20" s="58">
        <f t="shared" ca="1" si="7"/>
        <v>8815690.5163415782</v>
      </c>
      <c r="AV20" s="58">
        <f t="shared" ca="1" si="7"/>
        <v>8850036.3831307404</v>
      </c>
      <c r="AW20" s="58">
        <f t="shared" ca="1" si="7"/>
        <v>8599676.0264262054</v>
      </c>
      <c r="AX20" s="58">
        <f t="shared" ca="1" si="7"/>
        <v>8774939.1444700249</v>
      </c>
      <c r="AY20" s="58">
        <f t="shared" ca="1" si="7"/>
        <v>9409068.5321837086</v>
      </c>
      <c r="AZ20" s="58">
        <f t="shared" ca="1" si="7"/>
        <v>9456786.5736380145</v>
      </c>
      <c r="BA20" s="58">
        <f t="shared" ca="1" si="7"/>
        <v>9357199.8488865048</v>
      </c>
      <c r="BB20" s="58">
        <f t="shared" ca="1" si="7"/>
        <v>9408927.8761081882</v>
      </c>
      <c r="BC20" s="58">
        <f t="shared" ca="1" si="7"/>
        <v>10102913.96025328</v>
      </c>
      <c r="BD20" s="58">
        <f t="shared" ca="1" si="7"/>
        <v>10166477.174232978</v>
      </c>
      <c r="BE20" s="58">
        <f t="shared" ca="1" si="7"/>
        <v>9920755.1074689738</v>
      </c>
      <c r="BF20" s="58">
        <f t="shared" ca="1" si="7"/>
        <v>10142367.462956734</v>
      </c>
      <c r="BG20" s="58">
        <f t="shared" ca="1" si="7"/>
        <v>10821006.861239552</v>
      </c>
      <c r="BH20" s="58">
        <f t="shared" ca="1" si="7"/>
        <v>10900400.982478656</v>
      </c>
      <c r="BI20" s="58">
        <f t="shared" ca="1" si="7"/>
        <v>10650814.859605711</v>
      </c>
      <c r="BJ20" s="58">
        <f t="shared" ca="1" si="7"/>
        <v>10897857.550264353</v>
      </c>
      <c r="BK20" s="58">
        <f t="shared" ca="1" si="7"/>
        <v>11706052.171082821</v>
      </c>
      <c r="BL20" s="58">
        <f t="shared" ca="1" si="7"/>
        <v>11807436.701124651</v>
      </c>
      <c r="BM20" s="58">
        <f t="shared" ca="1" si="7"/>
        <v>11560374.443776287</v>
      </c>
      <c r="BN20" s="58">
        <f t="shared" ca="1" si="7"/>
        <v>11841183.228229139</v>
      </c>
      <c r="BO20" s="58">
        <f t="shared" ca="1" si="7"/>
        <v>12677226.953475293</v>
      </c>
      <c r="BP20" s="58">
        <f t="shared" ca="1" si="7"/>
        <v>12802121.285885153</v>
      </c>
      <c r="BQ20" s="58">
        <f t="shared" ca="1" si="7"/>
        <v>12743457.005251378</v>
      </c>
      <c r="BR20" s="58">
        <f t="shared" ca="1" si="7"/>
        <v>12876223.126260825</v>
      </c>
      <c r="BS20" s="58">
        <f t="shared" ca="1" si="7"/>
        <v>13878475.673930611</v>
      </c>
      <c r="BT20" s="58">
        <f t="shared" ca="1" si="7"/>
        <v>12975058.37909276</v>
      </c>
      <c r="BU20" s="58">
        <f t="shared" ca="1" si="7"/>
        <v>12529601.224657895</v>
      </c>
      <c r="BV20" s="58">
        <f t="shared" ca="1" si="7"/>
        <v>13137158.467497252</v>
      </c>
      <c r="BW20" s="58">
        <f t="shared" ca="1" si="7"/>
        <v>14360049.761766039</v>
      </c>
      <c r="BX20" s="58">
        <f t="shared" ca="1" si="7"/>
        <v>14370037.854316846</v>
      </c>
      <c r="BY20" s="58">
        <f t="shared" ref="BY20:CN20" ca="1" si="8">BY12</f>
        <v>14004055.553525837</v>
      </c>
      <c r="BZ20" s="58">
        <f t="shared" ca="1" si="8"/>
        <v>14601457.735345244</v>
      </c>
      <c r="CA20" s="58">
        <f t="shared" ca="1" si="8"/>
        <v>15927609.059382938</v>
      </c>
      <c r="CB20" s="58">
        <f t="shared" ca="1" si="8"/>
        <v>15975218.392679371</v>
      </c>
      <c r="CC20" s="58">
        <f t="shared" ca="1" si="8"/>
        <v>15587219.058078155</v>
      </c>
      <c r="CD20" s="58">
        <f t="shared" ca="1" si="8"/>
        <v>16282053.09724699</v>
      </c>
      <c r="CE20" s="58">
        <f t="shared" ca="1" si="8"/>
        <v>17794845.229041256</v>
      </c>
      <c r="CF20" s="58">
        <f t="shared" ca="1" si="8"/>
        <v>18865625.540976699</v>
      </c>
      <c r="CG20" s="58">
        <f t="shared" ca="1" si="8"/>
        <v>18839212.422249097</v>
      </c>
      <c r="CH20" s="58">
        <f t="shared" ca="1" si="8"/>
        <v>19184677.034486454</v>
      </c>
      <c r="CI20" s="58">
        <f t="shared" ca="1" si="8"/>
        <v>20793039.29841473</v>
      </c>
      <c r="CJ20" s="58">
        <f t="shared" ca="1" si="8"/>
        <v>21131116.411878332</v>
      </c>
      <c r="CK20" s="58">
        <f t="shared" ca="1" si="8"/>
        <v>20916371.692026071</v>
      </c>
      <c r="CL20" s="58">
        <f t="shared" ca="1" si="8"/>
        <v>21555061.258100022</v>
      </c>
      <c r="CM20" s="58">
        <f t="shared" ca="1" si="8"/>
        <v>23201454.189773314</v>
      </c>
      <c r="CN20" s="58">
        <f t="shared" ca="1" si="8"/>
        <v>11734677.477756262</v>
      </c>
    </row>
    <row r="21" spans="1:92" ht="12.75" customHeight="1" x14ac:dyDescent="0.3">
      <c r="C21" s="17"/>
      <c r="D21" s="98" t="s">
        <v>251</v>
      </c>
      <c r="H21" s="16" t="s">
        <v>1</v>
      </c>
      <c r="L21" s="58">
        <f>L13</f>
        <v>0</v>
      </c>
      <c r="M21" s="58">
        <f t="shared" ref="M21:BX21" ca="1" si="9">M13</f>
        <v>0</v>
      </c>
      <c r="N21" s="58">
        <f t="shared" ca="1" si="9"/>
        <v>0</v>
      </c>
      <c r="O21" s="58">
        <f t="shared" ca="1" si="9"/>
        <v>0</v>
      </c>
      <c r="P21" s="58">
        <f t="shared" ca="1" si="9"/>
        <v>0</v>
      </c>
      <c r="Q21" s="58">
        <f t="shared" ca="1" si="9"/>
        <v>0</v>
      </c>
      <c r="R21" s="58">
        <f t="shared" ca="1" si="9"/>
        <v>0</v>
      </c>
      <c r="S21" s="58">
        <f t="shared" ca="1" si="9"/>
        <v>0</v>
      </c>
      <c r="T21" s="58">
        <f t="shared" ca="1" si="9"/>
        <v>0</v>
      </c>
      <c r="U21" s="58">
        <f t="shared" ca="1" si="9"/>
        <v>0</v>
      </c>
      <c r="V21" s="58">
        <f t="shared" ca="1" si="9"/>
        <v>0</v>
      </c>
      <c r="W21" s="58">
        <f t="shared" ca="1" si="9"/>
        <v>0</v>
      </c>
      <c r="X21" s="58">
        <f t="shared" ca="1" si="9"/>
        <v>0</v>
      </c>
      <c r="Y21" s="58">
        <f t="shared" ca="1" si="9"/>
        <v>0</v>
      </c>
      <c r="Z21" s="58">
        <f t="shared" ca="1" si="9"/>
        <v>0</v>
      </c>
      <c r="AA21" s="58">
        <f t="shared" ca="1" si="9"/>
        <v>0</v>
      </c>
      <c r="AB21" s="58">
        <f t="shared" ca="1" si="9"/>
        <v>0</v>
      </c>
      <c r="AC21" s="58">
        <f t="shared" ca="1" si="9"/>
        <v>0</v>
      </c>
      <c r="AD21" s="58">
        <f t="shared" ca="1" si="9"/>
        <v>0</v>
      </c>
      <c r="AE21" s="58">
        <f t="shared" ca="1" si="9"/>
        <v>0</v>
      </c>
      <c r="AF21" s="58">
        <f t="shared" ca="1" si="9"/>
        <v>0</v>
      </c>
      <c r="AG21" s="58">
        <f t="shared" ca="1" si="9"/>
        <v>0</v>
      </c>
      <c r="AH21" s="58">
        <f t="shared" ca="1" si="9"/>
        <v>0</v>
      </c>
      <c r="AI21" s="58">
        <f t="shared" ca="1" si="9"/>
        <v>0</v>
      </c>
      <c r="AJ21" s="58">
        <f t="shared" ca="1" si="9"/>
        <v>0</v>
      </c>
      <c r="AK21" s="58">
        <f t="shared" ca="1" si="9"/>
        <v>0</v>
      </c>
      <c r="AL21" s="58">
        <f t="shared" ca="1" si="9"/>
        <v>0</v>
      </c>
      <c r="AM21" s="58">
        <f t="shared" ca="1" si="9"/>
        <v>0</v>
      </c>
      <c r="AN21" s="58">
        <f t="shared" ca="1" si="9"/>
        <v>0</v>
      </c>
      <c r="AO21" s="58">
        <f t="shared" ca="1" si="9"/>
        <v>0</v>
      </c>
      <c r="AP21" s="58">
        <f t="shared" ca="1" si="9"/>
        <v>0</v>
      </c>
      <c r="AQ21" s="58">
        <f t="shared" ca="1" si="9"/>
        <v>0</v>
      </c>
      <c r="AR21" s="58">
        <f t="shared" ca="1" si="9"/>
        <v>0</v>
      </c>
      <c r="AS21" s="58">
        <f t="shared" ca="1" si="9"/>
        <v>0</v>
      </c>
      <c r="AT21" s="58">
        <f t="shared" ca="1" si="9"/>
        <v>0</v>
      </c>
      <c r="AU21" s="58">
        <f t="shared" ca="1" si="9"/>
        <v>0</v>
      </c>
      <c r="AV21" s="58">
        <f t="shared" ca="1" si="9"/>
        <v>0</v>
      </c>
      <c r="AW21" s="58">
        <f t="shared" ca="1" si="9"/>
        <v>0</v>
      </c>
      <c r="AX21" s="58">
        <f t="shared" ca="1" si="9"/>
        <v>0</v>
      </c>
      <c r="AY21" s="58">
        <f t="shared" ca="1" si="9"/>
        <v>0</v>
      </c>
      <c r="AZ21" s="58">
        <f t="shared" ca="1" si="9"/>
        <v>0</v>
      </c>
      <c r="BA21" s="58">
        <f t="shared" ca="1" si="9"/>
        <v>0</v>
      </c>
      <c r="BB21" s="58">
        <f t="shared" ca="1" si="9"/>
        <v>0</v>
      </c>
      <c r="BC21" s="58">
        <f t="shared" ca="1" si="9"/>
        <v>0</v>
      </c>
      <c r="BD21" s="58">
        <f t="shared" ca="1" si="9"/>
        <v>0</v>
      </c>
      <c r="BE21" s="58">
        <f t="shared" ca="1" si="9"/>
        <v>0</v>
      </c>
      <c r="BF21" s="58">
        <f t="shared" ca="1" si="9"/>
        <v>0</v>
      </c>
      <c r="BG21" s="58">
        <f t="shared" ca="1" si="9"/>
        <v>0</v>
      </c>
      <c r="BH21" s="58">
        <f t="shared" ca="1" si="9"/>
        <v>0</v>
      </c>
      <c r="BI21" s="58">
        <f t="shared" ca="1" si="9"/>
        <v>0</v>
      </c>
      <c r="BJ21" s="58">
        <f t="shared" ca="1" si="9"/>
        <v>0</v>
      </c>
      <c r="BK21" s="58">
        <f t="shared" ca="1" si="9"/>
        <v>0</v>
      </c>
      <c r="BL21" s="58">
        <f t="shared" ca="1" si="9"/>
        <v>0</v>
      </c>
      <c r="BM21" s="58">
        <f t="shared" ca="1" si="9"/>
        <v>0</v>
      </c>
      <c r="BN21" s="58">
        <f t="shared" ca="1" si="9"/>
        <v>0</v>
      </c>
      <c r="BO21" s="58">
        <f t="shared" ca="1" si="9"/>
        <v>0</v>
      </c>
      <c r="BP21" s="58">
        <f t="shared" ca="1" si="9"/>
        <v>0</v>
      </c>
      <c r="BQ21" s="58">
        <f t="shared" ca="1" si="9"/>
        <v>0</v>
      </c>
      <c r="BR21" s="58">
        <f t="shared" ca="1" si="9"/>
        <v>0</v>
      </c>
      <c r="BS21" s="58">
        <f t="shared" ca="1" si="9"/>
        <v>0</v>
      </c>
      <c r="BT21" s="58">
        <f t="shared" ca="1" si="9"/>
        <v>0</v>
      </c>
      <c r="BU21" s="58">
        <f t="shared" ca="1" si="9"/>
        <v>0</v>
      </c>
      <c r="BV21" s="58">
        <f t="shared" ca="1" si="9"/>
        <v>0</v>
      </c>
      <c r="BW21" s="58">
        <f t="shared" ca="1" si="9"/>
        <v>0</v>
      </c>
      <c r="BX21" s="58">
        <f t="shared" ca="1" si="9"/>
        <v>0</v>
      </c>
      <c r="BY21" s="58">
        <f t="shared" ref="BY21:CN21" ca="1" si="10">BY13</f>
        <v>0</v>
      </c>
      <c r="BZ21" s="58">
        <f t="shared" ca="1" si="10"/>
        <v>0</v>
      </c>
      <c r="CA21" s="58">
        <f t="shared" ca="1" si="10"/>
        <v>0</v>
      </c>
      <c r="CB21" s="58">
        <f t="shared" ca="1" si="10"/>
        <v>0</v>
      </c>
      <c r="CC21" s="58">
        <f t="shared" ca="1" si="10"/>
        <v>0</v>
      </c>
      <c r="CD21" s="58">
        <f t="shared" ca="1" si="10"/>
        <v>0</v>
      </c>
      <c r="CE21" s="58">
        <f t="shared" ca="1" si="10"/>
        <v>0</v>
      </c>
      <c r="CF21" s="58">
        <f t="shared" ca="1" si="10"/>
        <v>0</v>
      </c>
      <c r="CG21" s="58">
        <f t="shared" ca="1" si="10"/>
        <v>0</v>
      </c>
      <c r="CH21" s="58">
        <f t="shared" ca="1" si="10"/>
        <v>0</v>
      </c>
      <c r="CI21" s="58">
        <f t="shared" ca="1" si="10"/>
        <v>0</v>
      </c>
      <c r="CJ21" s="58">
        <f t="shared" ca="1" si="10"/>
        <v>0</v>
      </c>
      <c r="CK21" s="58">
        <f t="shared" ca="1" si="10"/>
        <v>0</v>
      </c>
      <c r="CL21" s="58">
        <f t="shared" ca="1" si="10"/>
        <v>0</v>
      </c>
      <c r="CM21" s="58">
        <f t="shared" ca="1" si="10"/>
        <v>0</v>
      </c>
      <c r="CN21" s="58">
        <f t="shared" ca="1" si="10"/>
        <v>13405391.136098459</v>
      </c>
    </row>
    <row r="22" spans="1:92" ht="12.75" customHeight="1" x14ac:dyDescent="0.3">
      <c r="C22" s="17"/>
      <c r="D22" s="100" t="s">
        <v>256</v>
      </c>
      <c r="H22" s="16" t="s">
        <v>1</v>
      </c>
      <c r="L22" s="59">
        <f ca="1">SUM(L19:L21)</f>
        <v>-130845808.68077609</v>
      </c>
      <c r="M22" s="59">
        <f t="shared" ref="M22:BX22" ca="1" si="11">SUM(M19:M21)</f>
        <v>0</v>
      </c>
      <c r="N22" s="59">
        <f t="shared" ca="1" si="11"/>
        <v>0</v>
      </c>
      <c r="O22" s="59">
        <f t="shared" ca="1" si="11"/>
        <v>0</v>
      </c>
      <c r="P22" s="59">
        <f t="shared" ca="1" si="11"/>
        <v>0</v>
      </c>
      <c r="Q22" s="59">
        <f t="shared" ca="1" si="11"/>
        <v>0</v>
      </c>
      <c r="R22" s="59">
        <f t="shared" ca="1" si="11"/>
        <v>0</v>
      </c>
      <c r="S22" s="59">
        <f t="shared" ca="1" si="11"/>
        <v>0</v>
      </c>
      <c r="T22" s="59">
        <f t="shared" ca="1" si="11"/>
        <v>0</v>
      </c>
      <c r="U22" s="59">
        <f t="shared" ca="1" si="11"/>
        <v>0</v>
      </c>
      <c r="V22" s="59">
        <f t="shared" ca="1" si="11"/>
        <v>0</v>
      </c>
      <c r="W22" s="59">
        <f t="shared" ca="1" si="11"/>
        <v>37994.016694684789</v>
      </c>
      <c r="X22" s="59">
        <f t="shared" ca="1" si="11"/>
        <v>29586.549730336672</v>
      </c>
      <c r="Y22" s="59">
        <f t="shared" ca="1" si="11"/>
        <v>0</v>
      </c>
      <c r="Z22" s="59">
        <f t="shared" ca="1" si="11"/>
        <v>0</v>
      </c>
      <c r="AA22" s="59">
        <f t="shared" ca="1" si="11"/>
        <v>275085.45112435572</v>
      </c>
      <c r="AB22" s="59">
        <f t="shared" ca="1" si="11"/>
        <v>263398.82224869984</v>
      </c>
      <c r="AC22" s="59">
        <f t="shared" ca="1" si="11"/>
        <v>63841.124540677163</v>
      </c>
      <c r="AD22" s="59">
        <f t="shared" ca="1" si="11"/>
        <v>166657.9216395781</v>
      </c>
      <c r="AE22" s="59">
        <f t="shared" ca="1" si="11"/>
        <v>5395951.1409263769</v>
      </c>
      <c r="AF22" s="59">
        <f t="shared" ca="1" si="11"/>
        <v>7042609.1453947313</v>
      </c>
      <c r="AG22" s="59">
        <f t="shared" ca="1" si="11"/>
        <v>6769460.039929118</v>
      </c>
      <c r="AH22" s="59">
        <f t="shared" ca="1" si="11"/>
        <v>6890055.5051010074</v>
      </c>
      <c r="AI22" s="59">
        <f t="shared" ca="1" si="11"/>
        <v>7446428.3774000816</v>
      </c>
      <c r="AJ22" s="59">
        <f t="shared" ca="1" si="11"/>
        <v>7455888.7112132348</v>
      </c>
      <c r="AK22" s="59">
        <f t="shared" ca="1" si="11"/>
        <v>7363514.7069426719</v>
      </c>
      <c r="AL22" s="59">
        <f t="shared" ca="1" si="11"/>
        <v>7375094.1989208339</v>
      </c>
      <c r="AM22" s="59">
        <f t="shared" ca="1" si="11"/>
        <v>7851678.2674026219</v>
      </c>
      <c r="AN22" s="59">
        <f t="shared" ca="1" si="11"/>
        <v>7867527.2993785152</v>
      </c>
      <c r="AO22" s="59">
        <f t="shared" ca="1" si="11"/>
        <v>7628225.7523225378</v>
      </c>
      <c r="AP22" s="59">
        <f t="shared" ca="1" si="11"/>
        <v>7772129.5062007988</v>
      </c>
      <c r="AQ22" s="59">
        <f t="shared" ca="1" si="11"/>
        <v>8329059.2017490398</v>
      </c>
      <c r="AR22" s="59">
        <f t="shared" ca="1" si="11"/>
        <v>8354204.0573608503</v>
      </c>
      <c r="AS22" s="59">
        <f t="shared" ca="1" si="11"/>
        <v>8105576.8296271935</v>
      </c>
      <c r="AT22" s="59">
        <f t="shared" ca="1" si="11"/>
        <v>8265063.889108384</v>
      </c>
      <c r="AU22" s="59">
        <f t="shared" ca="1" si="11"/>
        <v>8815690.5163415782</v>
      </c>
      <c r="AV22" s="59">
        <f t="shared" ca="1" si="11"/>
        <v>8850036.3831307404</v>
      </c>
      <c r="AW22" s="59">
        <f t="shared" ca="1" si="11"/>
        <v>8599676.0264262054</v>
      </c>
      <c r="AX22" s="59">
        <f t="shared" ca="1" si="11"/>
        <v>8774939.1444700249</v>
      </c>
      <c r="AY22" s="59">
        <f t="shared" ca="1" si="11"/>
        <v>9409068.5321837086</v>
      </c>
      <c r="AZ22" s="59">
        <f t="shared" ca="1" si="11"/>
        <v>9456786.5736380145</v>
      </c>
      <c r="BA22" s="59">
        <f t="shared" ca="1" si="11"/>
        <v>9357199.8488865048</v>
      </c>
      <c r="BB22" s="59">
        <f t="shared" ca="1" si="11"/>
        <v>9408927.8761081882</v>
      </c>
      <c r="BC22" s="59">
        <f t="shared" ca="1" si="11"/>
        <v>10102913.96025328</v>
      </c>
      <c r="BD22" s="59">
        <f t="shared" ca="1" si="11"/>
        <v>10166477.174232978</v>
      </c>
      <c r="BE22" s="59">
        <f t="shared" ca="1" si="11"/>
        <v>9920755.1074689738</v>
      </c>
      <c r="BF22" s="59">
        <f t="shared" ca="1" si="11"/>
        <v>10142367.462956734</v>
      </c>
      <c r="BG22" s="59">
        <f t="shared" ca="1" si="11"/>
        <v>10821006.861239552</v>
      </c>
      <c r="BH22" s="59">
        <f t="shared" ca="1" si="11"/>
        <v>10900400.982478656</v>
      </c>
      <c r="BI22" s="59">
        <f t="shared" ca="1" si="11"/>
        <v>10650814.859605711</v>
      </c>
      <c r="BJ22" s="59">
        <f t="shared" ca="1" si="11"/>
        <v>10897857.550264353</v>
      </c>
      <c r="BK22" s="59">
        <f t="shared" ca="1" si="11"/>
        <v>11706052.171082821</v>
      </c>
      <c r="BL22" s="59">
        <f t="shared" ca="1" si="11"/>
        <v>11807436.701124651</v>
      </c>
      <c r="BM22" s="59">
        <f t="shared" ca="1" si="11"/>
        <v>11560374.443776287</v>
      </c>
      <c r="BN22" s="59">
        <f t="shared" ca="1" si="11"/>
        <v>11841183.228229139</v>
      </c>
      <c r="BO22" s="59">
        <f t="shared" ca="1" si="11"/>
        <v>12677226.953475293</v>
      </c>
      <c r="BP22" s="59">
        <f t="shared" ca="1" si="11"/>
        <v>12802121.285885153</v>
      </c>
      <c r="BQ22" s="59">
        <f t="shared" ca="1" si="11"/>
        <v>12743457.005251378</v>
      </c>
      <c r="BR22" s="59">
        <f t="shared" ca="1" si="11"/>
        <v>12876223.126260825</v>
      </c>
      <c r="BS22" s="59">
        <f t="shared" ca="1" si="11"/>
        <v>13878475.673930611</v>
      </c>
      <c r="BT22" s="59">
        <f t="shared" ca="1" si="11"/>
        <v>12975058.37909276</v>
      </c>
      <c r="BU22" s="59">
        <f t="shared" ca="1" si="11"/>
        <v>12529601.224657895</v>
      </c>
      <c r="BV22" s="59">
        <f t="shared" ca="1" si="11"/>
        <v>13137158.467497252</v>
      </c>
      <c r="BW22" s="59">
        <f t="shared" ca="1" si="11"/>
        <v>14360049.761766039</v>
      </c>
      <c r="BX22" s="59">
        <f t="shared" ca="1" si="11"/>
        <v>14370037.854316846</v>
      </c>
      <c r="BY22" s="59">
        <f t="shared" ref="BY22:CN22" ca="1" si="12">SUM(BY19:BY21)</f>
        <v>14004055.553525837</v>
      </c>
      <c r="BZ22" s="59">
        <f t="shared" ca="1" si="12"/>
        <v>14601457.735345244</v>
      </c>
      <c r="CA22" s="59">
        <f t="shared" ca="1" si="12"/>
        <v>15927609.059382938</v>
      </c>
      <c r="CB22" s="59">
        <f t="shared" ca="1" si="12"/>
        <v>15975218.392679371</v>
      </c>
      <c r="CC22" s="59">
        <f t="shared" ca="1" si="12"/>
        <v>15587219.058078155</v>
      </c>
      <c r="CD22" s="59">
        <f t="shared" ca="1" si="12"/>
        <v>16282053.09724699</v>
      </c>
      <c r="CE22" s="59">
        <f t="shared" ca="1" si="12"/>
        <v>17794845.229041256</v>
      </c>
      <c r="CF22" s="59">
        <f t="shared" ca="1" si="12"/>
        <v>18865625.540976699</v>
      </c>
      <c r="CG22" s="59">
        <f t="shared" ca="1" si="12"/>
        <v>18839212.422249097</v>
      </c>
      <c r="CH22" s="59">
        <f t="shared" ca="1" si="12"/>
        <v>19184677.034486454</v>
      </c>
      <c r="CI22" s="59">
        <f t="shared" ca="1" si="12"/>
        <v>20793039.29841473</v>
      </c>
      <c r="CJ22" s="59">
        <f t="shared" ca="1" si="12"/>
        <v>21131116.411878332</v>
      </c>
      <c r="CK22" s="59">
        <f t="shared" ca="1" si="12"/>
        <v>20916371.692026071</v>
      </c>
      <c r="CL22" s="59">
        <f t="shared" ca="1" si="12"/>
        <v>21555061.258100022</v>
      </c>
      <c r="CM22" s="59">
        <f t="shared" ca="1" si="12"/>
        <v>23201454.189773314</v>
      </c>
      <c r="CN22" s="59">
        <f t="shared" ca="1" si="12"/>
        <v>25140068.613854721</v>
      </c>
    </row>
    <row r="23" spans="1:92" ht="12.75" customHeight="1" x14ac:dyDescent="0.3">
      <c r="C23" s="17"/>
      <c r="D23" s="15"/>
      <c r="H23" s="16"/>
    </row>
    <row r="24" spans="1:92" ht="12.75" customHeight="1" x14ac:dyDescent="0.3">
      <c r="C24" s="17"/>
      <c r="D24" s="98" t="s">
        <v>255</v>
      </c>
      <c r="H24" s="16" t="s">
        <v>16</v>
      </c>
      <c r="L24" s="111">
        <f ca="1">XIRR(L22:CN22,L7:CN7)</f>
        <v>0.14999999403953554</v>
      </c>
    </row>
    <row r="25" spans="1:92" ht="12.75" customHeight="1" x14ac:dyDescent="0.3">
      <c r="C25" s="17"/>
      <c r="D25" s="98" t="s">
        <v>218</v>
      </c>
      <c r="H25" s="16" t="s">
        <v>235</v>
      </c>
      <c r="L25" s="110">
        <f ca="1">ROUND((L24-Ass!I156),6)</f>
        <v>0</v>
      </c>
    </row>
    <row r="26" spans="1:92" ht="12.75" customHeight="1" x14ac:dyDescent="0.3">
      <c r="C26" s="17"/>
      <c r="D26" s="15"/>
      <c r="H26" s="16"/>
    </row>
    <row r="27" spans="1:92" ht="13.2" x14ac:dyDescent="0.25">
      <c r="A27" s="14"/>
      <c r="B27" s="14"/>
      <c r="C27" s="14" t="s">
        <v>101</v>
      </c>
      <c r="D27" s="20"/>
      <c r="E27" s="14"/>
      <c r="F27" s="14"/>
      <c r="G27" s="14"/>
      <c r="H27" s="5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</row>
    <row r="28" spans="1:92" ht="12.75" customHeight="1" x14ac:dyDescent="0.3">
      <c r="C28" s="17"/>
      <c r="D28" s="15"/>
      <c r="H28" s="16"/>
    </row>
    <row r="29" spans="1:92" ht="12.75" customHeight="1" x14ac:dyDescent="0.3">
      <c r="C29" s="17"/>
      <c r="D29" s="15"/>
      <c r="H29" s="16"/>
    </row>
    <row r="30" spans="1:92" ht="12.75" customHeight="1" x14ac:dyDescent="0.3">
      <c r="C30" s="17"/>
      <c r="D30" s="15"/>
      <c r="H30" s="16"/>
    </row>
    <row r="31" spans="1:92" ht="12.75" customHeight="1" x14ac:dyDescent="0.3">
      <c r="C31" s="17"/>
      <c r="D31" s="15"/>
      <c r="H31" s="16"/>
    </row>
    <row r="32" spans="1:92" ht="12.75" customHeight="1" x14ac:dyDescent="0.3">
      <c r="C32" s="17"/>
      <c r="D32" s="15"/>
      <c r="H32" s="16"/>
    </row>
    <row r="33" spans="3:8" ht="12.75" customHeight="1" x14ac:dyDescent="0.3">
      <c r="C33" s="17"/>
      <c r="D33" s="15"/>
      <c r="H33" s="16"/>
    </row>
    <row r="34" spans="3:8" ht="12.75" customHeight="1" x14ac:dyDescent="0.3">
      <c r="C34" s="17"/>
      <c r="D34" s="15"/>
      <c r="H34" s="16"/>
    </row>
    <row r="35" spans="3:8" ht="12.75" customHeight="1" x14ac:dyDescent="0.3">
      <c r="C35" s="17"/>
      <c r="D35" s="15"/>
      <c r="H35" s="16"/>
    </row>
    <row r="36" spans="3:8" x14ac:dyDescent="0.3">
      <c r="C36" s="17"/>
      <c r="D36" s="15"/>
      <c r="H36" s="16"/>
    </row>
    <row r="37" spans="3:8" x14ac:dyDescent="0.3">
      <c r="C37" s="17"/>
      <c r="D37" s="15"/>
      <c r="H37" s="16"/>
    </row>
    <row r="38" spans="3:8" x14ac:dyDescent="0.3">
      <c r="C38" s="17"/>
      <c r="D38" s="15"/>
      <c r="H38" s="16"/>
    </row>
    <row r="39" spans="3:8" x14ac:dyDescent="0.3">
      <c r="C39" s="17"/>
      <c r="D39" s="15"/>
      <c r="H39" s="16"/>
    </row>
    <row r="40" spans="3:8" x14ac:dyDescent="0.3">
      <c r="C40" s="17"/>
      <c r="D40" s="15"/>
      <c r="H40" s="16"/>
    </row>
    <row r="41" spans="3:8" x14ac:dyDescent="0.3">
      <c r="C41" s="17"/>
      <c r="D41" s="15"/>
      <c r="H41" s="16"/>
    </row>
    <row r="42" spans="3:8" x14ac:dyDescent="0.3">
      <c r="C42" s="17"/>
      <c r="D42" s="15"/>
      <c r="H42" s="16"/>
    </row>
    <row r="43" spans="3:8" x14ac:dyDescent="0.3">
      <c r="C43" s="17"/>
      <c r="D43" s="15"/>
      <c r="H43" s="16"/>
    </row>
    <row r="44" spans="3:8" x14ac:dyDescent="0.3">
      <c r="C44" s="17"/>
      <c r="D44" s="15"/>
      <c r="H44" s="16"/>
    </row>
    <row r="45" spans="3:8" x14ac:dyDescent="0.3">
      <c r="C45" s="17"/>
      <c r="D45" s="15"/>
      <c r="H45" s="16"/>
    </row>
    <row r="46" spans="3:8" x14ac:dyDescent="0.3">
      <c r="C46" s="17"/>
      <c r="D46" s="15"/>
      <c r="H46" s="16"/>
    </row>
    <row r="47" spans="3:8" x14ac:dyDescent="0.3">
      <c r="C47" s="17"/>
      <c r="D47" s="15"/>
      <c r="H47" s="16"/>
    </row>
    <row r="48" spans="3:8" x14ac:dyDescent="0.3">
      <c r="C48" s="17"/>
      <c r="D48" s="15"/>
      <c r="H48" s="16"/>
    </row>
    <row r="49" spans="3:8" x14ac:dyDescent="0.3">
      <c r="C49" s="17"/>
      <c r="D49" s="15"/>
      <c r="H49" s="16"/>
    </row>
    <row r="50" spans="3:8" x14ac:dyDescent="0.3">
      <c r="C50" s="17"/>
      <c r="D50" s="15"/>
      <c r="H50" s="16"/>
    </row>
    <row r="51" spans="3:8" x14ac:dyDescent="0.3">
      <c r="C51" s="17"/>
      <c r="D51" s="15"/>
      <c r="H51" s="16"/>
    </row>
    <row r="52" spans="3:8" x14ac:dyDescent="0.3">
      <c r="C52" s="17"/>
      <c r="D52" s="15"/>
      <c r="H52" s="16"/>
    </row>
    <row r="53" spans="3:8" x14ac:dyDescent="0.3">
      <c r="C53" s="17"/>
      <c r="D53" s="15"/>
      <c r="H53" s="16"/>
    </row>
    <row r="54" spans="3:8" x14ac:dyDescent="0.3">
      <c r="C54" s="17"/>
      <c r="D54" s="15"/>
      <c r="H54" s="16"/>
    </row>
    <row r="55" spans="3:8" x14ac:dyDescent="0.3">
      <c r="C55" s="17"/>
      <c r="D55" s="15"/>
      <c r="H55" s="16"/>
    </row>
    <row r="56" spans="3:8" x14ac:dyDescent="0.3">
      <c r="C56" s="17"/>
      <c r="D56" s="15"/>
      <c r="H56" s="16"/>
    </row>
    <row r="57" spans="3:8" x14ac:dyDescent="0.3">
      <c r="C57" s="17"/>
      <c r="D57" s="15"/>
      <c r="H57" s="16"/>
    </row>
    <row r="58" spans="3:8" x14ac:dyDescent="0.3">
      <c r="C58" s="17"/>
      <c r="D58" s="15"/>
      <c r="H58" s="16"/>
    </row>
    <row r="59" spans="3:8" x14ac:dyDescent="0.3">
      <c r="C59" s="17"/>
      <c r="D59" s="15"/>
      <c r="H59" s="16"/>
    </row>
    <row r="60" spans="3:8" x14ac:dyDescent="0.3">
      <c r="C60" s="17"/>
      <c r="D60" s="15"/>
      <c r="H60" s="16"/>
    </row>
    <row r="61" spans="3:8" x14ac:dyDescent="0.3">
      <c r="C61" s="17"/>
      <c r="D61" s="15"/>
      <c r="H61" s="16"/>
    </row>
    <row r="62" spans="3:8" x14ac:dyDescent="0.3">
      <c r="C62" s="17"/>
      <c r="D62" s="15"/>
      <c r="H62" s="16"/>
    </row>
    <row r="63" spans="3:8" x14ac:dyDescent="0.3">
      <c r="C63" s="17"/>
      <c r="D63" s="15"/>
      <c r="H63" s="16"/>
    </row>
    <row r="64" spans="3:8" x14ac:dyDescent="0.3">
      <c r="C64" s="17"/>
      <c r="D64" s="15"/>
      <c r="H64" s="16"/>
    </row>
    <row r="65" spans="3:8" x14ac:dyDescent="0.3">
      <c r="C65" s="17"/>
      <c r="D65" s="15"/>
      <c r="H65" s="16"/>
    </row>
    <row r="66" spans="3:8" x14ac:dyDescent="0.3">
      <c r="C66" s="17"/>
      <c r="D66" s="15"/>
      <c r="H66" s="16"/>
    </row>
    <row r="67" spans="3:8" x14ac:dyDescent="0.3">
      <c r="C67" s="17"/>
      <c r="D67" s="15"/>
      <c r="H67" s="16"/>
    </row>
    <row r="68" spans="3:8" x14ac:dyDescent="0.3">
      <c r="C68" s="17"/>
      <c r="D68" s="15"/>
      <c r="H68" s="16"/>
    </row>
    <row r="69" spans="3:8" x14ac:dyDescent="0.3">
      <c r="C69" s="17"/>
      <c r="D69" s="15"/>
      <c r="H69" s="16"/>
    </row>
    <row r="70" spans="3:8" x14ac:dyDescent="0.3">
      <c r="C70" s="17"/>
      <c r="D70" s="15"/>
      <c r="H70" s="16"/>
    </row>
    <row r="71" spans="3:8" x14ac:dyDescent="0.3">
      <c r="C71" s="17"/>
      <c r="D71" s="15"/>
      <c r="H71" s="16"/>
    </row>
    <row r="72" spans="3:8" x14ac:dyDescent="0.3">
      <c r="C72" s="17"/>
      <c r="D72" s="15"/>
      <c r="H72" s="16"/>
    </row>
    <row r="73" spans="3:8" x14ac:dyDescent="0.3">
      <c r="C73" s="17"/>
      <c r="D73" s="15"/>
      <c r="H73" s="16"/>
    </row>
    <row r="74" spans="3:8" x14ac:dyDescent="0.3">
      <c r="C74" s="17"/>
      <c r="D74" s="15"/>
      <c r="H74" s="16"/>
    </row>
    <row r="75" spans="3:8" x14ac:dyDescent="0.3">
      <c r="C75" s="17"/>
      <c r="D75" s="15"/>
      <c r="H75" s="16"/>
    </row>
    <row r="76" spans="3:8" x14ac:dyDescent="0.3">
      <c r="C76" s="17"/>
      <c r="D76" s="15"/>
      <c r="H76" s="16"/>
    </row>
    <row r="77" spans="3:8" x14ac:dyDescent="0.3">
      <c r="C77" s="17"/>
      <c r="D77" s="15"/>
      <c r="H77" s="16"/>
    </row>
    <row r="78" spans="3:8" x14ac:dyDescent="0.3">
      <c r="C78" s="17"/>
      <c r="D78" s="15"/>
      <c r="H78" s="16"/>
    </row>
    <row r="79" spans="3:8" x14ac:dyDescent="0.3">
      <c r="C79" s="17"/>
      <c r="D79" s="15"/>
      <c r="H79" s="16"/>
    </row>
    <row r="80" spans="3:8" x14ac:dyDescent="0.3">
      <c r="C80" s="17"/>
      <c r="D80" s="15"/>
      <c r="H80" s="16"/>
    </row>
    <row r="81" spans="3:8" x14ac:dyDescent="0.3">
      <c r="C81" s="17"/>
      <c r="D81" s="15"/>
      <c r="H81" s="16"/>
    </row>
    <row r="82" spans="3:8" x14ac:dyDescent="0.3">
      <c r="C82" s="17"/>
      <c r="D82" s="15"/>
      <c r="H82" s="16"/>
    </row>
    <row r="83" spans="3:8" x14ac:dyDescent="0.3">
      <c r="C83" s="17"/>
      <c r="D83" s="15"/>
      <c r="H83" s="16"/>
    </row>
    <row r="84" spans="3:8" x14ac:dyDescent="0.3">
      <c r="C84" s="17"/>
      <c r="D84" s="15"/>
      <c r="H84" s="16"/>
    </row>
    <row r="85" spans="3:8" x14ac:dyDescent="0.3">
      <c r="C85" s="17"/>
      <c r="D85" s="15"/>
      <c r="H85" s="16"/>
    </row>
    <row r="86" spans="3:8" x14ac:dyDescent="0.3">
      <c r="C86" s="17"/>
      <c r="D86" s="15"/>
      <c r="H86" s="16"/>
    </row>
    <row r="87" spans="3:8" x14ac:dyDescent="0.3">
      <c r="C87" s="17"/>
      <c r="D87" s="15"/>
      <c r="H87" s="16"/>
    </row>
    <row r="88" spans="3:8" x14ac:dyDescent="0.3">
      <c r="C88" s="17"/>
      <c r="D88" s="15"/>
      <c r="H88" s="16"/>
    </row>
    <row r="89" spans="3:8" x14ac:dyDescent="0.3">
      <c r="C89" s="17"/>
      <c r="D89" s="15"/>
      <c r="H89" s="16"/>
    </row>
    <row r="90" spans="3:8" x14ac:dyDescent="0.3">
      <c r="C90" s="17"/>
      <c r="D90" s="15"/>
      <c r="H90" s="16"/>
    </row>
    <row r="91" spans="3:8" x14ac:dyDescent="0.3">
      <c r="C91" s="17"/>
      <c r="D91" s="15"/>
      <c r="H91" s="16"/>
    </row>
    <row r="92" spans="3:8" x14ac:dyDescent="0.3">
      <c r="C92" s="17"/>
      <c r="D92" s="15"/>
      <c r="H92" s="16"/>
    </row>
    <row r="93" spans="3:8" x14ac:dyDescent="0.3">
      <c r="C93" s="17"/>
      <c r="D93" s="15"/>
      <c r="H93" s="16"/>
    </row>
    <row r="94" spans="3:8" x14ac:dyDescent="0.3">
      <c r="C94" s="17"/>
      <c r="D94" s="15"/>
      <c r="H94" s="16"/>
    </row>
    <row r="95" spans="3:8" x14ac:dyDescent="0.3">
      <c r="C95" s="17"/>
      <c r="D95" s="15"/>
      <c r="H95" s="16"/>
    </row>
    <row r="96" spans="3:8" x14ac:dyDescent="0.3">
      <c r="C96" s="17"/>
      <c r="D96" s="15"/>
      <c r="H96" s="16"/>
    </row>
    <row r="97" spans="3:8" x14ac:dyDescent="0.3">
      <c r="C97" s="17"/>
      <c r="D97" s="15"/>
      <c r="H97" s="16"/>
    </row>
    <row r="98" spans="3:8" x14ac:dyDescent="0.3">
      <c r="C98" s="17"/>
      <c r="D98" s="15"/>
      <c r="H98" s="16"/>
    </row>
    <row r="99" spans="3:8" x14ac:dyDescent="0.3">
      <c r="C99" s="17"/>
      <c r="D99" s="15"/>
      <c r="H99" s="16"/>
    </row>
    <row r="100" spans="3:8" x14ac:dyDescent="0.3">
      <c r="C100" s="17"/>
      <c r="D100" s="15"/>
      <c r="H100" s="16"/>
    </row>
    <row r="101" spans="3:8" x14ac:dyDescent="0.3">
      <c r="C101" s="17"/>
      <c r="D101" s="15"/>
      <c r="H101" s="16"/>
    </row>
    <row r="102" spans="3:8" x14ac:dyDescent="0.3">
      <c r="C102" s="17"/>
      <c r="D102" s="15"/>
      <c r="H102" s="16"/>
    </row>
    <row r="103" spans="3:8" x14ac:dyDescent="0.3">
      <c r="C103" s="17"/>
      <c r="D103" s="15"/>
      <c r="H103" s="16"/>
    </row>
    <row r="104" spans="3:8" x14ac:dyDescent="0.3">
      <c r="C104" s="17"/>
      <c r="D104" s="15"/>
      <c r="H104" s="16"/>
    </row>
    <row r="105" spans="3:8" x14ac:dyDescent="0.3">
      <c r="C105" s="17"/>
      <c r="D105" s="15"/>
      <c r="H105" s="16"/>
    </row>
    <row r="106" spans="3:8" x14ac:dyDescent="0.3">
      <c r="C106" s="17"/>
      <c r="D106" s="15"/>
      <c r="H106" s="16"/>
    </row>
    <row r="107" spans="3:8" x14ac:dyDescent="0.3">
      <c r="C107" s="17"/>
      <c r="D107" s="15"/>
      <c r="H107" s="16"/>
    </row>
    <row r="108" spans="3:8" x14ac:dyDescent="0.3">
      <c r="C108" s="17"/>
      <c r="D108" s="15"/>
      <c r="H108" s="16"/>
    </row>
    <row r="109" spans="3:8" x14ac:dyDescent="0.3">
      <c r="C109" s="17"/>
      <c r="D109" s="15"/>
      <c r="H109" s="16"/>
    </row>
    <row r="110" spans="3:8" x14ac:dyDescent="0.3">
      <c r="C110" s="17"/>
      <c r="H110" s="16"/>
    </row>
    <row r="111" spans="3:8" x14ac:dyDescent="0.3">
      <c r="C111" s="17"/>
      <c r="H111" s="16"/>
    </row>
    <row r="112" spans="3:8" x14ac:dyDescent="0.3">
      <c r="C112" s="17"/>
      <c r="H112" s="16"/>
    </row>
    <row r="113" spans="3:8" x14ac:dyDescent="0.3">
      <c r="C113" s="17"/>
      <c r="H113" s="16"/>
    </row>
    <row r="114" spans="3:8" x14ac:dyDescent="0.3">
      <c r="C114" s="17"/>
      <c r="H114" s="16"/>
    </row>
    <row r="115" spans="3:8" x14ac:dyDescent="0.3">
      <c r="C115" s="17"/>
      <c r="H115" s="16"/>
    </row>
    <row r="116" spans="3:8" x14ac:dyDescent="0.3">
      <c r="C116" s="17"/>
      <c r="H116" s="16"/>
    </row>
    <row r="117" spans="3:8" x14ac:dyDescent="0.3">
      <c r="C117" s="17"/>
    </row>
    <row r="118" spans="3:8" x14ac:dyDescent="0.3">
      <c r="C118" s="17"/>
    </row>
    <row r="119" spans="3:8" x14ac:dyDescent="0.3">
      <c r="C119" s="17"/>
    </row>
    <row r="120" spans="3:8" x14ac:dyDescent="0.3">
      <c r="C120" s="17"/>
    </row>
    <row r="121" spans="3:8" x14ac:dyDescent="0.3">
      <c r="C121" s="17"/>
    </row>
    <row r="122" spans="3:8" x14ac:dyDescent="0.3">
      <c r="C122" s="17"/>
    </row>
    <row r="123" spans="3:8" x14ac:dyDescent="0.3">
      <c r="C123" s="17"/>
    </row>
    <row r="124" spans="3:8" x14ac:dyDescent="0.3">
      <c r="C124" s="17"/>
    </row>
    <row r="125" spans="3:8" x14ac:dyDescent="0.3">
      <c r="C125" s="17"/>
    </row>
    <row r="126" spans="3:8" x14ac:dyDescent="0.3">
      <c r="C126" s="17"/>
    </row>
    <row r="127" spans="3:8" x14ac:dyDescent="0.3">
      <c r="C127" s="17"/>
    </row>
    <row r="128" spans="3:8" x14ac:dyDescent="0.3">
      <c r="C128" s="17"/>
    </row>
    <row r="129" spans="3:3" x14ac:dyDescent="0.3">
      <c r="C129" s="17"/>
    </row>
    <row r="130" spans="3:3" x14ac:dyDescent="0.3">
      <c r="C130" s="17"/>
    </row>
    <row r="131" spans="3:3" x14ac:dyDescent="0.3">
      <c r="C131" s="17"/>
    </row>
    <row r="132" spans="3:3" x14ac:dyDescent="0.3">
      <c r="C132" s="17"/>
    </row>
    <row r="133" spans="3:3" x14ac:dyDescent="0.3">
      <c r="C133" s="17"/>
    </row>
    <row r="134" spans="3:3" x14ac:dyDescent="0.3">
      <c r="C134" s="17"/>
    </row>
    <row r="135" spans="3:3" x14ac:dyDescent="0.3">
      <c r="C135" s="17"/>
    </row>
    <row r="136" spans="3:3" x14ac:dyDescent="0.3">
      <c r="C136" s="17"/>
    </row>
    <row r="137" spans="3:3" x14ac:dyDescent="0.3">
      <c r="C137" s="17"/>
    </row>
    <row r="138" spans="3:3" x14ac:dyDescent="0.3">
      <c r="C138" s="17"/>
    </row>
    <row r="139" spans="3:3" x14ac:dyDescent="0.3">
      <c r="C139" s="17"/>
    </row>
    <row r="140" spans="3:3" x14ac:dyDescent="0.3">
      <c r="C140" s="17"/>
    </row>
    <row r="141" spans="3:3" x14ac:dyDescent="0.3">
      <c r="C141" s="17"/>
    </row>
  </sheetData>
  <pageMargins left="0.7" right="0.7" top="0.75" bottom="0.75" header="0.3" footer="0.3"/>
  <pageSetup paperSize="9" orientation="portrait" verticalDpi="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"/>
  <sheetViews>
    <sheetView showGridLines="0" workbookViewId="0">
      <selection activeCell="H15" sqref="H15"/>
    </sheetView>
  </sheetViews>
  <sheetFormatPr defaultRowHeight="14.4" x14ac:dyDescent="0.3"/>
  <sheetData>
    <row r="2" spans="2:10" ht="45" customHeight="1" x14ac:dyDescent="0.3">
      <c r="B2" s="114"/>
      <c r="C2" s="115"/>
      <c r="D2" s="116"/>
      <c r="E2" s="120"/>
      <c r="F2" s="122"/>
      <c r="G2" s="121"/>
      <c r="H2" s="118"/>
      <c r="I2" s="117"/>
      <c r="J2" s="11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E916-F049-4E45-9331-8646839A4028}">
  <dimension ref="A1:P33"/>
  <sheetViews>
    <sheetView showGridLines="0" zoomScale="88" zoomScaleNormal="100" workbookViewId="0">
      <selection activeCell="H48" sqref="H48"/>
    </sheetView>
  </sheetViews>
  <sheetFormatPr defaultColWidth="0" defaultRowHeight="14.4" x14ac:dyDescent="0.3"/>
  <cols>
    <col min="1" max="1" width="26" customWidth="1"/>
    <col min="2" max="2" width="8.88671875" customWidth="1"/>
    <col min="3" max="3" width="10.88671875" bestFit="1" customWidth="1"/>
    <col min="4" max="8" width="8.88671875" customWidth="1"/>
    <col min="9" max="16" width="0.109375" customWidth="1"/>
    <col min="17" max="16384" width="8.88671875" hidden="1"/>
  </cols>
  <sheetData>
    <row r="1" spans="1:16" x14ac:dyDescent="0.3">
      <c r="A1" s="119"/>
      <c r="B1" s="119"/>
      <c r="C1" s="119"/>
      <c r="D1" s="119"/>
      <c r="E1" s="140" t="s">
        <v>274</v>
      </c>
      <c r="F1" s="140"/>
      <c r="G1" s="140"/>
      <c r="H1" s="140"/>
      <c r="J1" t="s">
        <v>284</v>
      </c>
      <c r="L1" cm="1">
        <f t="array" ref="L1:P1">C7:G7</f>
        <v>2014</v>
      </c>
      <c r="M1">
        <v>2015</v>
      </c>
      <c r="N1">
        <v>2016</v>
      </c>
      <c r="O1">
        <v>2017</v>
      </c>
      <c r="P1">
        <v>2018</v>
      </c>
    </row>
    <row r="2" spans="1:16" x14ac:dyDescent="0.3">
      <c r="A2" s="119"/>
      <c r="B2" s="119"/>
      <c r="C2" s="119"/>
      <c r="D2" s="119"/>
      <c r="E2" s="140"/>
      <c r="F2" s="140"/>
      <c r="G2" s="140"/>
      <c r="H2" s="140"/>
      <c r="J2" t="s">
        <v>184</v>
      </c>
      <c r="L2" s="137" cm="1">
        <f t="array" aca="1" ref="L2:P2" ca="1">ROUND(_xlfn.XLOOKUP(_xlfn.ANCHORARRAY(L1),YEAR(Debt!$M$7:$CN$7),Debt!$M$16:$CN$16,,,-1)/1000000,2)</f>
        <v>99.77</v>
      </c>
      <c r="M2" s="137">
        <f ca="1"/>
        <v>74.760000000000005</v>
      </c>
      <c r="N2" s="137">
        <f ca="1"/>
        <v>59</v>
      </c>
      <c r="O2" s="137">
        <f ca="1"/>
        <v>55</v>
      </c>
      <c r="P2" s="137">
        <f ca="1"/>
        <v>51</v>
      </c>
    </row>
    <row r="3" spans="1:16" x14ac:dyDescent="0.3">
      <c r="A3" s="119"/>
      <c r="B3" s="119"/>
      <c r="C3" s="119"/>
      <c r="D3" s="119"/>
      <c r="E3" s="140"/>
      <c r="F3" s="140"/>
      <c r="G3" s="140"/>
      <c r="H3" s="140"/>
      <c r="J3" t="s">
        <v>197</v>
      </c>
      <c r="L3" s="141" cm="1">
        <f t="array" aca="1" ref="L3:P3" ca="1">ROUND(_xlfn.XLOOKUP(_xlfn.ANCHORARRAY(L1),YEAR(Debt!$M$7:$CN$7),Debt!$M$21:$CN$21,,,-1)/1000000,2)</f>
        <v>1.39</v>
      </c>
      <c r="M3" s="141">
        <f ca="1"/>
        <v>1.1599999999999999</v>
      </c>
      <c r="N3" s="141">
        <f ca="1"/>
        <v>0.86</v>
      </c>
      <c r="O3" s="141">
        <f ca="1"/>
        <v>0.8</v>
      </c>
      <c r="P3" s="141">
        <f ca="1"/>
        <v>0.74</v>
      </c>
    </row>
    <row r="4" spans="1:16" ht="25.8" customHeight="1" x14ac:dyDescent="0.3">
      <c r="A4" s="119"/>
      <c r="B4" s="119"/>
      <c r="C4" s="119"/>
      <c r="D4" s="119"/>
      <c r="E4" s="140"/>
      <c r="F4" s="140"/>
      <c r="G4" s="140"/>
      <c r="H4" s="140"/>
    </row>
    <row r="5" spans="1:16" x14ac:dyDescent="0.3">
      <c r="J5" t="s">
        <v>56</v>
      </c>
      <c r="L5" cm="1">
        <f t="array" ref="L5:P5">_xlfn.ANCHORARRAY(L1)</f>
        <v>2014</v>
      </c>
      <c r="M5">
        <v>2015</v>
      </c>
      <c r="N5">
        <v>2016</v>
      </c>
      <c r="O5">
        <v>2017</v>
      </c>
      <c r="P5">
        <v>2018</v>
      </c>
    </row>
    <row r="6" spans="1:16" x14ac:dyDescent="0.3">
      <c r="J6" t="s">
        <v>31</v>
      </c>
      <c r="L6" s="137" cm="1">
        <f t="array" ref="L6">ROUND(INDEX(_xlfn.GROUPBY(_xlfn.TOCOL(YEAR(Accounts!$M$7:$CN$7)),_xlfn.TOCOL(Ops!$M51:$CN51),_xleta.SUM,,,,_xlfn.TOCOL(YEAR(Accounts!$M$7:$CN$7))=L$5),1,2)/1000000,2)</f>
        <v>1.65</v>
      </c>
      <c r="M6" s="137" cm="1">
        <f t="array" ref="M6">ROUND(INDEX(_xlfn.GROUPBY(_xlfn.TOCOL(YEAR(Accounts!$M$7:$CN$7)),_xlfn.TOCOL(Ops!$M51:$CN51),_xleta.SUM,,,,_xlfn.TOCOL(YEAR(Accounts!$M$7:$CN$7))=M$5),1,2)/1000000,2)</f>
        <v>2.21</v>
      </c>
      <c r="N6" s="137" cm="1">
        <f t="array" ref="N6">ROUND(INDEX(_xlfn.GROUPBY(_xlfn.TOCOL(YEAR(Accounts!$M$7:$CN$7)),_xlfn.TOCOL(Ops!$M51:$CN51),_xleta.SUM,,,,_xlfn.TOCOL(YEAR(Accounts!$M$7:$CN$7))=N$5),1,2)/1000000,2)</f>
        <v>2.8</v>
      </c>
      <c r="O6" s="137" cm="1">
        <f t="array" ref="O6">ROUND(INDEX(_xlfn.GROUPBY(_xlfn.TOCOL(YEAR(Accounts!$M$7:$CN$7)),_xlfn.TOCOL(Ops!$M51:$CN51),_xleta.SUM,,,,_xlfn.TOCOL(YEAR(Accounts!$M$7:$CN$7))=O$5),1,2)/1000000,2)</f>
        <v>3.53</v>
      </c>
      <c r="P6" s="137" cm="1">
        <f t="array" ref="P6">ROUND(INDEX(_xlfn.GROUPBY(_xlfn.TOCOL(YEAR(Accounts!$M$7:$CN$7)),_xlfn.TOCOL(Ops!$M51:$CN51),_xleta.SUM,,,,_xlfn.TOCOL(YEAR(Accounts!$M$7:$CN$7))=P$5),1,2)/1000000,2)</f>
        <v>4.46</v>
      </c>
    </row>
    <row r="7" spans="1:16" x14ac:dyDescent="0.3">
      <c r="A7" s="139" t="s">
        <v>275</v>
      </c>
      <c r="C7">
        <v>2014</v>
      </c>
      <c r="D7">
        <f>C7+1</f>
        <v>2015</v>
      </c>
      <c r="E7">
        <f>D7+1</f>
        <v>2016</v>
      </c>
      <c r="F7">
        <f>E7+1</f>
        <v>2017</v>
      </c>
      <c r="G7">
        <f>F7+1</f>
        <v>2018</v>
      </c>
      <c r="J7" t="s">
        <v>32</v>
      </c>
      <c r="L7" s="137" cm="1">
        <f t="array" ref="L7">ROUND(INDEX(_xlfn.GROUPBY(_xlfn.TOCOL(YEAR(Accounts!$M$7:$CN$7)),_xlfn.TOCOL(Ops!$M52:$CN52),_xleta.SUM,,,,_xlfn.TOCOL(YEAR(Accounts!$M$7:$CN$7))=L$5),1,2)/1000000,2)</f>
        <v>9.1</v>
      </c>
      <c r="M7" s="137" cm="1">
        <f t="array" ref="M7">ROUND(INDEX(_xlfn.GROUPBY(_xlfn.TOCOL(YEAR(Accounts!$M$7:$CN$7)),_xlfn.TOCOL(Ops!$M52:$CN52),_xleta.SUM,,,,_xlfn.TOCOL(YEAR(Accounts!$M$7:$CN$7))=M$5),1,2)/1000000,2)</f>
        <v>9</v>
      </c>
      <c r="N7" s="137" cm="1">
        <f t="array" ref="N7">ROUND(INDEX(_xlfn.GROUPBY(_xlfn.TOCOL(YEAR(Accounts!$M$7:$CN$7)),_xlfn.TOCOL(Ops!$M52:$CN52),_xleta.SUM,,,,_xlfn.TOCOL(YEAR(Accounts!$M$7:$CN$7))=N$5),1,2)/1000000,2)</f>
        <v>8.86</v>
      </c>
      <c r="O7" s="137" cm="1">
        <f t="array" ref="O7">ROUND(INDEX(_xlfn.GROUPBY(_xlfn.TOCOL(YEAR(Accounts!$M$7:$CN$7)),_xlfn.TOCOL(Ops!$M52:$CN52),_xleta.SUM,,,,_xlfn.TOCOL(YEAR(Accounts!$M$7:$CN$7))=O$5),1,2)/1000000,2)</f>
        <v>8.66</v>
      </c>
      <c r="P7" s="137" cm="1">
        <f t="array" ref="P7">ROUND(INDEX(_xlfn.GROUPBY(_xlfn.TOCOL(YEAR(Accounts!$M$7:$CN$7)),_xlfn.TOCOL(Ops!$M52:$CN52),_xleta.SUM,,,,_xlfn.TOCOL(YEAR(Accounts!$M$7:$CN$7))=P$5),1,2)/1000000,2)</f>
        <v>8.49</v>
      </c>
    </row>
    <row r="8" spans="1:16" x14ac:dyDescent="0.3">
      <c r="A8" t="s">
        <v>159</v>
      </c>
      <c r="B8" s="16" t="s">
        <v>276</v>
      </c>
      <c r="C8" s="138" cm="1">
        <f t="array" ref="C8">ROUND(INDEX(_xlfn.GROUPBY(_xlfn.TOCOL(YEAR(Accounts!$M$7:$CN$7)),_xlfn.TOCOL(Accounts!$M$15:$CN$15),_xleta.SUM,,,,_xlfn.TOCOL(YEAR(Accounts!$M$7:$CN$7))=C7),1,2)/1000000,2)</f>
        <v>59.58</v>
      </c>
      <c r="D8" s="138" cm="1">
        <f t="array" ref="D8">ROUND(INDEX(_xlfn.GROUPBY(_xlfn.TOCOL(YEAR(Accounts!$M$7:$CN$7)),_xlfn.TOCOL(Accounts!$M$15:$CN$15),_xleta.SUM,,,,_xlfn.TOCOL(YEAR(Accounts!$M$7:$CN$7))=D7),1,2)/1000000,2)</f>
        <v>62.63</v>
      </c>
      <c r="E8" s="138" cm="1">
        <f t="array" ref="E8">ROUND(INDEX(_xlfn.GROUPBY(_xlfn.TOCOL(YEAR(Accounts!$M$7:$CN$7)),_xlfn.TOCOL(Accounts!$M$15:$CN$15),_xleta.SUM,,,,_xlfn.TOCOL(YEAR(Accounts!$M$7:$CN$7))=E7),1,2)/1000000,2)</f>
        <v>65.64</v>
      </c>
      <c r="F8" s="138" cm="1">
        <f t="array" ref="F8">ROUND(INDEX(_xlfn.GROUPBY(_xlfn.TOCOL(YEAR(Accounts!$M$7:$CN$7)),_xlfn.TOCOL(Accounts!$M$15:$CN$15),_xleta.SUM,,,,_xlfn.TOCOL(YEAR(Accounts!$M$7:$CN$7))=F7),1,2)/1000000,2)</f>
        <v>68.56</v>
      </c>
      <c r="G8" s="138" cm="1">
        <f t="array" ref="G8">ROUND(INDEX(_xlfn.GROUPBY(_xlfn.TOCOL(YEAR(Accounts!$M$7:$CN$7)),_xlfn.TOCOL(Accounts!$M$15:$CN$15),_xleta.SUM,,,,_xlfn.TOCOL(YEAR(Accounts!$M$7:$CN$7))=G7),1,2)/1000000,2)</f>
        <v>72.180000000000007</v>
      </c>
      <c r="J8" t="s">
        <v>33</v>
      </c>
      <c r="L8" s="137" cm="1">
        <f t="array" ref="L8">ROUND(INDEX(_xlfn.GROUPBY(_xlfn.TOCOL(YEAR(Accounts!$M$7:$CN$7)),_xlfn.TOCOL(Ops!$M53:$CN53),_xleta.SUM,,,,_xlfn.TOCOL(YEAR(Accounts!$M$7:$CN$7))=L$5),1,2)/1000000,2)</f>
        <v>2.57</v>
      </c>
      <c r="M8" s="137" cm="1">
        <f t="array" ref="M8">ROUND(INDEX(_xlfn.GROUPBY(_xlfn.TOCOL(YEAR(Accounts!$M$7:$CN$7)),_xlfn.TOCOL(Ops!$M53:$CN53),_xleta.SUM,,,,_xlfn.TOCOL(YEAR(Accounts!$M$7:$CN$7))=M$5),1,2)/1000000,2)</f>
        <v>2.61</v>
      </c>
      <c r="N8" s="137" cm="1">
        <f t="array" ref="N8">ROUND(INDEX(_xlfn.GROUPBY(_xlfn.TOCOL(YEAR(Accounts!$M$7:$CN$7)),_xlfn.TOCOL(Ops!$M53:$CN53),_xleta.SUM,,,,_xlfn.TOCOL(YEAR(Accounts!$M$7:$CN$7))=N$5),1,2)/1000000,2)</f>
        <v>2.64</v>
      </c>
      <c r="O8" s="137" cm="1">
        <f t="array" ref="O8">ROUND(INDEX(_xlfn.GROUPBY(_xlfn.TOCOL(YEAR(Accounts!$M$7:$CN$7)),_xlfn.TOCOL(Ops!$M53:$CN53),_xleta.SUM,,,,_xlfn.TOCOL(YEAR(Accounts!$M$7:$CN$7))=O$5),1,2)/1000000,2)</f>
        <v>2.65</v>
      </c>
      <c r="P8" s="137" cm="1">
        <f t="array" ref="P8">ROUND(INDEX(_xlfn.GROUPBY(_xlfn.TOCOL(YEAR(Accounts!$M$7:$CN$7)),_xlfn.TOCOL(Ops!$M53:$CN53),_xleta.SUM,,,,_xlfn.TOCOL(YEAR(Accounts!$M$7:$CN$7))=P$5),1,2)/1000000,2)</f>
        <v>2.67</v>
      </c>
    </row>
    <row r="9" spans="1:16" x14ac:dyDescent="0.3">
      <c r="A9" t="s">
        <v>277</v>
      </c>
      <c r="B9" s="16" t="s">
        <v>276</v>
      </c>
      <c r="C9" s="138" cm="1">
        <f t="array" ref="C9">ROUND(INDEX(_xlfn.GROUPBY(_xlfn.TOCOL(YEAR(Accounts!$M$7:$CN$7)),_xlfn.TOCOL(Accounts!$M$20:$CN$20),_xleta.SUM,,,,_xlfn.TOCOL(YEAR(Accounts!$M$7:$CN$7))=C7),1,2)/1000000,2)</f>
        <v>-24</v>
      </c>
      <c r="D9" s="138" cm="1">
        <f t="array" ref="D9">ROUND(INDEX(_xlfn.GROUPBY(_xlfn.TOCOL(YEAR(Accounts!$M$7:$CN$7)),_xlfn.TOCOL(Accounts!$M$20:$CN$20),_xleta.SUM,,,,_xlfn.TOCOL(YEAR(Accounts!$M$7:$CN$7))=D7),1,2)/1000000,2)</f>
        <v>-25.11</v>
      </c>
      <c r="E9" s="138" cm="1">
        <f t="array" ref="E9">ROUND(INDEX(_xlfn.GROUPBY(_xlfn.TOCOL(YEAR(Accounts!$M$7:$CN$7)),_xlfn.TOCOL(Accounts!$M$20:$CN$20),_xleta.SUM,,,,_xlfn.TOCOL(YEAR(Accounts!$M$7:$CN$7))=E7),1,2)/1000000,2)</f>
        <v>-26.31</v>
      </c>
      <c r="F9" s="138" cm="1">
        <f t="array" ref="F9">ROUND(INDEX(_xlfn.GROUPBY(_xlfn.TOCOL(YEAR(Accounts!$M$7:$CN$7)),_xlfn.TOCOL(Accounts!$M$20:$CN$20),_xleta.SUM,,,,_xlfn.TOCOL(YEAR(Accounts!$M$7:$CN$7))=F7),1,2)/1000000,2)</f>
        <v>-27.61</v>
      </c>
      <c r="G9" s="138" cm="1">
        <f t="array" ref="G9">ROUND(INDEX(_xlfn.GROUPBY(_xlfn.TOCOL(YEAR(Accounts!$M$7:$CN$7)),_xlfn.TOCOL(Accounts!$M$20:$CN$20),_xleta.SUM,,,,_xlfn.TOCOL(YEAR(Accounts!$M$7:$CN$7))=G7),1,2)/1000000,2)</f>
        <v>-29.24</v>
      </c>
      <c r="J9" t="s">
        <v>34</v>
      </c>
      <c r="L9" s="137" cm="1">
        <f t="array" ref="L9">ROUND(INDEX(_xlfn.GROUPBY(_xlfn.TOCOL(YEAR(Accounts!$M$7:$CN$7)),_xlfn.TOCOL(Ops!$M54:$CN54),_xleta.SUM,,,,_xlfn.TOCOL(YEAR(Accounts!$M$7:$CN$7))=L$5),1,2)/1000000,2)</f>
        <v>1.87</v>
      </c>
      <c r="M9" s="137" cm="1">
        <f t="array" ref="M9">ROUND(INDEX(_xlfn.GROUPBY(_xlfn.TOCOL(YEAR(Accounts!$M$7:$CN$7)),_xlfn.TOCOL(Ops!$M54:$CN54),_xleta.SUM,,,,_xlfn.TOCOL(YEAR(Accounts!$M$7:$CN$7))=M$5),1,2)/1000000,2)</f>
        <v>1.98</v>
      </c>
      <c r="N9" s="137" cm="1">
        <f t="array" ref="N9">ROUND(INDEX(_xlfn.GROUPBY(_xlfn.TOCOL(YEAR(Accounts!$M$7:$CN$7)),_xlfn.TOCOL(Ops!$M54:$CN54),_xleta.SUM,,,,_xlfn.TOCOL(YEAR(Accounts!$M$7:$CN$7))=N$5),1,2)/1000000,2)</f>
        <v>2.0699999999999998</v>
      </c>
      <c r="O9" s="137" cm="1">
        <f t="array" ref="O9">ROUND(INDEX(_xlfn.GROUPBY(_xlfn.TOCOL(YEAR(Accounts!$M$7:$CN$7)),_xlfn.TOCOL(Ops!$M54:$CN54),_xleta.SUM,,,,_xlfn.TOCOL(YEAR(Accounts!$M$7:$CN$7))=O$5),1,2)/1000000,2)</f>
        <v>2.15</v>
      </c>
      <c r="P9" s="137" cm="1">
        <f t="array" ref="P9">ROUND(INDEX(_xlfn.GROUPBY(_xlfn.TOCOL(YEAR(Accounts!$M$7:$CN$7)),_xlfn.TOCOL(Ops!$M54:$CN54),_xleta.SUM,,,,_xlfn.TOCOL(YEAR(Accounts!$M$7:$CN$7))=P$5),1,2)/1000000,2)</f>
        <v>2.2400000000000002</v>
      </c>
    </row>
    <row r="10" spans="1:16" x14ac:dyDescent="0.3">
      <c r="A10" t="s">
        <v>207</v>
      </c>
      <c r="B10" s="16" t="s">
        <v>276</v>
      </c>
      <c r="C10" s="138" cm="1">
        <f t="array" ref="C10">ROUND(INDEX(_xlfn.GROUPBY(_xlfn.TOCOL(YEAR(Accounts!$M$7:$CN$7)),_xlfn.TOCOL(Accounts!$M$22:$CN$22),_xleta.SUM,,,,_xlfn.TOCOL(YEAR(Accounts!$M$7:$CN$7))=C7),1,2)/1000000,2)</f>
        <v>35.58</v>
      </c>
      <c r="D10" s="138" cm="1">
        <f t="array" ref="D10">ROUND(INDEX(_xlfn.GROUPBY(_xlfn.TOCOL(YEAR(Accounts!$M$7:$CN$7)),_xlfn.TOCOL(Accounts!$M$22:$CN$22),_xleta.SUM,,,,_xlfn.TOCOL(YEAR(Accounts!$M$7:$CN$7))=D7),1,2)/1000000,2)</f>
        <v>37.520000000000003</v>
      </c>
      <c r="E10" s="138" cm="1">
        <f t="array" ref="E10">ROUND(INDEX(_xlfn.GROUPBY(_xlfn.TOCOL(YEAR(Accounts!$M$7:$CN$7)),_xlfn.TOCOL(Accounts!$M$22:$CN$22),_xleta.SUM,,,,_xlfn.TOCOL(YEAR(Accounts!$M$7:$CN$7))=E7),1,2)/1000000,2)</f>
        <v>39.340000000000003</v>
      </c>
      <c r="F10" s="138" cm="1">
        <f t="array" ref="F10">ROUND(INDEX(_xlfn.GROUPBY(_xlfn.TOCOL(YEAR(Accounts!$M$7:$CN$7)),_xlfn.TOCOL(Accounts!$M$22:$CN$22),_xleta.SUM,,,,_xlfn.TOCOL(YEAR(Accounts!$M$7:$CN$7))=F7),1,2)/1000000,2)</f>
        <v>40.950000000000003</v>
      </c>
      <c r="G10" s="138" cm="1">
        <f t="array" ref="G10">ROUND(INDEX(_xlfn.GROUPBY(_xlfn.TOCOL(YEAR(Accounts!$M$7:$CN$7)),_xlfn.TOCOL(Accounts!$M$22:$CN$22),_xleta.SUM,,,,_xlfn.TOCOL(YEAR(Accounts!$M$7:$CN$7))=G7),1,2)/1000000,2)</f>
        <v>42.95</v>
      </c>
    </row>
    <row r="11" spans="1:16" x14ac:dyDescent="0.3">
      <c r="A11" t="s">
        <v>208</v>
      </c>
      <c r="B11" s="16" t="s">
        <v>276</v>
      </c>
      <c r="C11" s="138" cm="1">
        <f t="array" aca="1" ref="C11" ca="1">ROUND(INDEX(_xlfn.GROUPBY(_xlfn.TOCOL(YEAR(Accounts!$M$7:$CN$7)),_xlfn.TOCOL(Accounts!$M$27:$CN$27),_xleta.SUM,,,,_xlfn.TOCOL(YEAR(Accounts!$M$7:$CN$7))=C7),1,2)/1000000,2)</f>
        <v>-7.11</v>
      </c>
      <c r="D11" s="138" cm="1">
        <f t="array" aca="1" ref="D11" ca="1">ROUND(INDEX(_xlfn.GROUPBY(_xlfn.TOCOL(YEAR(Accounts!$M$7:$CN$7)),_xlfn.TOCOL(Accounts!$M$27:$CN$27),_xleta.SUM,,,,_xlfn.TOCOL(YEAR(Accounts!$M$7:$CN$7))=D7),1,2)/1000000,2)</f>
        <v>-4.57</v>
      </c>
      <c r="E11" s="138" cm="1">
        <f t="array" aca="1" ref="E11" ca="1">ROUND(INDEX(_xlfn.GROUPBY(_xlfn.TOCOL(YEAR(Accounts!$M$7:$CN$7)),_xlfn.TOCOL(Accounts!$M$27:$CN$27),_xleta.SUM,,,,_xlfn.TOCOL(YEAR(Accounts!$M$7:$CN$7))=E7),1,2)/1000000,2)</f>
        <v>2.72</v>
      </c>
      <c r="F11" s="138" cm="1">
        <f t="array" aca="1" ref="F11" ca="1">ROUND(INDEX(_xlfn.GROUPBY(_xlfn.TOCOL(YEAR(Accounts!$M$7:$CN$7)),_xlfn.TOCOL(Accounts!$M$27:$CN$27),_xleta.SUM,,,,_xlfn.TOCOL(YEAR(Accounts!$M$7:$CN$7))=F7),1,2)/1000000,2)</f>
        <v>3.56</v>
      </c>
      <c r="G11" s="138" cm="1">
        <f t="array" aca="1" ref="G11" ca="1">ROUND(INDEX(_xlfn.GROUPBY(_xlfn.TOCOL(YEAR(Accounts!$M$7:$CN$7)),_xlfn.TOCOL(Accounts!$M$27:$CN$27),_xleta.SUM,,,,_xlfn.TOCOL(YEAR(Accounts!$M$7:$CN$7))=G7),1,2)/1000000,2)</f>
        <v>19.72</v>
      </c>
    </row>
    <row r="12" spans="1:16" x14ac:dyDescent="0.3">
      <c r="A12" t="s">
        <v>211</v>
      </c>
      <c r="B12" s="16" t="s">
        <v>276</v>
      </c>
      <c r="C12" s="138" cm="1">
        <f t="array" aca="1" ref="C12" ca="1">ROUND(INDEX(_xlfn.GROUPBY(_xlfn.TOCOL(YEAR(Accounts!$M$7:$CN$7)),_xlfn.TOCOL(Accounts!$M$35:$CN$35),_xleta.SUM,,,,_xlfn.TOCOL(YEAR(Accounts!$M$7:$CN$7))=C7),1,2)/1000000,2)</f>
        <v>-9.8000000000000007</v>
      </c>
      <c r="D12" s="138" cm="1">
        <f t="array" aca="1" ref="D12" ca="1">ROUND(INDEX(_xlfn.GROUPBY(_xlfn.TOCOL(YEAR(Accounts!$M$7:$CN$7)),_xlfn.TOCOL(Accounts!$M$35:$CN$35),_xleta.SUM,,,,_xlfn.TOCOL(YEAR(Accounts!$M$7:$CN$7))=D7),1,2)/1000000,2)</f>
        <v>-7.29</v>
      </c>
      <c r="E12" s="138" cm="1">
        <f t="array" aca="1" ref="E12" ca="1">ROUND(INDEX(_xlfn.GROUPBY(_xlfn.TOCOL(YEAR(Accounts!$M$7:$CN$7)),_xlfn.TOCOL(Accounts!$M$35:$CN$35),_xleta.SUM,,,,_xlfn.TOCOL(YEAR(Accounts!$M$7:$CN$7))=E7),1,2)/1000000,2)</f>
        <v>-0.81</v>
      </c>
      <c r="F12" s="138" cm="1">
        <f t="array" aca="1" ref="F12" ca="1">ROUND(INDEX(_xlfn.GROUPBY(_xlfn.TOCOL(YEAR(Accounts!$M$7:$CN$7)),_xlfn.TOCOL(Accounts!$M$35:$CN$35),_xleta.SUM,,,,_xlfn.TOCOL(YEAR(Accounts!$M$7:$CN$7))=F7),1,2)/1000000,2)</f>
        <v>0.21</v>
      </c>
      <c r="G12" s="138" cm="1">
        <f t="array" aca="1" ref="G12" ca="1">ROUND(INDEX(_xlfn.GROUPBY(_xlfn.TOCOL(YEAR(Accounts!$M$7:$CN$7)),_xlfn.TOCOL(Accounts!$M$35:$CN$35),_xleta.SUM,,,,_xlfn.TOCOL(YEAR(Accounts!$M$7:$CN$7))=G7),1,2)/1000000,2)</f>
        <v>12.67</v>
      </c>
    </row>
    <row r="14" spans="1:16" x14ac:dyDescent="0.3">
      <c r="A14" t="s">
        <v>278</v>
      </c>
      <c r="B14" s="16" t="s">
        <v>276</v>
      </c>
      <c r="C14" s="138" cm="1">
        <f t="array" aca="1" ref="C14" ca="1">ROUND(_xlfn.XLOOKUP(C$7,YEAR(Accounts!$M$7:$CN$7),Accounts!$M$46:$CN$46,,,-1)/1000000,2)</f>
        <v>1.93</v>
      </c>
      <c r="D14" s="138" cm="1">
        <f t="array" aca="1" ref="D14" ca="1">ROUND(_xlfn.XLOOKUP(D$7,YEAR(Accounts!$M$7:$CN$7),Accounts!$M$46:$CN$46,,,-1)/1000000,2)</f>
        <v>2.02</v>
      </c>
      <c r="E14" s="138" cm="1">
        <f t="array" aca="1" ref="E14" ca="1">ROUND(_xlfn.XLOOKUP(E$7,YEAR(Accounts!$M$7:$CN$7),Accounts!$M$46:$CN$46,,,-1)/1000000,2)</f>
        <v>12.39</v>
      </c>
      <c r="F14" s="138" cm="1">
        <f t="array" aca="1" ref="F14" ca="1">ROUND(_xlfn.XLOOKUP(F$7,YEAR(Accounts!$M$7:$CN$7),Accounts!$M$46:$CN$46,,,-1)/1000000,2)</f>
        <v>33.11</v>
      </c>
      <c r="G14" s="138" cm="1">
        <f t="array" aca="1" ref="G14" ca="1">ROUND(_xlfn.XLOOKUP(G$7,YEAR(Accounts!$M$7:$CN$7),Accounts!$M$46:$CN$46,,,-1)/1000000,2)</f>
        <v>43.38</v>
      </c>
    </row>
    <row r="15" spans="1:16" x14ac:dyDescent="0.3">
      <c r="A15" t="s">
        <v>279</v>
      </c>
      <c r="B15" s="16" t="s">
        <v>276</v>
      </c>
      <c r="C15" s="138" cm="1">
        <f t="array" aca="1" ref="C15" ca="1">ROUND(_xlfn.XLOOKUP(C$7,YEAR(Accounts!$M$7:$CN$7),Accounts!$M$50:$CN$50,,,-1)/1000000,2)</f>
        <v>133.69999999999999</v>
      </c>
      <c r="D15" s="138" cm="1">
        <f t="array" aca="1" ref="D15" ca="1">ROUND(_xlfn.XLOOKUP(D$7,YEAR(Accounts!$M$7:$CN$7),Accounts!$M$50:$CN$50,,,-1)/1000000,2)</f>
        <v>95.77</v>
      </c>
      <c r="E15" s="138" cm="1">
        <f t="array" aca="1" ref="E15" ca="1">ROUND(_xlfn.XLOOKUP(E$7,YEAR(Accounts!$M$7:$CN$7),Accounts!$M$50:$CN$50,,,-1)/1000000,2)</f>
        <v>63.42</v>
      </c>
      <c r="F15" s="138" cm="1">
        <f t="array" aca="1" ref="F15" ca="1">ROUND(_xlfn.XLOOKUP(F$7,YEAR(Accounts!$M$7:$CN$7),Accounts!$M$50:$CN$50,,,-1)/1000000,2)</f>
        <v>30.42</v>
      </c>
      <c r="G15" s="138" cm="1">
        <f t="array" aca="1" ref="G15" ca="1">ROUND(_xlfn.XLOOKUP(G$7,YEAR(Accounts!$M$7:$CN$7),Accounts!$M$50:$CN$50,,,-1)/1000000,2)</f>
        <v>11.71</v>
      </c>
    </row>
    <row r="16" spans="1:16" x14ac:dyDescent="0.3">
      <c r="A16" t="s">
        <v>280</v>
      </c>
      <c r="B16" s="16" t="s">
        <v>276</v>
      </c>
      <c r="C16" s="138" cm="1">
        <f t="array" aca="1" ref="C16" ca="1">ROUND(_xlfn.XLOOKUP(C$7,YEAR(Accounts!$M$7:$CN$7),Accounts!$M$52:$CN$52,,,-1)/1000000,2)</f>
        <v>135.63</v>
      </c>
      <c r="D16" s="138" cm="1">
        <f t="array" aca="1" ref="D16" ca="1">ROUND(_xlfn.XLOOKUP(D$7,YEAR(Accounts!$M$7:$CN$7),Accounts!$M$52:$CN$52,,,-1)/1000000,2)</f>
        <v>97.79</v>
      </c>
      <c r="E16" s="138" cm="1">
        <f t="array" aca="1" ref="E16" ca="1">ROUND(_xlfn.XLOOKUP(E$7,YEAR(Accounts!$M$7:$CN$7),Accounts!$M$52:$CN$52,,,-1)/1000000,2)</f>
        <v>75.81</v>
      </c>
      <c r="F16" s="138" cm="1">
        <f t="array" aca="1" ref="F16" ca="1">ROUND(_xlfn.XLOOKUP(F$7,YEAR(Accounts!$M$7:$CN$7),Accounts!$M$52:$CN$52,,,-1)/1000000,2)</f>
        <v>63.53</v>
      </c>
      <c r="G16" s="138" cm="1">
        <f t="array" aca="1" ref="G16" ca="1">ROUND(_xlfn.XLOOKUP(G$7,YEAR(Accounts!$M$7:$CN$7),Accounts!$M$52:$CN$52,,,-1)/1000000,2)</f>
        <v>55.09</v>
      </c>
    </row>
    <row r="17" spans="1:7" x14ac:dyDescent="0.3">
      <c r="A17" t="s">
        <v>281</v>
      </c>
      <c r="B17" s="16" t="s">
        <v>276</v>
      </c>
      <c r="C17" s="138" cm="1">
        <f t="array" aca="1" ref="C17" ca="1">ROUND(_xlfn.XLOOKUP(C$7,YEAR(Accounts!$M$7:$CN$7),Accounts!$M$59:$CN$59,,,-1)/1000000,2)</f>
        <v>126.37</v>
      </c>
      <c r="D17" s="138" cm="1">
        <f t="array" aca="1" ref="D17" ca="1">ROUND(_xlfn.XLOOKUP(D$7,YEAR(Accounts!$M$7:$CN$7),Accounts!$M$59:$CN$59,,,-1)/1000000,2)</f>
        <v>95.83</v>
      </c>
      <c r="E17" s="138" cm="1">
        <f t="array" aca="1" ref="E17" ca="1">ROUND(_xlfn.XLOOKUP(E$7,YEAR(Accounts!$M$7:$CN$7),Accounts!$M$59:$CN$59,,,-1)/1000000,2)</f>
        <v>74.72</v>
      </c>
      <c r="F17" s="138" cm="1">
        <f t="array" aca="1" ref="F17" ca="1">ROUND(_xlfn.XLOOKUP(F$7,YEAR(Accounts!$M$7:$CN$7),Accounts!$M$59:$CN$59,,,-1)/1000000,2)</f>
        <v>62.77</v>
      </c>
      <c r="G17" s="138" cm="1">
        <f t="array" aca="1" ref="G17" ca="1">ROUND(_xlfn.XLOOKUP(G$7,YEAR(Accounts!$M$7:$CN$7),Accounts!$M$59:$CN$59,,,-1)/1000000,2)</f>
        <v>54.32</v>
      </c>
    </row>
    <row r="18" spans="1:7" x14ac:dyDescent="0.3">
      <c r="A18" t="s">
        <v>282</v>
      </c>
      <c r="B18" s="16" t="s">
        <v>276</v>
      </c>
      <c r="C18" s="138" cm="1">
        <f t="array" aca="1" ref="C18" ca="1">ROUND(_xlfn.XLOOKUP(C$7,YEAR(Accounts!$M$7:$CN$7),Accounts!$M$65:$CN$65,,,-1)/1000000,2)</f>
        <v>9.25</v>
      </c>
      <c r="D18" s="138" cm="1">
        <f t="array" aca="1" ref="D18" ca="1">ROUND(_xlfn.XLOOKUP(D$7,YEAR(Accounts!$M$7:$CN$7),Accounts!$M$65:$CN$65,,,-1)/1000000,2)</f>
        <v>1.96</v>
      </c>
      <c r="E18" s="138" cm="1">
        <f t="array" aca="1" ref="E18" ca="1">ROUND(_xlfn.XLOOKUP(E$7,YEAR(Accounts!$M$7:$CN$7),Accounts!$M$65:$CN$65,,,-1)/1000000,2)</f>
        <v>1.0900000000000001</v>
      </c>
      <c r="F18" s="138" cm="1">
        <f t="array" aca="1" ref="F18" ca="1">ROUND(_xlfn.XLOOKUP(F$7,YEAR(Accounts!$M$7:$CN$7),Accounts!$M$65:$CN$65,,,-1)/1000000,2)</f>
        <v>0.76</v>
      </c>
      <c r="G18" s="138" cm="1">
        <f t="array" aca="1" ref="G18" ca="1">ROUND(_xlfn.XLOOKUP(G$7,YEAR(Accounts!$M$7:$CN$7),Accounts!$M$65:$CN$65,,,-1)/1000000,2)</f>
        <v>0.76</v>
      </c>
    </row>
    <row r="20" spans="1:7" x14ac:dyDescent="0.3">
      <c r="A20" t="s">
        <v>229</v>
      </c>
      <c r="B20" s="16" t="s">
        <v>276</v>
      </c>
      <c r="C20" s="138" cm="1">
        <f t="array" aca="1" ref="C20" ca="1">ROUND(_xlfn.XLOOKUP(C$7,YEAR(Accounts!$M$7:$CN$7),Accounts!$M$92:$CN$92,,,-1)/1000000,2)</f>
        <v>1</v>
      </c>
      <c r="D20" s="138" cm="1">
        <f t="array" aca="1" ref="D20" ca="1">ROUND(_xlfn.XLOOKUP(D$7,YEAR(Accounts!$M$7:$CN$7),Accounts!$M$92:$CN$92,,,-1)/1000000,2)</f>
        <v>1</v>
      </c>
      <c r="E20" s="138" cm="1">
        <f t="array" aca="1" ref="E20" ca="1">ROUND(_xlfn.XLOOKUP(E$7,YEAR(Accounts!$M$7:$CN$7),Accounts!$M$92:$CN$92,,,-1)/1000000,2)</f>
        <v>11.3</v>
      </c>
      <c r="F20" s="138" cm="1">
        <f t="array" aca="1" ref="F20" ca="1">ROUND(_xlfn.XLOOKUP(F$7,YEAR(Accounts!$M$7:$CN$7),Accounts!$M$92:$CN$92,,,-1)/1000000,2)</f>
        <v>31.95</v>
      </c>
      <c r="G20" s="138" cm="1">
        <f t="array" aca="1" ref="G20" ca="1">ROUND(_xlfn.XLOOKUP(G$7,YEAR(Accounts!$M$7:$CN$7),Accounts!$M$92:$CN$92,,,-1)/1000000,2)</f>
        <v>42.15</v>
      </c>
    </row>
    <row r="22" spans="1:7" x14ac:dyDescent="0.3">
      <c r="A22" s="139" t="s">
        <v>283</v>
      </c>
    </row>
    <row r="33" spans="1:1" x14ac:dyDescent="0.3">
      <c r="A33" s="139" t="s">
        <v>285</v>
      </c>
    </row>
  </sheetData>
  <mergeCells count="1">
    <mergeCell ref="E1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Formats</vt:lpstr>
      <vt:lpstr>Ass</vt:lpstr>
      <vt:lpstr>Solution--&gt;</vt:lpstr>
      <vt:lpstr>Ops</vt:lpstr>
      <vt:lpstr>CapexDA</vt:lpstr>
      <vt:lpstr>Debt</vt:lpstr>
      <vt:lpstr>Accounts</vt:lpstr>
      <vt:lpstr>Returns</vt:lpstr>
      <vt:lpstr>Logo</vt:lpstr>
      <vt:lpstr>Dashboard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Julian Pöltl</cp:lastModifiedBy>
  <cp:lastPrinted>2013-12-07T22:12:50Z</cp:lastPrinted>
  <dcterms:created xsi:type="dcterms:W3CDTF">2013-11-22T23:25:19Z</dcterms:created>
  <dcterms:modified xsi:type="dcterms:W3CDTF">2026-03-09T16:08:16Z</dcterms:modified>
</cp:coreProperties>
</file>