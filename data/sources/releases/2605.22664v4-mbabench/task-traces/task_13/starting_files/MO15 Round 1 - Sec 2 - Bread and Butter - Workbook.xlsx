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_2\Desktop\QDT 2015\DCF\"/>
    </mc:Choice>
  </mc:AlternateContent>
  <bookViews>
    <workbookView xWindow="15780" yWindow="0" windowWidth="19920" windowHeight="12720"/>
  </bookViews>
  <sheets>
    <sheet name="Formats" sheetId="10" r:id="rId1"/>
    <sheet name="Assumptions" sheetId="11" r:id="rId2"/>
    <sheet name="Workings" sheetId="5" r:id="rId3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" i="5" l="1"/>
  <c r="W50" i="5"/>
  <c r="V50" i="5"/>
  <c r="U50" i="5"/>
  <c r="T50" i="5"/>
  <c r="S50" i="5"/>
  <c r="R50" i="5"/>
  <c r="Q50" i="5"/>
  <c r="P50" i="5"/>
  <c r="O50" i="5"/>
  <c r="N50" i="5"/>
  <c r="M50" i="5"/>
  <c r="M45" i="5"/>
  <c r="Q45" i="5"/>
  <c r="U45" i="5"/>
  <c r="M43" i="5"/>
  <c r="N43" i="5"/>
  <c r="O43" i="5"/>
  <c r="P43" i="5"/>
  <c r="Q43" i="5"/>
  <c r="R43" i="5"/>
  <c r="S43" i="5"/>
  <c r="T43" i="5"/>
  <c r="U43" i="5"/>
  <c r="V43" i="5"/>
  <c r="W43" i="5"/>
  <c r="M38" i="5"/>
  <c r="N38" i="5"/>
  <c r="N45" i="5" s="1"/>
  <c r="O38" i="5"/>
  <c r="O45" i="5" s="1"/>
  <c r="P38" i="5"/>
  <c r="P45" i="5" s="1"/>
  <c r="Q38" i="5"/>
  <c r="R38" i="5"/>
  <c r="R45" i="5" s="1"/>
  <c r="S38" i="5"/>
  <c r="S45" i="5" s="1"/>
  <c r="T38" i="5"/>
  <c r="T45" i="5" s="1"/>
  <c r="U38" i="5"/>
  <c r="V38" i="5"/>
  <c r="V45" i="5" s="1"/>
  <c r="W38" i="5"/>
  <c r="W45" i="5" s="1"/>
  <c r="N8" i="5"/>
  <c r="O8" i="5" s="1"/>
  <c r="P8" i="5" s="1"/>
  <c r="Q8" i="5" s="1"/>
  <c r="R8" i="5" s="1"/>
  <c r="S8" i="5" s="1"/>
  <c r="T8" i="5" s="1"/>
  <c r="U8" i="5" s="1"/>
  <c r="V8" i="5" s="1"/>
  <c r="W8" i="5" s="1"/>
  <c r="J49" i="11"/>
  <c r="J58" i="11"/>
  <c r="A11" i="11"/>
  <c r="N6" i="5"/>
  <c r="N7" i="5"/>
  <c r="O7" i="5" s="1"/>
  <c r="P7" i="5" s="1"/>
  <c r="Q7" i="5" s="1"/>
  <c r="R7" i="5" s="1"/>
  <c r="S7" i="5" s="1"/>
  <c r="T7" i="5" s="1"/>
  <c r="U7" i="5" s="1"/>
  <c r="V7" i="5" s="1"/>
  <c r="W7" i="5" s="1"/>
  <c r="U6" i="5" l="1"/>
  <c r="Q6" i="5"/>
  <c r="P6" i="5"/>
  <c r="V6" i="5"/>
  <c r="R6" i="5"/>
  <c r="T6" i="5"/>
  <c r="W6" i="5"/>
  <c r="S6" i="5"/>
  <c r="O6" i="5"/>
  <c r="A11" i="5" l="1"/>
  <c r="A31" i="5" s="1"/>
</calcChain>
</file>

<file path=xl/sharedStrings.xml><?xml version="1.0" encoding="utf-8"?>
<sst xmlns="http://schemas.openxmlformats.org/spreadsheetml/2006/main" count="149" uniqueCount="89">
  <si>
    <t>Units</t>
  </si>
  <si>
    <t>Sum</t>
  </si>
  <si>
    <t>End Sheet</t>
  </si>
  <si>
    <t>[%]</t>
  </si>
  <si>
    <t>Assets</t>
  </si>
  <si>
    <t>Inventory</t>
  </si>
  <si>
    <t>Total Assets</t>
  </si>
  <si>
    <t>Liabilities</t>
  </si>
  <si>
    <t>Retained Earnings</t>
  </si>
  <si>
    <t>Total Equity</t>
  </si>
  <si>
    <t>Receivables</t>
  </si>
  <si>
    <t>Workings</t>
  </si>
  <si>
    <t>Working Capital</t>
  </si>
  <si>
    <t>[years]</t>
  </si>
  <si>
    <t>Equity</t>
  </si>
  <si>
    <t>To Retained Earnings</t>
  </si>
  <si>
    <t>ModelOff 2015 - Round 1 - Section 2</t>
  </si>
  <si>
    <t>[$]</t>
  </si>
  <si>
    <t>Period Start</t>
  </si>
  <si>
    <t>Period End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</si>
  <si>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</si>
  <si>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</si>
  <si>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</si>
  <si>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</si>
  <si>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</si>
  <si>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</si>
  <si>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</si>
  <si>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</si>
  <si>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</si>
  <si>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</si>
  <si>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</si>
  <si>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</si>
  <si>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</si>
  <si>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</si>
  <si>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</si>
  <si>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</si>
  <si>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</si>
  <si>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</si>
  <si>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</si>
  <si>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Assumptions</t>
  </si>
  <si>
    <t>Sales</t>
  </si>
  <si>
    <t>Year 1</t>
  </si>
  <si>
    <t>[$ p.a.]</t>
  </si>
  <si>
    <t>[% p.a.]</t>
  </si>
  <si>
    <t>Growth - Type A</t>
  </si>
  <si>
    <t>Growth - Type B</t>
  </si>
  <si>
    <t>Cost of Goods Sold</t>
  </si>
  <si>
    <t>Cost of Goods Sold (COGS)</t>
  </si>
  <si>
    <t>% of Sales</t>
  </si>
  <si>
    <t>Expenses</t>
  </si>
  <si>
    <t>Growth</t>
  </si>
  <si>
    <t>Opening PPE</t>
  </si>
  <si>
    <t>Amount</t>
  </si>
  <si>
    <t>Life</t>
  </si>
  <si>
    <t>New PPE</t>
  </si>
  <si>
    <t>Time of Purchase</t>
  </si>
  <si>
    <t>Funded by Equity</t>
  </si>
  <si>
    <t>Payables 1</t>
  </si>
  <si>
    <t>Payables 2</t>
  </si>
  <si>
    <t>Debt</t>
  </si>
  <si>
    <t>Interest Rate</t>
  </si>
  <si>
    <t>Initial Draw</t>
  </si>
  <si>
    <t>Principal repayment</t>
  </si>
  <si>
    <t>Equity Injections</t>
  </si>
  <si>
    <t>Initial Injection</t>
  </si>
  <si>
    <t>Injection 2 Amount</t>
  </si>
  <si>
    <t>Injection 2 Time</t>
  </si>
  <si>
    <t>[end of year #]</t>
  </si>
  <si>
    <t>[% of sales]</t>
  </si>
  <si>
    <t>[% of COGS]</t>
  </si>
  <si>
    <t>[% of expenses]</t>
  </si>
  <si>
    <t>Distributions</t>
  </si>
  <si>
    <t>Distribute cash above this level:</t>
  </si>
  <si>
    <t>Opening Assets</t>
  </si>
  <si>
    <t>Cash</t>
  </si>
  <si>
    <t>PPE</t>
  </si>
  <si>
    <t>Cell to be populated by model author</t>
  </si>
  <si>
    <t>Year Number</t>
  </si>
  <si>
    <t>Profit and Loss</t>
  </si>
  <si>
    <t>EBITDA</t>
  </si>
  <si>
    <t>Depreciation</t>
  </si>
  <si>
    <t>Interest Expense</t>
  </si>
  <si>
    <t>Net Profit</t>
  </si>
  <si>
    <t>Balance Sheet</t>
  </si>
  <si>
    <t>Payables</t>
  </si>
  <si>
    <t>Total Liabilities</t>
  </si>
  <si>
    <t>NET ASSETS</t>
  </si>
  <si>
    <t>Shareholder Capital</t>
  </si>
  <si>
    <t>[continue with calculations]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</si>
</sst>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;\-#,##0.;\-"/>
    <numFmt numFmtId="165" formatCode="#,##0_);\(#,##0\);\-"/>
    <numFmt numFmtId="166" formatCode="d\-mmm\-yy;d\-mmm\-yy;\-"/>
    <numFmt numFmtId="167" formatCode="0.00%_);\(0.00%\);\-"/>
    <numFmt numFmtId="168" formatCode="#,##0.00_);\(#,##0.00\);\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5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5" fontId="9" fillId="0" borderId="0" applyBorder="0"/>
    <xf numFmtId="166" fontId="3" fillId="0" borderId="0" applyBorder="0"/>
    <xf numFmtId="4" fontId="9" fillId="2" borderId="1">
      <alignment horizontal="left"/>
    </xf>
    <xf numFmtId="167" fontId="7" fillId="4" borderId="13">
      <protection locked="0"/>
    </xf>
    <xf numFmtId="165" fontId="7" fillId="4" borderId="13">
      <protection locked="0"/>
    </xf>
    <xf numFmtId="165" fontId="7" fillId="0" borderId="14"/>
    <xf numFmtId="167" fontId="11" fillId="0" borderId="0" applyFill="0" applyBorder="0" applyAlignment="0"/>
    <xf numFmtId="0" fontId="10" fillId="0" borderId="0" applyNumberFormat="0" applyFill="0" applyBorder="0" applyAlignment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6" applyNumberFormat="0" applyAlignment="0" applyProtection="0"/>
    <xf numFmtId="0" fontId="22" fillId="9" borderId="7" applyNumberFormat="0" applyAlignment="0" applyProtection="0"/>
    <xf numFmtId="0" fontId="23" fillId="9" borderId="6" applyNumberFormat="0" applyAlignment="0" applyProtection="0"/>
    <xf numFmtId="0" fontId="24" fillId="0" borderId="8" applyNumberFormat="0" applyFill="0" applyAlignment="0" applyProtection="0"/>
    <xf numFmtId="0" fontId="25" fillId="10" borderId="9" applyNumberFormat="0" applyAlignment="0" applyProtection="0"/>
    <xf numFmtId="0" fontId="26" fillId="0" borderId="0" applyNumberFormat="0" applyFill="0" applyBorder="0" applyAlignment="0" applyProtection="0"/>
    <xf numFmtId="0" fontId="13" fillId="11" borderId="10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68" fontId="3" fillId="0" borderId="0" applyBorder="0"/>
    <xf numFmtId="168" fontId="7" fillId="4" borderId="13">
      <protection locked="0"/>
    </xf>
    <xf numFmtId="166" fontId="7" fillId="4" borderId="13"/>
  </cellStyleXfs>
  <cellXfs count="46">
    <xf numFmtId="0" fontId="0" fillId="0" borderId="0" xfId="0"/>
    <xf numFmtId="168" fontId="4" fillId="36" borderId="0" xfId="1" applyNumberFormat="1"/>
    <xf numFmtId="0" fontId="4" fillId="36" borderId="0" xfId="1"/>
    <xf numFmtId="0" fontId="3" fillId="0" borderId="0" xfId="0" applyFont="1"/>
    <xf numFmtId="0" fontId="4" fillId="36" borderId="0" xfId="1" applyFont="1"/>
    <xf numFmtId="0" fontId="5" fillId="0" borderId="0" xfId="0" applyFont="1"/>
    <xf numFmtId="164" fontId="6" fillId="36" borderId="0" xfId="1" applyNumberFormat="1" applyFont="1" applyAlignment="1">
      <alignment horizontal="left"/>
    </xf>
    <xf numFmtId="0" fontId="6" fillId="36" borderId="0" xfId="1" applyFont="1"/>
    <xf numFmtId="165" fontId="3" fillId="0" borderId="0" xfId="2"/>
    <xf numFmtId="165" fontId="7" fillId="0" borderId="0" xfId="3" applyNumberFormat="1">
      <alignment horizontal="right"/>
    </xf>
    <xf numFmtId="165" fontId="0" fillId="0" borderId="0" xfId="0" applyNumberFormat="1"/>
    <xf numFmtId="165" fontId="9" fillId="0" borderId="0" xfId="5"/>
    <xf numFmtId="166" fontId="3" fillId="0" borderId="0" xfId="6"/>
    <xf numFmtId="165" fontId="3" fillId="0" borderId="0" xfId="2" applyBorder="1"/>
    <xf numFmtId="165" fontId="7" fillId="0" borderId="0" xfId="3" applyNumberFormat="1" applyBorder="1">
      <alignment horizontal="right"/>
    </xf>
    <xf numFmtId="4" fontId="9" fillId="2" borderId="1" xfId="7">
      <alignment horizontal="left"/>
    </xf>
    <xf numFmtId="0" fontId="3" fillId="0" borderId="0" xfId="0" applyFont="1" applyBorder="1"/>
    <xf numFmtId="165" fontId="3" fillId="0" borderId="0" xfId="2" quotePrefix="1"/>
    <xf numFmtId="0" fontId="10" fillId="0" borderId="0" xfId="0" applyFont="1"/>
    <xf numFmtId="0" fontId="7" fillId="0" borderId="0" xfId="3">
      <alignment horizontal="right"/>
    </xf>
    <xf numFmtId="165" fontId="3" fillId="0" borderId="2" xfId="2" applyBorder="1"/>
    <xf numFmtId="167" fontId="7" fillId="4" borderId="13" xfId="8">
      <protection locked="0"/>
    </xf>
    <xf numFmtId="0" fontId="3" fillId="0" borderId="0" xfId="6" applyNumberFormat="1"/>
    <xf numFmtId="165" fontId="7" fillId="0" borderId="14" xfId="10"/>
    <xf numFmtId="0" fontId="2" fillId="36" borderId="0" xfId="1" applyFont="1" applyAlignment="1"/>
    <xf numFmtId="167" fontId="11" fillId="0" borderId="0" xfId="11"/>
    <xf numFmtId="165" fontId="12" fillId="0" borderId="0" xfId="2" applyFont="1"/>
    <xf numFmtId="165" fontId="10" fillId="0" borderId="0" xfId="12" applyNumberFormat="1"/>
    <xf numFmtId="166" fontId="3" fillId="0" borderId="0" xfId="6" applyBorder="1"/>
    <xf numFmtId="0" fontId="3" fillId="0" borderId="0" xfId="6" applyNumberFormat="1" applyBorder="1"/>
    <xf numFmtId="4" fontId="9" fillId="2" borderId="1" xfId="7" applyBorder="1">
      <alignment horizontal="left"/>
    </xf>
    <xf numFmtId="165" fontId="9" fillId="0" borderId="0" xfId="5" applyBorder="1"/>
    <xf numFmtId="165" fontId="3" fillId="0" borderId="12" xfId="2" applyBorder="1"/>
    <xf numFmtId="165" fontId="7" fillId="4" borderId="13" xfId="9">
      <protection locked="0"/>
    </xf>
    <xf numFmtId="165" fontId="3" fillId="3" borderId="0" xfId="2" applyFill="1"/>
    <xf numFmtId="165" fontId="3" fillId="3" borderId="0" xfId="2" applyFill="1" applyBorder="1"/>
    <xf numFmtId="168" fontId="3" fillId="0" borderId="0" xfId="59"/>
    <xf numFmtId="168" fontId="3" fillId="0" borderId="0" xfId="59" applyBorder="1"/>
    <xf numFmtId="168" fontId="3" fillId="3" borderId="0" xfId="59" applyFill="1"/>
    <xf numFmtId="168" fontId="3" fillId="0" borderId="0" xfId="59" quotePrefix="1"/>
    <xf numFmtId="168" fontId="7" fillId="0" borderId="0" xfId="3" applyNumberFormat="1">
      <alignment horizontal="right"/>
    </xf>
    <xf numFmtId="168" fontId="7" fillId="4" borderId="13" xfId="60">
      <protection locked="0"/>
    </xf>
    <xf numFmtId="166" fontId="7" fillId="4" borderId="13" xfId="61"/>
    <xf numFmtId="166" fontId="12" fillId="0" borderId="0" xfId="6" applyFont="1"/>
    <xf numFmtId="165" fontId="9" fillId="3" borderId="0" xfId="5" applyFill="1"/>
    <xf numFmtId="165" fontId="9" fillId="3" borderId="0" xfId="5" applyFill="1" applyBorder="1"/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/>
    <cellStyle name="M TopHeader" xfId="1"/>
    <cellStyle name="M Units" xfId="3"/>
    <cellStyle name="M Wkg text" xfId="12"/>
    <cellStyle name="M-A 0dp" xfId="9"/>
    <cellStyle name="M-A 2dp" xfId="60"/>
    <cellStyle name="M-A Date" xfId="61"/>
    <cellStyle name="M-A Fixed 0dp" xfId="10"/>
    <cellStyle name="M-A Pct2dp" xfId="8"/>
    <cellStyle name="M-C 0dp Num" xfId="2"/>
    <cellStyle name="M-C 2dp Num" xfId="59"/>
    <cellStyle name="M-C Bld 0dp" xfId="5"/>
    <cellStyle name="M-C Date" xfId="6"/>
    <cellStyle name="M-C Pct 2DP" xfId="11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818027</xdr:colOff>
      <xdr:row>0</xdr:row>
      <xdr:rowOff>0</xdr:rowOff>
    </xdr:from>
    <xdr:to>
      <xdr:col>8</xdr:col>
      <xdr:colOff>818690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1998" y="0"/>
          <a:ext cx="2667663" cy="749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tabSelected="1" zoomScaleNormal="100" zoomScalePageLayoutView="85" workbookViewId="0">
      <pane ySplit="3" topLeftCell="A4" activePane="bottomLeft" state="frozen"/>
      <selection pane="bottomLeft" activeCell="A5" sqref="A5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8" customWidth="1"/>
    <col min="4" max="4" width="40.7109375" style="18" customWidth="1"/>
    <col min="5" max="6" width="12.7109375" style="3" customWidth="1"/>
    <col min="7" max="7" width="3.7109375" style="3" customWidth="1"/>
    <col min="8" max="8" width="10.7109375" style="19" customWidth="1"/>
    <col min="9" max="9" width="12.7109375" style="3" customWidth="1"/>
    <col min="10" max="10" width="15.7109375" style="3" customWidth="1"/>
    <col min="11" max="16384" width="8.85546875" style="3"/>
  </cols>
  <sheetData>
    <row r="1" spans="1:10" ht="23.25" x14ac:dyDescent="0.35">
      <c r="A1" s="24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0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25">
      <c r="A3" s="6"/>
      <c r="B3" s="2"/>
      <c r="C3" s="7" t="s">
        <v>20</v>
      </c>
      <c r="D3" s="2"/>
      <c r="E3" s="2"/>
      <c r="F3" s="2"/>
      <c r="G3" s="2"/>
      <c r="H3" s="2"/>
      <c r="I3" s="2"/>
      <c r="J3" s="2"/>
    </row>
    <row r="4" spans="1:10" s="8" customFormat="1" ht="12" customHeight="1" x14ac:dyDescent="0.2">
      <c r="H4" s="9"/>
    </row>
    <row r="5" spans="1:10" s="8" customFormat="1" ht="12" customHeight="1" x14ac:dyDescent="0.2">
      <c r="H5" s="9"/>
    </row>
    <row r="6" spans="1:10" s="8" customFormat="1" ht="12" customHeight="1" x14ac:dyDescent="0.2">
      <c r="H6" s="9"/>
    </row>
    <row r="7" spans="1:10" s="8" customFormat="1" ht="12" customHeight="1" x14ac:dyDescent="0.2">
      <c r="H7" s="9"/>
    </row>
    <row r="8" spans="1:10" s="8" customFormat="1" ht="12" customHeight="1" x14ac:dyDescent="0.2">
      <c r="H8" s="9"/>
    </row>
    <row r="9" spans="1:10" s="8" customFormat="1" ht="12" customHeight="1" x14ac:dyDescent="0.2">
      <c r="H9" s="9"/>
    </row>
    <row r="10" spans="1:10" s="8" customFormat="1" ht="12" customHeight="1" x14ac:dyDescent="0.2">
      <c r="E10" s="11"/>
      <c r="H10" s="9"/>
    </row>
    <row r="11" spans="1:10" ht="12" customHeight="1" x14ac:dyDescent="0.2">
      <c r="A11" s="15"/>
      <c r="B11" s="15"/>
      <c r="C11" s="15" t="s">
        <v>21</v>
      </c>
      <c r="D11" s="15"/>
      <c r="E11" s="15"/>
      <c r="F11" s="15"/>
      <c r="G11" s="15"/>
      <c r="H11" s="15"/>
      <c r="I11" s="15"/>
      <c r="J11" s="15"/>
    </row>
    <row r="12" spans="1:10" s="16" customFormat="1" ht="12" customHeight="1" x14ac:dyDescent="0.2">
      <c r="A12" s="37"/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12" customHeight="1" x14ac:dyDescent="0.2">
      <c r="A13" s="36"/>
      <c r="B13" s="36"/>
      <c r="C13" s="11"/>
      <c r="D13" s="36"/>
      <c r="E13" s="39"/>
      <c r="F13" s="36"/>
      <c r="G13" s="36"/>
      <c r="H13" s="36"/>
      <c r="I13" s="36"/>
      <c r="J13" s="36"/>
    </row>
    <row r="14" spans="1:10" ht="12" customHeight="1" x14ac:dyDescent="0.2">
      <c r="A14" s="36"/>
      <c r="B14" s="36"/>
      <c r="C14" s="36"/>
      <c r="D14" s="36" t="s">
        <v>22</v>
      </c>
      <c r="E14" s="39"/>
      <c r="F14" s="36"/>
      <c r="G14" s="36"/>
      <c r="H14" s="40"/>
      <c r="I14" s="33">
        <v>1000</v>
      </c>
      <c r="J14" s="36"/>
    </row>
    <row r="15" spans="1:10" ht="12" customHeight="1" x14ac:dyDescent="0.2">
      <c r="A15" s="36"/>
      <c r="B15" s="36"/>
      <c r="C15" s="36"/>
      <c r="D15" s="36"/>
      <c r="E15" s="39"/>
      <c r="F15" s="36"/>
      <c r="G15" s="36"/>
      <c r="H15" s="40"/>
      <c r="I15" s="36"/>
      <c r="J15" s="36"/>
    </row>
    <row r="16" spans="1:10" ht="12" customHeight="1" x14ac:dyDescent="0.2">
      <c r="A16" s="36"/>
      <c r="B16" s="36"/>
      <c r="C16" s="36"/>
      <c r="D16" s="36" t="s">
        <v>23</v>
      </c>
      <c r="E16" s="39"/>
      <c r="F16" s="36"/>
      <c r="G16" s="36"/>
      <c r="H16" s="40"/>
      <c r="I16" s="41">
        <v>1000</v>
      </c>
      <c r="J16" s="36"/>
    </row>
    <row r="17" spans="1:10" ht="12" customHeight="1" x14ac:dyDescent="0.2">
      <c r="A17" s="36"/>
      <c r="B17" s="36"/>
      <c r="C17" s="36"/>
      <c r="D17" s="36"/>
      <c r="E17" s="39"/>
      <c r="F17" s="36"/>
      <c r="G17" s="36"/>
      <c r="H17" s="36"/>
      <c r="I17" s="36"/>
      <c r="J17" s="36"/>
    </row>
    <row r="18" spans="1:10" ht="12" customHeight="1" x14ac:dyDescent="0.2">
      <c r="A18" s="36"/>
      <c r="B18" s="36"/>
      <c r="C18" s="36"/>
      <c r="D18" s="36" t="s">
        <v>24</v>
      </c>
      <c r="E18" s="39"/>
      <c r="F18" s="36"/>
      <c r="G18" s="36"/>
      <c r="H18" s="36"/>
      <c r="I18" s="21">
        <v>0.5</v>
      </c>
      <c r="J18" s="36"/>
    </row>
    <row r="19" spans="1:10" ht="12" customHeight="1" x14ac:dyDescent="0.2">
      <c r="A19" s="36"/>
      <c r="B19" s="36"/>
      <c r="C19" s="36"/>
      <c r="D19" s="36"/>
      <c r="E19" s="39"/>
      <c r="F19" s="36"/>
      <c r="G19" s="36"/>
      <c r="H19" s="36"/>
      <c r="I19" s="36"/>
      <c r="J19" s="36"/>
    </row>
    <row r="20" spans="1:10" ht="12" customHeight="1" x14ac:dyDescent="0.2">
      <c r="A20" s="36"/>
      <c r="B20" s="36"/>
      <c r="C20" s="36"/>
      <c r="D20" s="36" t="s">
        <v>25</v>
      </c>
      <c r="E20" s="39"/>
      <c r="F20" s="36"/>
      <c r="G20" s="36"/>
      <c r="H20" s="36"/>
      <c r="I20" s="42">
        <v>42369</v>
      </c>
      <c r="J20" s="36"/>
    </row>
    <row r="21" spans="1:10" ht="12" customHeight="1" x14ac:dyDescent="0.2">
      <c r="A21" s="36"/>
      <c r="B21" s="36"/>
      <c r="C21" s="36"/>
      <c r="D21" s="36"/>
      <c r="E21" s="39"/>
      <c r="F21" s="36"/>
      <c r="G21" s="36"/>
      <c r="H21" s="36"/>
      <c r="I21" s="36"/>
      <c r="J21" s="36"/>
    </row>
    <row r="22" spans="1:10" ht="12" customHeight="1" x14ac:dyDescent="0.2">
      <c r="A22" s="36"/>
      <c r="B22" s="36"/>
      <c r="C22" s="36"/>
      <c r="D22" s="36" t="s">
        <v>26</v>
      </c>
      <c r="E22" s="39"/>
      <c r="F22" s="36"/>
      <c r="G22" s="36"/>
      <c r="H22" s="36"/>
      <c r="I22" s="8">
        <v>1000</v>
      </c>
      <c r="J22" s="36"/>
    </row>
    <row r="23" spans="1:10" ht="12" customHeight="1" x14ac:dyDescent="0.2">
      <c r="A23" s="36"/>
      <c r="B23" s="36"/>
      <c r="C23" s="36"/>
      <c r="D23" s="36"/>
      <c r="E23" s="39"/>
      <c r="F23" s="36"/>
      <c r="G23" s="36"/>
      <c r="H23" s="36"/>
      <c r="I23" s="36"/>
      <c r="J23" s="36"/>
    </row>
    <row r="24" spans="1:10" ht="12" customHeight="1" x14ac:dyDescent="0.2">
      <c r="A24" s="36"/>
      <c r="B24" s="36"/>
      <c r="C24" s="36"/>
      <c r="D24" s="36" t="s">
        <v>38</v>
      </c>
      <c r="E24" s="39"/>
      <c r="F24" s="36"/>
      <c r="G24" s="36"/>
      <c r="H24" s="36"/>
      <c r="I24" s="8">
        <v>-1000</v>
      </c>
      <c r="J24" s="36"/>
    </row>
    <row r="25" spans="1:10" ht="12" customHeight="1" x14ac:dyDescent="0.2">
      <c r="A25" s="36"/>
      <c r="B25" s="36"/>
      <c r="C25" s="36"/>
      <c r="D25" s="36"/>
      <c r="E25" s="39"/>
      <c r="F25" s="36"/>
      <c r="G25" s="36"/>
      <c r="H25" s="36"/>
      <c r="I25" s="36"/>
      <c r="J25" s="36"/>
    </row>
    <row r="26" spans="1:10" ht="12" customHeight="1" x14ac:dyDescent="0.2">
      <c r="A26" s="36"/>
      <c r="B26" s="36"/>
      <c r="C26" s="36"/>
      <c r="D26" s="36" t="s">
        <v>27</v>
      </c>
      <c r="E26" s="39"/>
      <c r="F26" s="36"/>
      <c r="G26" s="36"/>
      <c r="H26" s="36"/>
      <c r="I26" s="36">
        <v>1000</v>
      </c>
      <c r="J26" s="36"/>
    </row>
    <row r="27" spans="1:10" ht="12" customHeight="1" x14ac:dyDescent="0.2">
      <c r="A27" s="36"/>
      <c r="B27" s="36"/>
      <c r="C27" s="36"/>
      <c r="D27" s="36"/>
      <c r="E27" s="39"/>
      <c r="F27" s="36"/>
      <c r="G27" s="36"/>
      <c r="H27" s="36"/>
      <c r="I27" s="36"/>
      <c r="J27" s="36"/>
    </row>
    <row r="28" spans="1:10" ht="12" customHeight="1" x14ac:dyDescent="0.2">
      <c r="A28" s="36"/>
      <c r="B28" s="36"/>
      <c r="C28" s="36"/>
      <c r="D28" s="36" t="s">
        <v>28</v>
      </c>
      <c r="E28" s="39"/>
      <c r="F28" s="36"/>
      <c r="G28" s="36"/>
      <c r="H28" s="36"/>
      <c r="I28" s="25">
        <v>0.5</v>
      </c>
      <c r="J28" s="36"/>
    </row>
    <row r="29" spans="1:10" ht="12" customHeight="1" x14ac:dyDescent="0.2">
      <c r="A29" s="36"/>
      <c r="B29" s="36"/>
      <c r="C29" s="36"/>
      <c r="D29" s="36"/>
      <c r="E29" s="39"/>
      <c r="F29" s="36"/>
      <c r="G29" s="36"/>
      <c r="H29" s="36"/>
      <c r="I29" s="36"/>
      <c r="J29" s="36"/>
    </row>
    <row r="30" spans="1:10" ht="12" customHeight="1" x14ac:dyDescent="0.2">
      <c r="A30" s="36"/>
      <c r="B30" s="36"/>
      <c r="C30" s="36"/>
      <c r="D30" s="36" t="s">
        <v>76</v>
      </c>
      <c r="E30" s="39"/>
      <c r="F30" s="36"/>
      <c r="G30" s="36"/>
      <c r="H30" s="36"/>
      <c r="I30" s="38">
        <v>0</v>
      </c>
      <c r="J30" s="36"/>
    </row>
    <row r="31" spans="1:10" ht="12" customHeight="1" x14ac:dyDescent="0.2">
      <c r="A31" s="36"/>
      <c r="B31" s="36"/>
      <c r="C31" s="36"/>
      <c r="D31" s="36"/>
      <c r="E31" s="39"/>
      <c r="F31" s="36"/>
      <c r="G31" s="36"/>
      <c r="H31" s="36"/>
      <c r="I31" s="36"/>
      <c r="J31" s="36"/>
    </row>
    <row r="32" spans="1:10" ht="12" customHeight="1" x14ac:dyDescent="0.2">
      <c r="A32" s="36"/>
      <c r="B32" s="36"/>
      <c r="C32" s="36"/>
      <c r="D32" s="36" t="s">
        <v>29</v>
      </c>
      <c r="E32" s="39"/>
      <c r="F32" s="36"/>
      <c r="G32" s="36"/>
      <c r="H32" s="36"/>
      <c r="I32" s="12">
        <v>42369</v>
      </c>
      <c r="J32" s="36"/>
    </row>
    <row r="33" spans="1:10" ht="12" customHeight="1" x14ac:dyDescent="0.2">
      <c r="A33" s="36"/>
      <c r="B33" s="36"/>
      <c r="C33" s="36"/>
      <c r="D33" s="36"/>
      <c r="E33" s="39"/>
      <c r="F33" s="36"/>
      <c r="G33" s="36"/>
      <c r="H33" s="36"/>
      <c r="I33" s="36"/>
      <c r="J33" s="36"/>
    </row>
    <row r="34" spans="1:10" ht="12" customHeight="1" x14ac:dyDescent="0.2">
      <c r="A34" s="36"/>
      <c r="B34" s="36"/>
      <c r="C34" s="36"/>
      <c r="D34" s="36" t="s">
        <v>36</v>
      </c>
      <c r="E34" s="39"/>
      <c r="F34" s="36"/>
      <c r="G34" s="36"/>
      <c r="H34" s="36"/>
      <c r="I34" s="26" t="s">
        <v>37</v>
      </c>
      <c r="J34" s="36"/>
    </row>
    <row r="35" spans="1:10" ht="12" customHeight="1" x14ac:dyDescent="0.2">
      <c r="A35" s="36"/>
      <c r="B35" s="36"/>
      <c r="C35" s="36"/>
      <c r="D35" s="36"/>
      <c r="E35" s="39"/>
      <c r="F35" s="36"/>
      <c r="G35" s="36"/>
      <c r="H35" s="36"/>
      <c r="I35" s="36"/>
      <c r="J35" s="36"/>
    </row>
    <row r="36" spans="1:10" ht="12" customHeight="1" x14ac:dyDescent="0.2">
      <c r="A36" s="36"/>
      <c r="B36" s="36"/>
      <c r="C36" s="36"/>
      <c r="D36" s="36" t="s">
        <v>30</v>
      </c>
      <c r="E36" s="39"/>
      <c r="F36" s="36"/>
      <c r="G36" s="36"/>
      <c r="H36" s="36"/>
      <c r="I36" s="40" t="s">
        <v>17</v>
      </c>
      <c r="J36" s="36"/>
    </row>
    <row r="37" spans="1:10" ht="12" customHeight="1" x14ac:dyDescent="0.2">
      <c r="A37" s="36"/>
      <c r="B37" s="36"/>
      <c r="C37" s="36"/>
      <c r="D37" s="36"/>
      <c r="E37" s="39"/>
      <c r="F37" s="36"/>
      <c r="G37" s="36"/>
      <c r="H37" s="36"/>
      <c r="I37" s="36"/>
      <c r="J37" s="36"/>
    </row>
    <row r="38" spans="1:10" ht="12" customHeight="1" x14ac:dyDescent="0.2">
      <c r="A38" s="36"/>
      <c r="B38" s="36"/>
      <c r="C38" s="36"/>
      <c r="D38" s="36" t="s">
        <v>31</v>
      </c>
      <c r="E38" s="39"/>
      <c r="F38" s="36"/>
      <c r="G38" s="36"/>
      <c r="H38" s="36"/>
      <c r="I38" s="23">
        <v>1000</v>
      </c>
      <c r="J38" s="36"/>
    </row>
    <row r="39" spans="1:10" ht="12" customHeight="1" x14ac:dyDescent="0.2">
      <c r="A39" s="36"/>
      <c r="B39" s="36"/>
      <c r="C39" s="36"/>
      <c r="D39" s="36"/>
      <c r="E39" s="39"/>
      <c r="F39" s="36"/>
      <c r="G39" s="36"/>
      <c r="H39" s="36"/>
      <c r="I39" s="36"/>
      <c r="J39" s="36"/>
    </row>
    <row r="40" spans="1:10" ht="12" customHeight="1" x14ac:dyDescent="0.2">
      <c r="A40" s="36"/>
      <c r="B40" s="36"/>
      <c r="C40" s="36"/>
      <c r="D40" s="36" t="s">
        <v>32</v>
      </c>
      <c r="E40" s="39"/>
      <c r="F40" s="36"/>
      <c r="G40" s="36"/>
      <c r="H40" s="36"/>
      <c r="I40" s="11" t="s">
        <v>33</v>
      </c>
      <c r="J40" s="36"/>
    </row>
    <row r="41" spans="1:10" ht="12" customHeight="1" x14ac:dyDescent="0.2">
      <c r="A41" s="36"/>
      <c r="B41" s="36"/>
      <c r="C41" s="36"/>
      <c r="D41" s="36"/>
      <c r="E41" s="39"/>
      <c r="F41" s="36"/>
      <c r="G41" s="36"/>
      <c r="H41" s="36"/>
      <c r="I41" s="36"/>
      <c r="J41" s="36"/>
    </row>
    <row r="42" spans="1:10" ht="12" customHeight="1" x14ac:dyDescent="0.2">
      <c r="A42" s="36"/>
      <c r="B42" s="36"/>
      <c r="C42" s="36"/>
      <c r="D42" s="36" t="s">
        <v>11</v>
      </c>
      <c r="E42" s="39"/>
      <c r="F42" s="36"/>
      <c r="G42" s="36"/>
      <c r="H42" s="36"/>
      <c r="I42" s="27">
        <v>1000</v>
      </c>
      <c r="J42" s="36"/>
    </row>
    <row r="43" spans="1:10" ht="12" customHeight="1" x14ac:dyDescent="0.2">
      <c r="A43" s="36"/>
      <c r="B43" s="36"/>
      <c r="C43" s="36"/>
      <c r="D43" s="36"/>
      <c r="E43" s="39"/>
      <c r="F43" s="36"/>
      <c r="G43" s="36"/>
      <c r="H43" s="36"/>
      <c r="I43" s="36"/>
      <c r="J43" s="36"/>
    </row>
    <row r="44" spans="1:10" ht="12" customHeight="1" x14ac:dyDescent="0.25">
      <c r="A44" s="36"/>
      <c r="B44" s="36"/>
      <c r="C44" s="36"/>
      <c r="D44" s="36" t="s">
        <v>34</v>
      </c>
      <c r="E44" s="39"/>
      <c r="F44" s="36"/>
      <c r="G44" s="36"/>
      <c r="H44" s="36"/>
      <c r="I44" s="1" t="s">
        <v>33</v>
      </c>
      <c r="J44" s="36"/>
    </row>
    <row r="45" spans="1:10" ht="12" customHeight="1" x14ac:dyDescent="0.2">
      <c r="A45" s="36"/>
      <c r="B45" s="36"/>
      <c r="C45" s="36"/>
      <c r="D45" s="36"/>
      <c r="E45" s="39"/>
      <c r="F45" s="36"/>
      <c r="G45" s="36"/>
      <c r="H45" s="36"/>
      <c r="I45" s="36"/>
      <c r="J45" s="36"/>
    </row>
    <row r="46" spans="1:10" ht="12" customHeight="1" x14ac:dyDescent="0.2">
      <c r="A46" s="36"/>
      <c r="B46" s="36"/>
      <c r="C46" s="36"/>
      <c r="D46" s="36" t="s">
        <v>35</v>
      </c>
      <c r="E46" s="39"/>
      <c r="F46" s="36"/>
      <c r="G46" s="36"/>
      <c r="H46" s="36"/>
      <c r="I46" s="15" t="s">
        <v>33</v>
      </c>
      <c r="J46" s="36"/>
    </row>
    <row r="47" spans="1:10" ht="12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12" customHeight="1" x14ac:dyDescent="0.2">
      <c r="A48" s="15"/>
      <c r="B48" s="15"/>
      <c r="C48" s="15" t="s">
        <v>2</v>
      </c>
      <c r="D48" s="15"/>
      <c r="E48" s="15"/>
      <c r="F48" s="15"/>
      <c r="G48" s="15"/>
      <c r="H48" s="15"/>
      <c r="I48" s="15"/>
      <c r="J48" s="15"/>
    </row>
    <row r="49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L63"/>
  <sheetViews>
    <sheetView showGridLines="0" zoomScaleNormal="100" zoomScalePageLayoutView="85" workbookViewId="0">
      <pane ySplit="7" topLeftCell="A8" activePane="bottomLeft" state="frozen"/>
      <selection pane="bottomLeft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8" customWidth="1"/>
    <col min="4" max="4" width="40.7109375" style="18" customWidth="1"/>
    <col min="5" max="6" width="12.7109375" style="3" customWidth="1"/>
    <col min="7" max="7" width="3.7109375" style="3" customWidth="1"/>
    <col min="8" max="8" width="10.7109375" style="19" customWidth="1"/>
    <col min="9" max="9" width="12.7109375" style="3" customWidth="1"/>
    <col min="10" max="10" width="15.7109375" style="3" customWidth="1"/>
    <col min="11" max="11" width="3.7109375" style="3" customWidth="1"/>
    <col min="12" max="12" width="12.7109375" style="3" customWidth="1"/>
    <col min="13" max="16384" width="8.85546875" style="3"/>
  </cols>
  <sheetData>
    <row r="1" spans="1:12" ht="23.25" x14ac:dyDescent="0.35">
      <c r="A1" s="24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8" customHeight="1" x14ac:dyDescent="0.25">
      <c r="A3" s="6">
        <v>1</v>
      </c>
      <c r="B3" s="2"/>
      <c r="C3" s="7" t="s">
        <v>39</v>
      </c>
      <c r="D3" s="2"/>
      <c r="E3" s="2"/>
      <c r="F3" s="2"/>
      <c r="G3" s="2"/>
      <c r="H3" s="2"/>
      <c r="I3" s="2"/>
      <c r="J3" s="2"/>
      <c r="K3" s="2"/>
      <c r="L3" s="2"/>
    </row>
    <row r="4" spans="1:12" s="8" customFormat="1" ht="12" customHeight="1" x14ac:dyDescent="0.2"/>
    <row r="5" spans="1:12" s="8" customFormat="1" ht="12" customHeight="1" x14ac:dyDescent="0.2"/>
    <row r="6" spans="1:12" s="8" customFormat="1" ht="12" customHeight="1" x14ac:dyDescent="0.2"/>
    <row r="7" spans="1:12" s="8" customFormat="1" ht="12" customHeight="1" x14ac:dyDescent="0.2"/>
    <row r="8" spans="1:12" s="8" customFormat="1" ht="12" customHeight="1" x14ac:dyDescent="0.2"/>
    <row r="9" spans="1:12" s="8" customFormat="1" ht="12" customHeight="1" x14ac:dyDescent="0.2">
      <c r="F9" s="9" t="s">
        <v>0</v>
      </c>
    </row>
    <row r="10" spans="1:12" s="8" customFormat="1" ht="12" customHeight="1" x14ac:dyDescent="0.2"/>
    <row r="11" spans="1:12" ht="12" customHeight="1" x14ac:dyDescent="0.2">
      <c r="A11" s="15">
        <f>MAX(A$3:A10)+0.01</f>
        <v>1.01</v>
      </c>
      <c r="B11" s="15"/>
      <c r="C11" s="15" t="s">
        <v>39</v>
      </c>
      <c r="D11" s="15"/>
      <c r="E11" s="15"/>
      <c r="F11" s="15"/>
      <c r="G11" s="15"/>
      <c r="H11" s="15"/>
      <c r="I11" s="15"/>
      <c r="J11" s="15"/>
      <c r="K11" s="15"/>
      <c r="L11" s="15"/>
    </row>
    <row r="12" spans="1:12" s="16" customFormat="1" ht="12" customHeight="1" x14ac:dyDescent="0.2">
      <c r="A12" s="13"/>
      <c r="B12" s="13"/>
      <c r="C12" s="31"/>
      <c r="D12" s="13"/>
      <c r="E12" s="13"/>
      <c r="F12" s="14"/>
      <c r="G12" s="13"/>
      <c r="H12" s="13"/>
      <c r="I12" s="13"/>
      <c r="J12" s="13"/>
      <c r="K12" s="13"/>
      <c r="L12" s="13"/>
    </row>
    <row r="13" spans="1:12" ht="12" customHeight="1" x14ac:dyDescent="0.2">
      <c r="A13" s="8"/>
      <c r="B13" s="8"/>
      <c r="C13" s="11" t="s">
        <v>40</v>
      </c>
      <c r="D13" s="8"/>
      <c r="E13" s="17"/>
      <c r="F13" s="9"/>
      <c r="G13" s="8"/>
      <c r="H13" s="8"/>
      <c r="I13" s="8"/>
      <c r="J13" s="8"/>
      <c r="K13" s="8"/>
      <c r="L13" s="8"/>
    </row>
    <row r="14" spans="1:12" ht="12" customHeight="1" x14ac:dyDescent="0.2">
      <c r="A14" s="8"/>
      <c r="B14" s="8"/>
      <c r="C14" s="11"/>
      <c r="D14" s="8" t="s">
        <v>41</v>
      </c>
      <c r="E14" s="17"/>
      <c r="F14" s="9" t="s">
        <v>17</v>
      </c>
      <c r="G14" s="8"/>
      <c r="H14" s="8"/>
      <c r="I14" s="8"/>
      <c r="J14" s="33">
        <v>25000000</v>
      </c>
      <c r="K14" s="8"/>
      <c r="L14" s="8"/>
    </row>
    <row r="15" spans="1:12" ht="12" customHeight="1" x14ac:dyDescent="0.2">
      <c r="A15" s="8"/>
      <c r="B15" s="8"/>
      <c r="C15" s="11"/>
      <c r="D15" s="8" t="s">
        <v>44</v>
      </c>
      <c r="E15" s="17"/>
      <c r="F15" s="9" t="s">
        <v>42</v>
      </c>
      <c r="G15" s="8"/>
      <c r="H15" s="8"/>
      <c r="I15" s="8"/>
      <c r="J15" s="33">
        <v>3000000</v>
      </c>
      <c r="K15" s="8"/>
      <c r="L15" s="8"/>
    </row>
    <row r="16" spans="1:12" ht="12" customHeight="1" x14ac:dyDescent="0.2">
      <c r="A16" s="8"/>
      <c r="B16" s="8"/>
      <c r="C16" s="11"/>
      <c r="D16" s="8" t="s">
        <v>45</v>
      </c>
      <c r="E16" s="17"/>
      <c r="F16" s="9" t="s">
        <v>43</v>
      </c>
      <c r="G16" s="8"/>
      <c r="H16" s="8"/>
      <c r="I16" s="8"/>
      <c r="J16" s="21">
        <v>0.08</v>
      </c>
      <c r="K16" s="8"/>
      <c r="L16" s="8"/>
    </row>
    <row r="17" spans="1:12" ht="12" customHeight="1" x14ac:dyDescent="0.2">
      <c r="A17" s="8"/>
      <c r="B17" s="8"/>
      <c r="C17" s="11"/>
      <c r="D17" s="8"/>
      <c r="E17" s="17"/>
      <c r="F17" s="9"/>
      <c r="G17" s="8"/>
      <c r="H17" s="8"/>
      <c r="I17" s="8"/>
      <c r="J17" s="8"/>
      <c r="K17" s="8"/>
      <c r="L17" s="8"/>
    </row>
    <row r="18" spans="1:12" ht="12" customHeight="1" x14ac:dyDescent="0.2">
      <c r="A18" s="8"/>
      <c r="B18" s="8"/>
      <c r="C18" s="11" t="s">
        <v>47</v>
      </c>
      <c r="D18" s="8"/>
      <c r="E18" s="17"/>
      <c r="F18" s="9"/>
      <c r="G18" s="8"/>
      <c r="H18" s="8"/>
      <c r="I18" s="8"/>
      <c r="J18" s="8"/>
      <c r="K18" s="8"/>
      <c r="L18" s="8"/>
    </row>
    <row r="19" spans="1:12" ht="12" customHeight="1" x14ac:dyDescent="0.2">
      <c r="A19" s="8"/>
      <c r="B19" s="8"/>
      <c r="C19" s="11"/>
      <c r="D19" s="8" t="s">
        <v>48</v>
      </c>
      <c r="E19" s="17"/>
      <c r="F19" s="9" t="s">
        <v>3</v>
      </c>
      <c r="G19" s="8"/>
      <c r="H19" s="8"/>
      <c r="I19" s="8"/>
      <c r="J19" s="21">
        <v>0.6</v>
      </c>
      <c r="K19" s="8"/>
      <c r="L19" s="8"/>
    </row>
    <row r="20" spans="1:12" ht="12" customHeight="1" x14ac:dyDescent="0.2">
      <c r="A20" s="8"/>
      <c r="B20" s="8"/>
      <c r="C20" s="11"/>
      <c r="D20" s="8"/>
      <c r="E20" s="17"/>
      <c r="F20" s="9"/>
      <c r="G20" s="8"/>
      <c r="H20" s="8"/>
      <c r="I20" s="8"/>
      <c r="J20" s="8"/>
      <c r="K20" s="8"/>
      <c r="L20" s="8"/>
    </row>
    <row r="21" spans="1:12" ht="12" customHeight="1" x14ac:dyDescent="0.2">
      <c r="A21" s="8"/>
      <c r="B21" s="8"/>
      <c r="C21" s="11" t="s">
        <v>49</v>
      </c>
      <c r="D21" s="8"/>
      <c r="E21" s="17"/>
      <c r="F21" s="9"/>
      <c r="G21" s="8"/>
      <c r="H21" s="8"/>
      <c r="I21" s="8"/>
      <c r="J21" s="8"/>
      <c r="K21" s="8"/>
      <c r="L21" s="8"/>
    </row>
    <row r="22" spans="1:12" ht="12" customHeight="1" x14ac:dyDescent="0.2">
      <c r="A22" s="8"/>
      <c r="B22" s="8"/>
      <c r="C22" s="11"/>
      <c r="D22" s="8" t="s">
        <v>41</v>
      </c>
      <c r="E22" s="17"/>
      <c r="F22" s="9" t="s">
        <v>17</v>
      </c>
      <c r="G22" s="8"/>
      <c r="H22" s="8"/>
      <c r="I22" s="8"/>
      <c r="J22" s="33">
        <v>3000000</v>
      </c>
      <c r="K22" s="8"/>
      <c r="L22" s="8"/>
    </row>
    <row r="23" spans="1:12" ht="12" customHeight="1" x14ac:dyDescent="0.2">
      <c r="A23" s="8"/>
      <c r="B23" s="8"/>
      <c r="C23" s="11"/>
      <c r="D23" s="8" t="s">
        <v>50</v>
      </c>
      <c r="E23" s="17"/>
      <c r="F23" s="9" t="s">
        <v>42</v>
      </c>
      <c r="G23" s="8"/>
      <c r="H23" s="8"/>
      <c r="I23" s="8"/>
      <c r="J23" s="21">
        <v>7.0000000000000007E-2</v>
      </c>
      <c r="K23" s="8"/>
      <c r="L23" s="8"/>
    </row>
    <row r="24" spans="1:12" ht="12" customHeight="1" x14ac:dyDescent="0.2">
      <c r="A24" s="8"/>
      <c r="B24" s="8"/>
      <c r="C24" s="11"/>
      <c r="D24" s="8"/>
      <c r="E24" s="17"/>
      <c r="F24" s="9"/>
      <c r="G24" s="8"/>
      <c r="H24" s="8"/>
      <c r="I24" s="8"/>
      <c r="J24" s="8"/>
      <c r="K24" s="8"/>
      <c r="L24" s="8"/>
    </row>
    <row r="25" spans="1:12" ht="12" customHeight="1" x14ac:dyDescent="0.2">
      <c r="A25" s="8"/>
      <c r="B25" s="8"/>
      <c r="C25" s="11" t="s">
        <v>51</v>
      </c>
      <c r="D25" s="8"/>
      <c r="E25" s="17"/>
      <c r="F25" s="9"/>
      <c r="G25" s="8"/>
      <c r="H25" s="8"/>
      <c r="I25" s="8"/>
      <c r="J25" s="8"/>
      <c r="K25" s="8"/>
      <c r="L25" s="8"/>
    </row>
    <row r="26" spans="1:12" ht="12" customHeight="1" x14ac:dyDescent="0.2">
      <c r="A26" s="8"/>
      <c r="B26" s="8"/>
      <c r="C26" s="11"/>
      <c r="D26" s="8" t="s">
        <v>52</v>
      </c>
      <c r="E26" s="17"/>
      <c r="F26" s="9" t="s">
        <v>17</v>
      </c>
      <c r="G26" s="8"/>
      <c r="H26" s="8"/>
      <c r="I26" s="8"/>
      <c r="J26" s="33">
        <v>40000000</v>
      </c>
      <c r="K26" s="8"/>
      <c r="L26" s="8"/>
    </row>
    <row r="27" spans="1:12" ht="12" customHeight="1" x14ac:dyDescent="0.2">
      <c r="A27" s="8"/>
      <c r="B27" s="8"/>
      <c r="C27" s="11"/>
      <c r="D27" s="8" t="s">
        <v>53</v>
      </c>
      <c r="E27" s="17"/>
      <c r="F27" s="9" t="s">
        <v>13</v>
      </c>
      <c r="G27" s="8"/>
      <c r="H27" s="8"/>
      <c r="I27" s="8"/>
      <c r="J27" s="33">
        <v>10</v>
      </c>
      <c r="K27" s="8"/>
      <c r="L27" s="8"/>
    </row>
    <row r="28" spans="1:12" ht="12" customHeight="1" x14ac:dyDescent="0.2">
      <c r="A28" s="8"/>
      <c r="B28" s="8"/>
      <c r="C28" s="11"/>
      <c r="D28" s="8"/>
      <c r="E28" s="17"/>
      <c r="F28" s="9"/>
      <c r="G28" s="8"/>
      <c r="H28" s="8"/>
      <c r="I28" s="8"/>
      <c r="J28" s="8"/>
      <c r="K28" s="8"/>
      <c r="L28" s="8"/>
    </row>
    <row r="29" spans="1:12" ht="12" customHeight="1" x14ac:dyDescent="0.2">
      <c r="A29" s="8"/>
      <c r="B29" s="8"/>
      <c r="C29" s="11" t="s">
        <v>54</v>
      </c>
      <c r="D29" s="8"/>
      <c r="E29" s="17"/>
      <c r="F29" s="9"/>
      <c r="G29" s="8"/>
      <c r="H29" s="8"/>
      <c r="I29" s="8"/>
      <c r="J29" s="8"/>
      <c r="K29" s="8"/>
      <c r="L29" s="8"/>
    </row>
    <row r="30" spans="1:12" ht="12" customHeight="1" x14ac:dyDescent="0.2">
      <c r="A30" s="8"/>
      <c r="B30" s="8"/>
      <c r="C30" s="11"/>
      <c r="D30" s="8" t="s">
        <v>52</v>
      </c>
      <c r="E30" s="17"/>
      <c r="F30" s="9" t="s">
        <v>17</v>
      </c>
      <c r="G30" s="8"/>
      <c r="H30" s="8"/>
      <c r="I30" s="8"/>
      <c r="J30" s="33">
        <v>10000000</v>
      </c>
      <c r="K30" s="8"/>
      <c r="L30" s="8"/>
    </row>
    <row r="31" spans="1:12" ht="12" customHeight="1" x14ac:dyDescent="0.2">
      <c r="A31" s="8"/>
      <c r="B31" s="8"/>
      <c r="C31" s="11"/>
      <c r="D31" s="8" t="s">
        <v>53</v>
      </c>
      <c r="E31" s="17"/>
      <c r="F31" s="9" t="s">
        <v>13</v>
      </c>
      <c r="G31" s="8"/>
      <c r="H31" s="8"/>
      <c r="I31" s="8"/>
      <c r="J31" s="33">
        <v>5</v>
      </c>
      <c r="K31" s="8"/>
      <c r="L31" s="8"/>
    </row>
    <row r="32" spans="1:12" ht="12" customHeight="1" x14ac:dyDescent="0.2">
      <c r="A32" s="8"/>
      <c r="B32" s="8"/>
      <c r="C32" s="11"/>
      <c r="D32" s="8" t="s">
        <v>55</v>
      </c>
      <c r="E32" s="17"/>
      <c r="F32" s="9" t="s">
        <v>67</v>
      </c>
      <c r="G32" s="8"/>
      <c r="H32" s="8"/>
      <c r="I32" s="8"/>
      <c r="J32" s="33">
        <v>4</v>
      </c>
      <c r="K32" s="8"/>
      <c r="L32" s="8"/>
    </row>
    <row r="33" spans="1:12" ht="12" customHeight="1" x14ac:dyDescent="0.2">
      <c r="A33" s="8"/>
      <c r="B33" s="8"/>
      <c r="C33" s="11"/>
      <c r="D33" s="8" t="s">
        <v>56</v>
      </c>
      <c r="E33" s="17"/>
      <c r="F33" s="9" t="s">
        <v>3</v>
      </c>
      <c r="G33" s="8"/>
      <c r="H33" s="8"/>
      <c r="I33" s="8"/>
      <c r="J33" s="21">
        <v>0.9</v>
      </c>
      <c r="K33" s="8"/>
      <c r="L33" s="8"/>
    </row>
    <row r="34" spans="1:12" ht="12" customHeight="1" x14ac:dyDescent="0.2">
      <c r="A34" s="8"/>
      <c r="B34" s="8"/>
      <c r="C34" s="11"/>
      <c r="D34" s="8"/>
      <c r="E34" s="17"/>
      <c r="F34" s="9"/>
      <c r="G34" s="8"/>
      <c r="H34" s="8"/>
      <c r="I34" s="8"/>
      <c r="J34" s="8"/>
      <c r="K34" s="8"/>
      <c r="L34" s="8"/>
    </row>
    <row r="35" spans="1:12" ht="12" customHeight="1" x14ac:dyDescent="0.2">
      <c r="A35" s="8"/>
      <c r="B35" s="8"/>
      <c r="C35" s="11" t="s">
        <v>12</v>
      </c>
      <c r="D35" s="8"/>
      <c r="E35" s="17"/>
      <c r="F35" s="9"/>
      <c r="G35" s="8"/>
      <c r="H35" s="8"/>
      <c r="I35" s="8"/>
      <c r="J35" s="8"/>
      <c r="K35" s="8"/>
      <c r="L35" s="8"/>
    </row>
    <row r="36" spans="1:12" ht="12" customHeight="1" x14ac:dyDescent="0.2">
      <c r="A36" s="8"/>
      <c r="B36" s="8"/>
      <c r="C36" s="11"/>
      <c r="D36" s="8" t="s">
        <v>10</v>
      </c>
      <c r="E36" s="17"/>
      <c r="F36" s="9" t="s">
        <v>68</v>
      </c>
      <c r="G36" s="8"/>
      <c r="H36" s="8"/>
      <c r="I36" s="8"/>
      <c r="J36" s="21">
        <v>0.1</v>
      </c>
      <c r="K36" s="8"/>
      <c r="L36" s="8"/>
    </row>
    <row r="37" spans="1:12" ht="12" customHeight="1" x14ac:dyDescent="0.2">
      <c r="A37" s="8"/>
      <c r="B37" s="8"/>
      <c r="C37" s="11"/>
      <c r="D37" s="8" t="s">
        <v>5</v>
      </c>
      <c r="E37" s="17"/>
      <c r="F37" s="9" t="s">
        <v>69</v>
      </c>
      <c r="G37" s="8"/>
      <c r="H37" s="8"/>
      <c r="I37" s="8"/>
      <c r="J37" s="21">
        <v>0.3</v>
      </c>
      <c r="K37" s="8"/>
      <c r="L37" s="8"/>
    </row>
    <row r="38" spans="1:12" ht="12" customHeight="1" x14ac:dyDescent="0.2">
      <c r="A38" s="8"/>
      <c r="B38" s="8"/>
      <c r="C38" s="11"/>
      <c r="D38" s="8" t="s">
        <v>57</v>
      </c>
      <c r="E38" s="17"/>
      <c r="F38" s="9" t="s">
        <v>69</v>
      </c>
      <c r="G38" s="8"/>
      <c r="H38" s="8"/>
      <c r="I38" s="8"/>
      <c r="J38" s="21">
        <v>0.12</v>
      </c>
      <c r="K38" s="8"/>
      <c r="L38" s="8"/>
    </row>
    <row r="39" spans="1:12" ht="12" customHeight="1" x14ac:dyDescent="0.2">
      <c r="A39" s="8"/>
      <c r="B39" s="8"/>
      <c r="C39" s="11"/>
      <c r="D39" s="8" t="s">
        <v>58</v>
      </c>
      <c r="E39" s="17"/>
      <c r="F39" s="9" t="s">
        <v>70</v>
      </c>
      <c r="G39" s="8"/>
      <c r="H39" s="8"/>
      <c r="I39" s="8"/>
      <c r="J39" s="21">
        <v>0.15</v>
      </c>
      <c r="K39" s="8"/>
      <c r="L39" s="8"/>
    </row>
    <row r="40" spans="1:12" ht="12" customHeight="1" x14ac:dyDescent="0.2">
      <c r="A40" s="8"/>
      <c r="B40" s="8"/>
      <c r="C40" s="11"/>
      <c r="D40" s="8"/>
      <c r="E40" s="17"/>
      <c r="F40" s="9"/>
      <c r="G40" s="8"/>
      <c r="H40" s="8"/>
      <c r="I40" s="8"/>
      <c r="J40" s="8"/>
      <c r="K40" s="8"/>
      <c r="L40" s="8"/>
    </row>
    <row r="41" spans="1:12" ht="12" customHeight="1" x14ac:dyDescent="0.2">
      <c r="A41" s="8"/>
      <c r="B41" s="8"/>
      <c r="C41" s="11" t="s">
        <v>59</v>
      </c>
      <c r="D41" s="8"/>
      <c r="E41" s="17"/>
      <c r="F41" s="9"/>
      <c r="G41" s="8"/>
      <c r="H41" s="8"/>
      <c r="I41" s="8"/>
      <c r="J41" s="8"/>
      <c r="K41" s="8"/>
      <c r="L41" s="8"/>
    </row>
    <row r="42" spans="1:12" ht="12" customHeight="1" x14ac:dyDescent="0.2">
      <c r="A42" s="8"/>
      <c r="B42" s="8"/>
      <c r="C42" s="11"/>
      <c r="D42" s="8" t="s">
        <v>60</v>
      </c>
      <c r="E42" s="17"/>
      <c r="F42" s="9" t="s">
        <v>43</v>
      </c>
      <c r="G42" s="8"/>
      <c r="H42" s="8"/>
      <c r="I42" s="8"/>
      <c r="J42" s="21">
        <v>6.5000000000000002E-2</v>
      </c>
      <c r="K42" s="8"/>
      <c r="L42" s="8"/>
    </row>
    <row r="43" spans="1:12" ht="12" customHeight="1" x14ac:dyDescent="0.2">
      <c r="A43" s="8"/>
      <c r="B43" s="8"/>
      <c r="C43" s="11"/>
      <c r="D43" s="8" t="s">
        <v>61</v>
      </c>
      <c r="E43" s="17"/>
      <c r="F43" s="9" t="s">
        <v>17</v>
      </c>
      <c r="G43" s="8"/>
      <c r="H43" s="8"/>
      <c r="I43" s="8"/>
      <c r="J43" s="33">
        <v>20000000</v>
      </c>
      <c r="K43" s="8"/>
      <c r="L43" s="8"/>
    </row>
    <row r="44" spans="1:12" ht="12" customHeight="1" x14ac:dyDescent="0.2">
      <c r="A44" s="8"/>
      <c r="B44" s="8"/>
      <c r="C44" s="11"/>
      <c r="D44" s="8" t="s">
        <v>62</v>
      </c>
      <c r="E44" s="17"/>
      <c r="F44" s="9" t="s">
        <v>42</v>
      </c>
      <c r="G44" s="8"/>
      <c r="H44" s="8"/>
      <c r="I44" s="8"/>
      <c r="J44" s="33">
        <v>2500000</v>
      </c>
      <c r="K44" s="8"/>
      <c r="L44" s="8"/>
    </row>
    <row r="45" spans="1:12" ht="12" customHeight="1" x14ac:dyDescent="0.2">
      <c r="A45" s="8"/>
      <c r="B45" s="8"/>
      <c r="C45" s="11"/>
      <c r="D45" s="8"/>
      <c r="E45" s="17"/>
      <c r="F45" s="9"/>
      <c r="G45" s="8"/>
      <c r="H45" s="8"/>
      <c r="I45" s="8"/>
      <c r="J45" s="8"/>
      <c r="K45" s="8"/>
      <c r="L45" s="8"/>
    </row>
    <row r="46" spans="1:12" ht="12" customHeight="1" x14ac:dyDescent="0.2">
      <c r="A46" s="8"/>
      <c r="B46" s="8"/>
      <c r="C46" s="11" t="s">
        <v>63</v>
      </c>
      <c r="D46" s="8"/>
      <c r="E46" s="17"/>
      <c r="F46" s="9"/>
      <c r="G46" s="8"/>
      <c r="H46" s="8"/>
      <c r="I46" s="8"/>
      <c r="J46" s="8"/>
      <c r="K46" s="8"/>
      <c r="L46" s="8"/>
    </row>
    <row r="47" spans="1:12" ht="12" customHeight="1" x14ac:dyDescent="0.2">
      <c r="A47" s="8"/>
      <c r="B47" s="8"/>
      <c r="C47" s="11"/>
      <c r="D47" s="8" t="s">
        <v>64</v>
      </c>
      <c r="E47" s="17"/>
      <c r="F47" s="9" t="s">
        <v>17</v>
      </c>
      <c r="G47" s="8"/>
      <c r="H47" s="8"/>
      <c r="I47" s="8"/>
      <c r="J47" s="33">
        <v>30000000</v>
      </c>
      <c r="K47" s="8"/>
      <c r="L47" s="8"/>
    </row>
    <row r="48" spans="1:12" ht="12" customHeight="1" x14ac:dyDescent="0.2">
      <c r="A48" s="8"/>
      <c r="B48" s="8"/>
      <c r="C48" s="11"/>
      <c r="D48" s="8" t="s">
        <v>65</v>
      </c>
      <c r="E48" s="17"/>
      <c r="F48" s="9" t="s">
        <v>17</v>
      </c>
      <c r="G48" s="8"/>
      <c r="H48" s="8"/>
      <c r="I48" s="8"/>
      <c r="J48" s="34">
        <v>0</v>
      </c>
      <c r="K48" s="8"/>
      <c r="L48" s="8"/>
    </row>
    <row r="49" spans="1:12" ht="12" customHeight="1" x14ac:dyDescent="0.2">
      <c r="A49" s="8"/>
      <c r="B49" s="8"/>
      <c r="C49" s="11"/>
      <c r="D49" s="8" t="s">
        <v>66</v>
      </c>
      <c r="E49" s="17"/>
      <c r="F49" s="9" t="s">
        <v>67</v>
      </c>
      <c r="G49" s="8"/>
      <c r="H49" s="8"/>
      <c r="I49" s="8"/>
      <c r="J49" s="8">
        <f>J32</f>
        <v>4</v>
      </c>
      <c r="K49" s="8"/>
      <c r="L49" s="8"/>
    </row>
    <row r="50" spans="1:12" ht="12" customHeight="1" x14ac:dyDescent="0.2">
      <c r="A50" s="8"/>
      <c r="B50" s="8"/>
      <c r="C50" s="11"/>
      <c r="D50" s="8"/>
      <c r="E50" s="17"/>
      <c r="F50" s="9"/>
      <c r="G50" s="8"/>
      <c r="H50" s="8"/>
      <c r="I50" s="8"/>
      <c r="J50" s="8"/>
      <c r="K50" s="8"/>
      <c r="L50" s="8"/>
    </row>
    <row r="51" spans="1:12" ht="12" customHeight="1" x14ac:dyDescent="0.2">
      <c r="A51" s="8"/>
      <c r="B51" s="8"/>
      <c r="C51" s="11" t="s">
        <v>71</v>
      </c>
      <c r="D51" s="8"/>
      <c r="E51" s="17"/>
      <c r="F51" s="9"/>
      <c r="G51" s="8"/>
      <c r="H51" s="8"/>
      <c r="I51" s="8"/>
      <c r="J51" s="8"/>
      <c r="K51" s="8"/>
      <c r="L51" s="8"/>
    </row>
    <row r="52" spans="1:12" ht="12" customHeight="1" x14ac:dyDescent="0.2">
      <c r="A52" s="8"/>
      <c r="B52" s="8"/>
      <c r="C52" s="11"/>
      <c r="D52" s="8" t="s">
        <v>72</v>
      </c>
      <c r="E52" s="17"/>
      <c r="F52" s="9" t="s">
        <v>17</v>
      </c>
      <c r="G52" s="8"/>
      <c r="H52" s="8"/>
      <c r="I52" s="8"/>
      <c r="J52" s="33">
        <v>4000000</v>
      </c>
      <c r="K52" s="8"/>
      <c r="L52" s="8"/>
    </row>
    <row r="53" spans="1:12" ht="12" customHeight="1" x14ac:dyDescent="0.2">
      <c r="A53" s="8"/>
      <c r="B53" s="8"/>
      <c r="C53" s="11"/>
      <c r="D53" s="8"/>
      <c r="E53" s="17"/>
      <c r="F53" s="9"/>
      <c r="G53" s="8"/>
      <c r="H53" s="8"/>
      <c r="I53" s="8"/>
      <c r="J53" s="8"/>
      <c r="K53" s="8"/>
      <c r="L53" s="8"/>
    </row>
    <row r="54" spans="1:12" ht="12" customHeight="1" x14ac:dyDescent="0.2">
      <c r="A54" s="8"/>
      <c r="B54" s="8"/>
      <c r="C54" s="11" t="s">
        <v>73</v>
      </c>
      <c r="D54" s="8"/>
      <c r="E54" s="17"/>
      <c r="F54" s="9"/>
      <c r="G54" s="8"/>
      <c r="H54" s="8"/>
      <c r="I54" s="8"/>
      <c r="J54" s="8"/>
      <c r="K54" s="8"/>
      <c r="L54" s="8"/>
    </row>
    <row r="55" spans="1:12" ht="12" customHeight="1" x14ac:dyDescent="0.2">
      <c r="A55" s="8"/>
      <c r="B55" s="8"/>
      <c r="C55" s="11"/>
      <c r="D55" s="8" t="s">
        <v>74</v>
      </c>
      <c r="E55" s="17"/>
      <c r="F55" s="9" t="s">
        <v>17</v>
      </c>
      <c r="G55" s="8"/>
      <c r="H55" s="8"/>
      <c r="I55" s="8"/>
      <c r="J55" s="33">
        <v>3000000</v>
      </c>
      <c r="K55" s="8"/>
      <c r="L55" s="8"/>
    </row>
    <row r="56" spans="1:12" ht="12" customHeight="1" x14ac:dyDescent="0.2">
      <c r="A56" s="8"/>
      <c r="B56" s="8"/>
      <c r="C56" s="11"/>
      <c r="D56" s="8" t="s">
        <v>10</v>
      </c>
      <c r="E56" s="17"/>
      <c r="F56" s="9" t="s">
        <v>17</v>
      </c>
      <c r="G56" s="8"/>
      <c r="H56" s="8"/>
      <c r="I56" s="8"/>
      <c r="J56" s="33">
        <v>3000000</v>
      </c>
      <c r="K56" s="8"/>
      <c r="L56" s="8"/>
    </row>
    <row r="57" spans="1:12" ht="12" customHeight="1" x14ac:dyDescent="0.2">
      <c r="A57" s="8"/>
      <c r="B57" s="8"/>
      <c r="C57" s="11"/>
      <c r="D57" s="8" t="s">
        <v>5</v>
      </c>
      <c r="E57" s="17"/>
      <c r="F57" s="9" t="s">
        <v>17</v>
      </c>
      <c r="G57" s="8"/>
      <c r="H57" s="8"/>
      <c r="I57" s="8"/>
      <c r="J57" s="33">
        <v>4000000</v>
      </c>
      <c r="K57" s="8"/>
      <c r="L57" s="8"/>
    </row>
    <row r="58" spans="1:12" ht="12" customHeight="1" x14ac:dyDescent="0.2">
      <c r="A58" s="8"/>
      <c r="B58" s="8"/>
      <c r="C58" s="11"/>
      <c r="D58" s="8" t="s">
        <v>75</v>
      </c>
      <c r="E58" s="17"/>
      <c r="F58" s="9" t="s">
        <v>17</v>
      </c>
      <c r="G58" s="8"/>
      <c r="H58" s="8"/>
      <c r="I58" s="8"/>
      <c r="J58" s="8">
        <f>J26</f>
        <v>40000000</v>
      </c>
      <c r="K58" s="8"/>
      <c r="L58" s="8"/>
    </row>
    <row r="59" spans="1:12" ht="12" customHeight="1" x14ac:dyDescent="0.2">
      <c r="A59" s="8"/>
      <c r="B59" s="8"/>
      <c r="C59" s="11"/>
      <c r="D59" s="8"/>
      <c r="E59" s="17"/>
      <c r="F59" s="9"/>
      <c r="G59" s="8"/>
      <c r="H59" s="8"/>
      <c r="I59" s="8"/>
      <c r="J59" s="8"/>
      <c r="K59" s="8"/>
      <c r="L59" s="8"/>
    </row>
    <row r="60" spans="1:12" ht="12" customHeight="1" x14ac:dyDescent="0.2">
      <c r="A60" s="8"/>
      <c r="B60" s="8"/>
      <c r="C60" s="11"/>
      <c r="D60" s="8"/>
      <c r="E60" s="8"/>
      <c r="F60" s="9"/>
      <c r="G60" s="8"/>
      <c r="H60" s="8"/>
      <c r="I60" s="8"/>
      <c r="J60" s="8"/>
      <c r="K60" s="8"/>
      <c r="L60" s="8"/>
    </row>
    <row r="61" spans="1:12" ht="12" customHeight="1" x14ac:dyDescent="0.2">
      <c r="A61" s="8"/>
      <c r="B61" s="8"/>
      <c r="C61" s="11"/>
      <c r="D61" s="8"/>
      <c r="E61" s="8"/>
      <c r="F61" s="9"/>
      <c r="G61" s="8"/>
      <c r="H61" s="8"/>
      <c r="I61" s="8"/>
      <c r="J61" s="8"/>
      <c r="K61" s="8"/>
      <c r="L61" s="8"/>
    </row>
    <row r="62" spans="1:12" ht="12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  <outlinePr summaryBelow="0"/>
  </sheetPr>
  <dimension ref="A1:W124"/>
  <sheetViews>
    <sheetView showGridLines="0" zoomScaleNormal="100" zoomScalePageLayoutView="85" workbookViewId="0">
      <pane xSplit="9" ySplit="8" topLeftCell="J9" activePane="bottomRight" state="frozen"/>
      <selection pane="topRight" activeCell="J1" sqref="J1"/>
      <selection pane="bottomLeft" activeCell="A9" sqref="A9"/>
      <selection pane="bottomRight" activeCell="E38" sqref="E38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8" customWidth="1"/>
    <col min="4" max="4" width="40.7109375" style="18" customWidth="1"/>
    <col min="5" max="6" width="12.7109375" style="3" customWidth="1"/>
    <col min="7" max="7" width="3.7109375" style="3" customWidth="1"/>
    <col min="8" max="8" width="10.7109375" style="19" customWidth="1"/>
    <col min="9" max="9" width="12.7109375" style="3" customWidth="1"/>
    <col min="10" max="10" width="15.7109375" style="3" customWidth="1"/>
    <col min="11" max="11" width="3.7109375" style="3" customWidth="1"/>
    <col min="12" max="23" width="12.7109375" style="3" customWidth="1"/>
    <col min="24" max="16384" width="8.85546875" style="3"/>
  </cols>
  <sheetData>
    <row r="1" spans="1:23" ht="23.25" x14ac:dyDescent="0.35">
      <c r="A1" s="24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8" customHeight="1" x14ac:dyDescent="0.25">
      <c r="A3" s="6">
        <v>2</v>
      </c>
      <c r="B3" s="2"/>
      <c r="C3" s="7" t="s">
        <v>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s="8" customFormat="1" ht="12" customHeight="1" x14ac:dyDescent="0.2">
      <c r="H4" s="9"/>
    </row>
    <row r="5" spans="1:23" s="8" customFormat="1" ht="12" customHeight="1" x14ac:dyDescent="0.2">
      <c r="H5" s="9"/>
    </row>
    <row r="6" spans="1:23" s="8" customFormat="1" ht="12" customHeight="1" x14ac:dyDescent="0.25">
      <c r="D6" s="10"/>
      <c r="E6" s="11" t="s">
        <v>18</v>
      </c>
      <c r="H6" s="9"/>
      <c r="L6" s="12"/>
      <c r="M6" s="43"/>
      <c r="N6" s="12">
        <f t="shared" ref="N6:W6" si="0">M7+1</f>
        <v>42370</v>
      </c>
      <c r="O6" s="28">
        <f t="shared" si="0"/>
        <v>42736</v>
      </c>
      <c r="P6" s="12">
        <f t="shared" si="0"/>
        <v>43101</v>
      </c>
      <c r="Q6" s="12">
        <f t="shared" si="0"/>
        <v>43466</v>
      </c>
      <c r="R6" s="12">
        <f t="shared" si="0"/>
        <v>43831</v>
      </c>
      <c r="S6" s="12">
        <f t="shared" si="0"/>
        <v>44197</v>
      </c>
      <c r="T6" s="12">
        <f t="shared" si="0"/>
        <v>44562</v>
      </c>
      <c r="U6" s="12">
        <f t="shared" si="0"/>
        <v>44927</v>
      </c>
      <c r="V6" s="12">
        <f t="shared" si="0"/>
        <v>45292</v>
      </c>
      <c r="W6" s="12">
        <f t="shared" si="0"/>
        <v>45658</v>
      </c>
    </row>
    <row r="7" spans="1:23" s="8" customFormat="1" ht="12" customHeight="1" x14ac:dyDescent="0.25">
      <c r="D7" s="10"/>
      <c r="E7" s="11" t="s">
        <v>19</v>
      </c>
      <c r="H7" s="9" t="s">
        <v>0</v>
      </c>
      <c r="J7" s="8" t="s">
        <v>1</v>
      </c>
      <c r="L7" s="12"/>
      <c r="M7" s="43">
        <v>42369</v>
      </c>
      <c r="N7" s="12">
        <f t="shared" ref="N7:W7" si="1">EOMONTH(M7,12)</f>
        <v>42735</v>
      </c>
      <c r="O7" s="28">
        <f t="shared" si="1"/>
        <v>43100</v>
      </c>
      <c r="P7" s="12">
        <f t="shared" si="1"/>
        <v>43465</v>
      </c>
      <c r="Q7" s="12">
        <f t="shared" si="1"/>
        <v>43830</v>
      </c>
      <c r="R7" s="12">
        <f t="shared" si="1"/>
        <v>44196</v>
      </c>
      <c r="S7" s="12">
        <f t="shared" si="1"/>
        <v>44561</v>
      </c>
      <c r="T7" s="12">
        <f t="shared" si="1"/>
        <v>44926</v>
      </c>
      <c r="U7" s="12">
        <f t="shared" si="1"/>
        <v>45291</v>
      </c>
      <c r="V7" s="12">
        <f t="shared" si="1"/>
        <v>45657</v>
      </c>
      <c r="W7" s="12">
        <f t="shared" si="1"/>
        <v>46022</v>
      </c>
    </row>
    <row r="8" spans="1:23" s="8" customFormat="1" ht="12" customHeight="1" x14ac:dyDescent="0.2">
      <c r="E8" s="11" t="s">
        <v>77</v>
      </c>
      <c r="H8" s="9"/>
      <c r="M8" s="8">
        <v>0</v>
      </c>
      <c r="N8" s="8">
        <f t="shared" ref="N8:W8" si="2">M8+1</f>
        <v>1</v>
      </c>
      <c r="O8" s="13">
        <f t="shared" si="2"/>
        <v>2</v>
      </c>
      <c r="P8" s="8">
        <f t="shared" si="2"/>
        <v>3</v>
      </c>
      <c r="Q8" s="8">
        <f t="shared" si="2"/>
        <v>4</v>
      </c>
      <c r="R8" s="8">
        <f t="shared" si="2"/>
        <v>5</v>
      </c>
      <c r="S8" s="8">
        <f t="shared" si="2"/>
        <v>6</v>
      </c>
      <c r="T8" s="8">
        <f t="shared" si="2"/>
        <v>7</v>
      </c>
      <c r="U8" s="8">
        <f t="shared" si="2"/>
        <v>8</v>
      </c>
      <c r="V8" s="8">
        <f t="shared" si="2"/>
        <v>9</v>
      </c>
      <c r="W8" s="8">
        <f t="shared" si="2"/>
        <v>10</v>
      </c>
    </row>
    <row r="9" spans="1:23" s="8" customFormat="1" ht="12" customHeight="1" x14ac:dyDescent="0.2">
      <c r="E9" s="11"/>
      <c r="H9" s="9"/>
      <c r="O9" s="13"/>
    </row>
    <row r="10" spans="1:23" s="8" customFormat="1" ht="12" customHeight="1" x14ac:dyDescent="0.2">
      <c r="E10" s="11"/>
      <c r="H10" s="9"/>
      <c r="L10" s="22"/>
      <c r="M10" s="22"/>
      <c r="N10" s="22"/>
      <c r="O10" s="29"/>
      <c r="P10" s="22"/>
      <c r="Q10" s="22"/>
      <c r="R10" s="22"/>
      <c r="S10" s="22"/>
      <c r="T10" s="22"/>
      <c r="U10" s="22"/>
      <c r="V10" s="22"/>
      <c r="W10" s="22"/>
    </row>
    <row r="11" spans="1:23" ht="12" customHeight="1" x14ac:dyDescent="0.2">
      <c r="A11" s="15">
        <f>MAX(A$3:A10)+0.01</f>
        <v>2.0099999999999998</v>
      </c>
      <c r="B11" s="15"/>
      <c r="C11" s="15" t="s">
        <v>78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30"/>
      <c r="P11" s="15"/>
      <c r="Q11" s="15"/>
      <c r="R11" s="15"/>
      <c r="S11" s="15"/>
      <c r="T11" s="15"/>
      <c r="U11" s="15"/>
      <c r="V11" s="15"/>
      <c r="W11" s="15"/>
    </row>
    <row r="12" spans="1:23" s="16" customFormat="1" ht="12" customHeight="1" x14ac:dyDescent="0.2">
      <c r="A12" s="13"/>
      <c r="B12" s="13"/>
      <c r="C12" s="31"/>
      <c r="D12" s="13"/>
      <c r="E12" s="13"/>
      <c r="F12" s="13"/>
      <c r="G12" s="13"/>
      <c r="H12" s="14"/>
      <c r="I12" s="37"/>
      <c r="J12" s="37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2" customHeight="1" x14ac:dyDescent="0.2">
      <c r="A13" s="8"/>
      <c r="B13" s="8"/>
      <c r="C13" s="11"/>
      <c r="D13" s="8"/>
      <c r="E13" s="17"/>
      <c r="F13" s="8"/>
      <c r="G13" s="8"/>
      <c r="H13" s="9"/>
      <c r="I13" s="36"/>
      <c r="J13" s="36"/>
      <c r="K13" s="8"/>
      <c r="L13" s="8"/>
      <c r="M13" s="8"/>
      <c r="N13" s="8"/>
      <c r="O13" s="13"/>
      <c r="P13" s="8"/>
      <c r="Q13" s="8"/>
      <c r="R13" s="8"/>
      <c r="S13" s="8"/>
      <c r="T13" s="8"/>
      <c r="U13" s="8"/>
      <c r="V13" s="8"/>
      <c r="W13" s="8"/>
    </row>
    <row r="14" spans="1:23" ht="12" customHeight="1" x14ac:dyDescent="0.2">
      <c r="A14" s="8"/>
      <c r="B14" s="8"/>
      <c r="C14" s="11"/>
      <c r="D14" s="8" t="s">
        <v>40</v>
      </c>
      <c r="E14" s="17"/>
      <c r="F14" s="8"/>
      <c r="G14" s="8"/>
      <c r="H14" s="9" t="s">
        <v>17</v>
      </c>
      <c r="I14" s="36"/>
      <c r="J14" s="36"/>
      <c r="K14" s="8"/>
      <c r="L14" s="8"/>
      <c r="M14" s="8"/>
      <c r="N14" s="34">
        <v>0</v>
      </c>
      <c r="O14" s="35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</row>
    <row r="15" spans="1:23" ht="12" customHeight="1" x14ac:dyDescent="0.2">
      <c r="A15" s="8"/>
      <c r="B15" s="8"/>
      <c r="C15" s="11"/>
      <c r="D15" s="8"/>
      <c r="E15" s="17"/>
      <c r="F15" s="8"/>
      <c r="G15" s="8"/>
      <c r="H15" s="9"/>
      <c r="I15" s="36"/>
      <c r="J15" s="36"/>
      <c r="K15" s="8"/>
      <c r="L15" s="8"/>
      <c r="M15" s="8"/>
      <c r="N15" s="8"/>
      <c r="O15" s="13"/>
      <c r="P15" s="8"/>
      <c r="Q15" s="8"/>
      <c r="R15" s="8"/>
      <c r="S15" s="8"/>
      <c r="T15" s="8"/>
      <c r="U15" s="8"/>
      <c r="V15" s="8"/>
      <c r="W15" s="8"/>
    </row>
    <row r="16" spans="1:23" ht="12" customHeight="1" x14ac:dyDescent="0.2">
      <c r="A16" s="8"/>
      <c r="B16" s="8"/>
      <c r="C16" s="11"/>
      <c r="D16" s="8" t="s">
        <v>46</v>
      </c>
      <c r="E16" s="17"/>
      <c r="F16" s="8"/>
      <c r="G16" s="8"/>
      <c r="H16" s="9" t="s">
        <v>17</v>
      </c>
      <c r="I16" s="36"/>
      <c r="J16" s="36"/>
      <c r="K16" s="8"/>
      <c r="L16" s="8"/>
      <c r="M16" s="8"/>
      <c r="N16" s="34">
        <v>0</v>
      </c>
      <c r="O16" s="35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</row>
    <row r="17" spans="1:23" ht="12" customHeight="1" x14ac:dyDescent="0.2">
      <c r="A17" s="8"/>
      <c r="B17" s="8"/>
      <c r="C17" s="11"/>
      <c r="D17" s="8" t="s">
        <v>49</v>
      </c>
      <c r="E17" s="17"/>
      <c r="F17" s="8"/>
      <c r="G17" s="8"/>
      <c r="H17" s="9" t="s">
        <v>17</v>
      </c>
      <c r="I17" s="36"/>
      <c r="J17" s="36"/>
      <c r="K17" s="8"/>
      <c r="L17" s="8"/>
      <c r="M17" s="8"/>
      <c r="N17" s="34">
        <v>0</v>
      </c>
      <c r="O17" s="35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</row>
    <row r="18" spans="1:23" ht="12" customHeight="1" x14ac:dyDescent="0.2">
      <c r="A18" s="8"/>
      <c r="B18" s="8"/>
      <c r="C18" s="11"/>
      <c r="D18" s="8"/>
      <c r="E18" s="17"/>
      <c r="F18" s="8"/>
      <c r="G18" s="8"/>
      <c r="H18" s="9"/>
      <c r="I18" s="36"/>
      <c r="J18" s="36"/>
      <c r="K18" s="8"/>
      <c r="L18" s="8"/>
      <c r="M18" s="8"/>
      <c r="N18" s="8"/>
      <c r="O18" s="13"/>
      <c r="P18" s="8"/>
      <c r="Q18" s="8"/>
      <c r="R18" s="8"/>
      <c r="S18" s="8"/>
      <c r="T18" s="8"/>
      <c r="U18" s="8"/>
      <c r="V18" s="8"/>
      <c r="W18" s="8"/>
    </row>
    <row r="19" spans="1:23" ht="12" customHeight="1" x14ac:dyDescent="0.2">
      <c r="A19" s="8"/>
      <c r="B19" s="8"/>
      <c r="C19" s="11"/>
      <c r="D19" s="11" t="s">
        <v>79</v>
      </c>
      <c r="E19" s="17"/>
      <c r="F19" s="8"/>
      <c r="G19" s="8"/>
      <c r="H19" s="9" t="s">
        <v>17</v>
      </c>
      <c r="I19" s="36"/>
      <c r="J19" s="36"/>
      <c r="K19" s="8"/>
      <c r="L19" s="8"/>
      <c r="M19" s="8"/>
      <c r="N19" s="44">
        <v>0</v>
      </c>
      <c r="O19" s="45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</row>
    <row r="20" spans="1:23" ht="12" customHeight="1" x14ac:dyDescent="0.2">
      <c r="A20" s="8"/>
      <c r="B20" s="8"/>
      <c r="C20" s="11"/>
      <c r="D20" s="8"/>
      <c r="E20" s="17"/>
      <c r="F20" s="8"/>
      <c r="G20" s="8"/>
      <c r="H20" s="9"/>
      <c r="I20" s="36"/>
      <c r="J20" s="36"/>
      <c r="K20" s="8"/>
      <c r="L20" s="8"/>
      <c r="M20" s="8"/>
      <c r="N20" s="8"/>
      <c r="O20" s="13"/>
      <c r="P20" s="8"/>
      <c r="Q20" s="8"/>
      <c r="R20" s="8"/>
      <c r="S20" s="8"/>
      <c r="T20" s="8"/>
      <c r="U20" s="8"/>
      <c r="V20" s="8"/>
      <c r="W20" s="8"/>
    </row>
    <row r="21" spans="1:23" ht="12" customHeight="1" x14ac:dyDescent="0.2">
      <c r="A21" s="8"/>
      <c r="B21" s="8"/>
      <c r="C21" s="11"/>
      <c r="D21" s="8" t="s">
        <v>80</v>
      </c>
      <c r="E21" s="17"/>
      <c r="F21" s="8"/>
      <c r="G21" s="8"/>
      <c r="H21" s="9" t="s">
        <v>17</v>
      </c>
      <c r="I21" s="36"/>
      <c r="J21" s="36"/>
      <c r="K21" s="8"/>
      <c r="L21" s="8"/>
      <c r="M21" s="8"/>
      <c r="N21" s="34">
        <v>0</v>
      </c>
      <c r="O21" s="35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</row>
    <row r="22" spans="1:23" ht="12" customHeight="1" x14ac:dyDescent="0.2">
      <c r="A22" s="8"/>
      <c r="B22" s="8"/>
      <c r="C22" s="11"/>
      <c r="D22" s="8" t="s">
        <v>81</v>
      </c>
      <c r="E22" s="17"/>
      <c r="F22" s="8"/>
      <c r="G22" s="8"/>
      <c r="H22" s="9" t="s">
        <v>17</v>
      </c>
      <c r="I22" s="36"/>
      <c r="J22" s="36"/>
      <c r="K22" s="8"/>
      <c r="L22" s="8"/>
      <c r="M22" s="8"/>
      <c r="N22" s="34">
        <v>0</v>
      </c>
      <c r="O22" s="35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</row>
    <row r="23" spans="1:23" ht="12" customHeight="1" x14ac:dyDescent="0.2">
      <c r="A23" s="8"/>
      <c r="B23" s="8"/>
      <c r="C23" s="11"/>
      <c r="D23" s="8"/>
      <c r="E23" s="17"/>
      <c r="F23" s="8"/>
      <c r="G23" s="8"/>
      <c r="H23" s="9"/>
      <c r="I23" s="36"/>
      <c r="J23" s="36"/>
      <c r="K23" s="8"/>
      <c r="L23" s="8"/>
      <c r="M23" s="8"/>
      <c r="N23" s="8"/>
      <c r="O23" s="13"/>
      <c r="P23" s="8"/>
      <c r="Q23" s="8"/>
      <c r="R23" s="8"/>
      <c r="S23" s="8"/>
      <c r="T23" s="8"/>
      <c r="U23" s="8"/>
      <c r="V23" s="8"/>
      <c r="W23" s="8"/>
    </row>
    <row r="24" spans="1:23" ht="12" customHeight="1" x14ac:dyDescent="0.2">
      <c r="A24" s="8"/>
      <c r="B24" s="8"/>
      <c r="C24" s="11"/>
      <c r="D24" s="8" t="s">
        <v>82</v>
      </c>
      <c r="E24" s="17"/>
      <c r="F24" s="8"/>
      <c r="G24" s="8"/>
      <c r="H24" s="9" t="s">
        <v>17</v>
      </c>
      <c r="I24" s="36"/>
      <c r="J24" s="36"/>
      <c r="K24" s="8"/>
      <c r="L24" s="8"/>
      <c r="M24" s="8"/>
      <c r="N24" s="34">
        <v>0</v>
      </c>
      <c r="O24" s="35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</row>
    <row r="25" spans="1:23" ht="12" customHeight="1" x14ac:dyDescent="0.2">
      <c r="A25" s="8"/>
      <c r="B25" s="8"/>
      <c r="C25" s="11"/>
      <c r="D25" s="8"/>
      <c r="E25" s="17"/>
      <c r="F25" s="8"/>
      <c r="G25" s="8"/>
      <c r="H25" s="9"/>
      <c r="I25" s="36"/>
      <c r="J25" s="36"/>
      <c r="K25" s="8"/>
      <c r="L25" s="8"/>
      <c r="M25" s="8"/>
      <c r="N25" s="8"/>
      <c r="O25" s="13"/>
      <c r="P25" s="8"/>
      <c r="Q25" s="8"/>
      <c r="R25" s="8"/>
      <c r="S25" s="8"/>
      <c r="T25" s="8"/>
      <c r="U25" s="8"/>
      <c r="V25" s="8"/>
      <c r="W25" s="8"/>
    </row>
    <row r="26" spans="1:23" ht="12" customHeight="1" x14ac:dyDescent="0.2">
      <c r="A26" s="8"/>
      <c r="B26" s="8"/>
      <c r="C26" s="11"/>
      <c r="D26" s="8" t="s">
        <v>71</v>
      </c>
      <c r="E26" s="17"/>
      <c r="F26" s="8"/>
      <c r="G26" s="8"/>
      <c r="H26" s="9" t="s">
        <v>17</v>
      </c>
      <c r="I26" s="36"/>
      <c r="J26" s="36"/>
      <c r="K26" s="8"/>
      <c r="L26" s="8"/>
      <c r="M26" s="8"/>
      <c r="N26" s="34">
        <v>0</v>
      </c>
      <c r="O26" s="35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</row>
    <row r="27" spans="1:23" ht="12" customHeight="1" x14ac:dyDescent="0.2">
      <c r="A27" s="8"/>
      <c r="B27" s="8"/>
      <c r="C27" s="11"/>
      <c r="D27" s="8"/>
      <c r="E27" s="17"/>
      <c r="F27" s="8"/>
      <c r="G27" s="8"/>
      <c r="H27" s="9"/>
      <c r="I27" s="36"/>
      <c r="J27" s="36"/>
      <c r="K27" s="8"/>
      <c r="L27" s="8"/>
      <c r="M27" s="8"/>
      <c r="N27" s="8"/>
      <c r="O27" s="13"/>
      <c r="P27" s="8"/>
      <c r="Q27" s="8"/>
      <c r="R27" s="8"/>
      <c r="S27" s="8"/>
      <c r="T27" s="8"/>
      <c r="U27" s="8"/>
      <c r="V27" s="8"/>
      <c r="W27" s="8"/>
    </row>
    <row r="28" spans="1:23" ht="12" customHeight="1" x14ac:dyDescent="0.2">
      <c r="A28" s="8"/>
      <c r="B28" s="8"/>
      <c r="C28" s="11"/>
      <c r="D28" s="8" t="s">
        <v>15</v>
      </c>
      <c r="E28" s="17"/>
      <c r="F28" s="8"/>
      <c r="G28" s="8"/>
      <c r="H28" s="9" t="s">
        <v>17</v>
      </c>
      <c r="I28" s="36"/>
      <c r="J28" s="36"/>
      <c r="K28" s="8"/>
      <c r="L28" s="8"/>
      <c r="M28" s="8"/>
      <c r="N28" s="34">
        <v>0</v>
      </c>
      <c r="O28" s="35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</row>
    <row r="29" spans="1:23" ht="12" customHeight="1" x14ac:dyDescent="0.2">
      <c r="A29" s="8"/>
      <c r="B29" s="8"/>
      <c r="C29" s="11"/>
      <c r="D29" s="8"/>
      <c r="E29" s="17"/>
      <c r="F29" s="8"/>
      <c r="G29" s="8"/>
      <c r="H29" s="9"/>
      <c r="I29" s="36"/>
      <c r="J29" s="36"/>
      <c r="K29" s="8"/>
      <c r="L29" s="8"/>
      <c r="M29" s="8"/>
      <c r="N29" s="8"/>
      <c r="O29" s="13"/>
      <c r="P29" s="8"/>
      <c r="Q29" s="8"/>
      <c r="R29" s="8"/>
      <c r="S29" s="8"/>
      <c r="T29" s="8"/>
      <c r="U29" s="8"/>
      <c r="V29" s="8"/>
      <c r="W29" s="8"/>
    </row>
    <row r="30" spans="1:23" ht="12" customHeight="1" x14ac:dyDescent="0.2">
      <c r="A30" s="8"/>
      <c r="B30" s="8"/>
      <c r="C30" s="11"/>
      <c r="D30" s="8"/>
      <c r="E30" s="17"/>
      <c r="F30" s="8"/>
      <c r="G30" s="8"/>
      <c r="H30" s="9"/>
      <c r="I30" s="36"/>
      <c r="J30" s="36"/>
      <c r="K30" s="8"/>
      <c r="L30" s="8"/>
      <c r="M30" s="8"/>
      <c r="N30" s="8"/>
      <c r="O30" s="13"/>
      <c r="P30" s="8"/>
      <c r="Q30" s="8"/>
      <c r="R30" s="8"/>
      <c r="S30" s="8"/>
      <c r="T30" s="8"/>
      <c r="U30" s="8"/>
      <c r="V30" s="8"/>
      <c r="W30" s="8"/>
    </row>
    <row r="31" spans="1:23" ht="12" customHeight="1" x14ac:dyDescent="0.2">
      <c r="A31" s="15">
        <f>MAX(A$3:A30)+0.01</f>
        <v>2.0199999999999996</v>
      </c>
      <c r="B31" s="15"/>
      <c r="C31" s="15" t="s">
        <v>83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30"/>
      <c r="P31" s="15"/>
      <c r="Q31" s="15"/>
      <c r="R31" s="15"/>
      <c r="S31" s="15"/>
      <c r="T31" s="15"/>
      <c r="U31" s="15"/>
      <c r="V31" s="15"/>
      <c r="W31" s="15"/>
    </row>
    <row r="32" spans="1:23" ht="12" customHeight="1" x14ac:dyDescent="0.2">
      <c r="A32" s="8"/>
      <c r="B32" s="8"/>
      <c r="C32" s="11"/>
      <c r="D32" s="8"/>
      <c r="E32" s="17"/>
      <c r="F32" s="8"/>
      <c r="G32" s="8"/>
      <c r="H32" s="9"/>
      <c r="I32" s="8"/>
      <c r="J32" s="8"/>
      <c r="K32" s="8"/>
      <c r="L32" s="8"/>
      <c r="M32" s="8"/>
      <c r="N32" s="8"/>
      <c r="O32" s="13"/>
      <c r="P32" s="8"/>
      <c r="Q32" s="8"/>
      <c r="R32" s="8"/>
      <c r="S32" s="8"/>
      <c r="T32" s="8"/>
      <c r="U32" s="8"/>
      <c r="V32" s="8"/>
      <c r="W32" s="8"/>
    </row>
    <row r="33" spans="1:23" ht="12" customHeight="1" x14ac:dyDescent="0.2">
      <c r="A33" s="8"/>
      <c r="B33" s="8"/>
      <c r="C33" s="11" t="s">
        <v>4</v>
      </c>
      <c r="D33" s="8"/>
      <c r="E33" s="17"/>
      <c r="F33" s="8"/>
      <c r="G33" s="8"/>
      <c r="H33" s="9"/>
      <c r="I33" s="8"/>
      <c r="J33" s="8"/>
      <c r="K33" s="8"/>
      <c r="L33" s="8"/>
      <c r="M33" s="8"/>
      <c r="N33" s="8"/>
      <c r="O33" s="13"/>
      <c r="P33" s="8"/>
      <c r="Q33" s="8"/>
      <c r="R33" s="8"/>
      <c r="S33" s="8"/>
      <c r="T33" s="8"/>
      <c r="U33" s="8"/>
      <c r="V33" s="8"/>
      <c r="W33" s="8"/>
    </row>
    <row r="34" spans="1:23" ht="12" customHeight="1" x14ac:dyDescent="0.2">
      <c r="A34" s="8"/>
      <c r="B34" s="8"/>
      <c r="C34" s="11"/>
      <c r="D34" s="8" t="s">
        <v>74</v>
      </c>
      <c r="E34" s="17"/>
      <c r="F34" s="8"/>
      <c r="G34" s="8"/>
      <c r="H34" s="9" t="s">
        <v>17</v>
      </c>
      <c r="I34" s="8"/>
      <c r="J34" s="8"/>
      <c r="K34" s="8"/>
      <c r="L34" s="8"/>
      <c r="M34" s="34">
        <v>0</v>
      </c>
      <c r="N34" s="35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</row>
    <row r="35" spans="1:23" ht="12" customHeight="1" x14ac:dyDescent="0.2">
      <c r="A35" s="8"/>
      <c r="B35" s="8"/>
      <c r="C35" s="11"/>
      <c r="D35" s="8" t="s">
        <v>10</v>
      </c>
      <c r="E35" s="17"/>
      <c r="F35" s="8"/>
      <c r="G35" s="8"/>
      <c r="H35" s="9" t="s">
        <v>17</v>
      </c>
      <c r="I35" s="8"/>
      <c r="J35" s="8"/>
      <c r="K35" s="8"/>
      <c r="L35" s="8"/>
      <c r="M35" s="34">
        <v>0</v>
      </c>
      <c r="N35" s="35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</row>
    <row r="36" spans="1:23" ht="12" customHeight="1" x14ac:dyDescent="0.2">
      <c r="A36" s="8"/>
      <c r="B36" s="8"/>
      <c r="C36" s="11"/>
      <c r="D36" s="8" t="s">
        <v>5</v>
      </c>
      <c r="E36" s="17"/>
      <c r="F36" s="8"/>
      <c r="G36" s="8"/>
      <c r="H36" s="9" t="s">
        <v>17</v>
      </c>
      <c r="I36" s="8"/>
      <c r="J36" s="8"/>
      <c r="K36" s="8"/>
      <c r="L36" s="8"/>
      <c r="M36" s="34">
        <v>0</v>
      </c>
      <c r="N36" s="35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</row>
    <row r="37" spans="1:23" ht="12" customHeight="1" x14ac:dyDescent="0.2">
      <c r="A37" s="8"/>
      <c r="B37" s="8"/>
      <c r="C37" s="11"/>
      <c r="D37" s="8" t="s">
        <v>75</v>
      </c>
      <c r="E37" s="17"/>
      <c r="F37" s="8"/>
      <c r="G37" s="8"/>
      <c r="H37" s="9" t="s">
        <v>17</v>
      </c>
      <c r="I37" s="8"/>
      <c r="J37" s="8"/>
      <c r="K37" s="8"/>
      <c r="L37" s="8"/>
      <c r="M37" s="34">
        <v>0</v>
      </c>
      <c r="N37" s="35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</row>
    <row r="38" spans="1:23" ht="12" customHeight="1" x14ac:dyDescent="0.2">
      <c r="A38" s="8"/>
      <c r="B38" s="8"/>
      <c r="C38" s="11"/>
      <c r="D38" s="20" t="s">
        <v>6</v>
      </c>
      <c r="E38" s="17"/>
      <c r="F38" s="8"/>
      <c r="G38" s="8"/>
      <c r="H38" s="9" t="s">
        <v>17</v>
      </c>
      <c r="I38" s="8"/>
      <c r="J38" s="8"/>
      <c r="K38" s="8"/>
      <c r="L38" s="8"/>
      <c r="M38" s="20">
        <f t="shared" ref="M38:W38" si="3">SUM(M34:M37)</f>
        <v>0</v>
      </c>
      <c r="N38" s="20">
        <f t="shared" si="3"/>
        <v>0</v>
      </c>
      <c r="O38" s="20">
        <f t="shared" si="3"/>
        <v>0</v>
      </c>
      <c r="P38" s="20">
        <f t="shared" si="3"/>
        <v>0</v>
      </c>
      <c r="Q38" s="20">
        <f t="shared" si="3"/>
        <v>0</v>
      </c>
      <c r="R38" s="20">
        <f t="shared" si="3"/>
        <v>0</v>
      </c>
      <c r="S38" s="20">
        <f t="shared" si="3"/>
        <v>0</v>
      </c>
      <c r="T38" s="20">
        <f t="shared" si="3"/>
        <v>0</v>
      </c>
      <c r="U38" s="20">
        <f t="shared" si="3"/>
        <v>0</v>
      </c>
      <c r="V38" s="20">
        <f t="shared" si="3"/>
        <v>0</v>
      </c>
      <c r="W38" s="20">
        <f t="shared" si="3"/>
        <v>0</v>
      </c>
    </row>
    <row r="39" spans="1:23" ht="12" customHeight="1" x14ac:dyDescent="0.2">
      <c r="A39" s="8"/>
      <c r="B39" s="8"/>
      <c r="C39" s="11"/>
      <c r="D39" s="8"/>
      <c r="E39" s="17"/>
      <c r="F39" s="8"/>
      <c r="G39" s="8"/>
      <c r="H39" s="9"/>
      <c r="I39" s="8"/>
      <c r="J39" s="8"/>
      <c r="K39" s="8"/>
      <c r="L39" s="8"/>
      <c r="M39" s="8"/>
      <c r="N39" s="8"/>
      <c r="O39" s="13"/>
      <c r="P39" s="8"/>
      <c r="Q39" s="8"/>
      <c r="R39" s="8"/>
      <c r="S39" s="8"/>
      <c r="T39" s="8"/>
      <c r="U39" s="8"/>
      <c r="V39" s="8"/>
      <c r="W39" s="8"/>
    </row>
    <row r="40" spans="1:23" ht="12" customHeight="1" x14ac:dyDescent="0.2">
      <c r="A40" s="8"/>
      <c r="B40" s="8"/>
      <c r="C40" s="11" t="s">
        <v>7</v>
      </c>
      <c r="D40" s="8"/>
      <c r="E40" s="17"/>
      <c r="F40" s="8"/>
      <c r="G40" s="8"/>
      <c r="H40" s="9"/>
      <c r="I40" s="8"/>
      <c r="J40" s="8"/>
      <c r="K40" s="8"/>
      <c r="L40" s="8"/>
      <c r="M40" s="8"/>
      <c r="N40" s="8"/>
      <c r="O40" s="13"/>
      <c r="P40" s="8"/>
      <c r="Q40" s="8"/>
      <c r="R40" s="8"/>
      <c r="S40" s="8"/>
      <c r="T40" s="8"/>
      <c r="U40" s="8"/>
      <c r="V40" s="8"/>
      <c r="W40" s="8"/>
    </row>
    <row r="41" spans="1:23" ht="12" customHeight="1" x14ac:dyDescent="0.2">
      <c r="A41" s="8"/>
      <c r="B41" s="8"/>
      <c r="C41" s="11"/>
      <c r="D41" s="8" t="s">
        <v>84</v>
      </c>
      <c r="E41" s="17"/>
      <c r="F41" s="8"/>
      <c r="G41" s="8"/>
      <c r="H41" s="9" t="s">
        <v>17</v>
      </c>
      <c r="I41" s="8"/>
      <c r="J41" s="8"/>
      <c r="K41" s="8"/>
      <c r="L41" s="8"/>
      <c r="M41" s="34">
        <v>0</v>
      </c>
      <c r="N41" s="35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</row>
    <row r="42" spans="1:23" ht="12" customHeight="1" x14ac:dyDescent="0.2">
      <c r="A42" s="8"/>
      <c r="B42" s="8"/>
      <c r="C42" s="11"/>
      <c r="D42" s="8" t="s">
        <v>59</v>
      </c>
      <c r="E42" s="17"/>
      <c r="F42" s="8"/>
      <c r="G42" s="8"/>
      <c r="H42" s="9" t="s">
        <v>17</v>
      </c>
      <c r="I42" s="8"/>
      <c r="J42" s="8"/>
      <c r="K42" s="8"/>
      <c r="L42" s="8"/>
      <c r="M42" s="34">
        <v>0</v>
      </c>
      <c r="N42" s="35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</row>
    <row r="43" spans="1:23" ht="12" customHeight="1" x14ac:dyDescent="0.2">
      <c r="A43" s="8"/>
      <c r="B43" s="8"/>
      <c r="C43" s="11"/>
      <c r="D43" s="20" t="s">
        <v>85</v>
      </c>
      <c r="E43" s="17"/>
      <c r="F43" s="8"/>
      <c r="G43" s="8"/>
      <c r="H43" s="9" t="s">
        <v>17</v>
      </c>
      <c r="I43" s="8"/>
      <c r="J43" s="8"/>
      <c r="K43" s="8"/>
      <c r="L43" s="8"/>
      <c r="M43" s="20">
        <f t="shared" ref="M43:W43" si="4">SUM(M41:M42)</f>
        <v>0</v>
      </c>
      <c r="N43" s="20">
        <f t="shared" si="4"/>
        <v>0</v>
      </c>
      <c r="O43" s="20">
        <f t="shared" si="4"/>
        <v>0</v>
      </c>
      <c r="P43" s="20">
        <f t="shared" si="4"/>
        <v>0</v>
      </c>
      <c r="Q43" s="20">
        <f t="shared" si="4"/>
        <v>0</v>
      </c>
      <c r="R43" s="20">
        <f t="shared" si="4"/>
        <v>0</v>
      </c>
      <c r="S43" s="20">
        <f t="shared" si="4"/>
        <v>0</v>
      </c>
      <c r="T43" s="20">
        <f t="shared" si="4"/>
        <v>0</v>
      </c>
      <c r="U43" s="20">
        <f t="shared" si="4"/>
        <v>0</v>
      </c>
      <c r="V43" s="20">
        <f t="shared" si="4"/>
        <v>0</v>
      </c>
      <c r="W43" s="20">
        <f t="shared" si="4"/>
        <v>0</v>
      </c>
    </row>
    <row r="44" spans="1:23" ht="12" customHeight="1" x14ac:dyDescent="0.2">
      <c r="A44" s="8"/>
      <c r="B44" s="8"/>
      <c r="C44" s="11"/>
      <c r="D44" s="8"/>
      <c r="E44" s="17"/>
      <c r="F44" s="8"/>
      <c r="G44" s="8"/>
      <c r="H44" s="9"/>
      <c r="I44" s="8"/>
      <c r="J44" s="8"/>
      <c r="K44" s="8"/>
      <c r="L44" s="8"/>
      <c r="M44" s="8"/>
      <c r="N44" s="8"/>
      <c r="O44" s="13"/>
      <c r="P44" s="8"/>
      <c r="Q44" s="8"/>
      <c r="R44" s="8"/>
      <c r="S44" s="8"/>
      <c r="T44" s="8"/>
      <c r="U44" s="8"/>
      <c r="V44" s="8"/>
      <c r="W44" s="8"/>
    </row>
    <row r="45" spans="1:23" ht="12" customHeight="1" x14ac:dyDescent="0.2">
      <c r="A45" s="8"/>
      <c r="B45" s="8"/>
      <c r="C45" s="11"/>
      <c r="D45" s="11" t="s">
        <v>86</v>
      </c>
      <c r="E45" s="17"/>
      <c r="F45" s="8"/>
      <c r="G45" s="8"/>
      <c r="H45" s="9" t="s">
        <v>17</v>
      </c>
      <c r="I45" s="8"/>
      <c r="J45" s="8"/>
      <c r="K45" s="8"/>
      <c r="L45" s="8"/>
      <c r="M45" s="11">
        <f t="shared" ref="M45:W45" si="5">M38-M43</f>
        <v>0</v>
      </c>
      <c r="N45" s="31">
        <f t="shared" si="5"/>
        <v>0</v>
      </c>
      <c r="O45" s="11">
        <f t="shared" si="5"/>
        <v>0</v>
      </c>
      <c r="P45" s="11">
        <f t="shared" si="5"/>
        <v>0</v>
      </c>
      <c r="Q45" s="11">
        <f t="shared" si="5"/>
        <v>0</v>
      </c>
      <c r="R45" s="11">
        <f t="shared" si="5"/>
        <v>0</v>
      </c>
      <c r="S45" s="11">
        <f t="shared" si="5"/>
        <v>0</v>
      </c>
      <c r="T45" s="11">
        <f t="shared" si="5"/>
        <v>0</v>
      </c>
      <c r="U45" s="11">
        <f t="shared" si="5"/>
        <v>0</v>
      </c>
      <c r="V45" s="11">
        <f t="shared" si="5"/>
        <v>0</v>
      </c>
      <c r="W45" s="11">
        <f t="shared" si="5"/>
        <v>0</v>
      </c>
    </row>
    <row r="46" spans="1:23" ht="12" customHeight="1" x14ac:dyDescent="0.2">
      <c r="A46" s="8"/>
      <c r="B46" s="8"/>
      <c r="C46" s="11"/>
      <c r="D46" s="8"/>
      <c r="E46" s="17"/>
      <c r="F46" s="8"/>
      <c r="G46" s="8"/>
      <c r="H46" s="9"/>
      <c r="I46" s="8"/>
      <c r="J46" s="8"/>
      <c r="K46" s="8"/>
      <c r="L46" s="8"/>
      <c r="M46" s="8"/>
      <c r="N46" s="8"/>
      <c r="O46" s="13"/>
      <c r="P46" s="8"/>
      <c r="Q46" s="8"/>
      <c r="R46" s="8"/>
      <c r="S46" s="8"/>
      <c r="T46" s="8"/>
      <c r="U46" s="8"/>
      <c r="V46" s="8"/>
      <c r="W46" s="8"/>
    </row>
    <row r="47" spans="1:23" ht="12" customHeight="1" x14ac:dyDescent="0.2">
      <c r="A47" s="8"/>
      <c r="B47" s="8"/>
      <c r="C47" s="11" t="s">
        <v>14</v>
      </c>
      <c r="D47" s="8"/>
      <c r="E47" s="17"/>
      <c r="F47" s="8"/>
      <c r="G47" s="8"/>
      <c r="H47" s="9"/>
      <c r="I47" s="8"/>
      <c r="J47" s="8"/>
      <c r="K47" s="8"/>
      <c r="L47" s="8"/>
      <c r="M47" s="8"/>
      <c r="N47" s="8"/>
      <c r="O47" s="13"/>
      <c r="P47" s="8"/>
      <c r="Q47" s="8"/>
      <c r="R47" s="8"/>
      <c r="S47" s="8"/>
      <c r="T47" s="8"/>
      <c r="U47" s="8"/>
      <c r="V47" s="8"/>
      <c r="W47" s="8"/>
    </row>
    <row r="48" spans="1:23" ht="12" customHeight="1" x14ac:dyDescent="0.2">
      <c r="A48" s="8"/>
      <c r="B48" s="8"/>
      <c r="C48" s="11"/>
      <c r="D48" s="8" t="s">
        <v>87</v>
      </c>
      <c r="E48" s="17"/>
      <c r="F48" s="8"/>
      <c r="G48" s="8"/>
      <c r="H48" s="9" t="s">
        <v>17</v>
      </c>
      <c r="I48" s="8"/>
      <c r="J48" s="8"/>
      <c r="K48" s="8"/>
      <c r="L48" s="8"/>
      <c r="M48" s="34">
        <v>0</v>
      </c>
      <c r="N48" s="35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</row>
    <row r="49" spans="1:23" ht="12" customHeight="1" x14ac:dyDescent="0.2">
      <c r="A49" s="8"/>
      <c r="B49" s="8"/>
      <c r="C49" s="11"/>
      <c r="D49" s="8" t="s">
        <v>8</v>
      </c>
      <c r="E49" s="17"/>
      <c r="F49" s="8"/>
      <c r="G49" s="8"/>
      <c r="H49" s="9" t="s">
        <v>17</v>
      </c>
      <c r="I49" s="8"/>
      <c r="J49" s="8"/>
      <c r="K49" s="8"/>
      <c r="L49" s="8"/>
      <c r="M49" s="34">
        <v>0</v>
      </c>
      <c r="N49" s="35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0</v>
      </c>
      <c r="V49" s="34">
        <v>0</v>
      </c>
      <c r="W49" s="34">
        <v>0</v>
      </c>
    </row>
    <row r="50" spans="1:23" ht="12" customHeight="1" x14ac:dyDescent="0.2">
      <c r="A50" s="8"/>
      <c r="B50" s="8"/>
      <c r="C50" s="11"/>
      <c r="D50" s="20" t="s">
        <v>9</v>
      </c>
      <c r="E50" s="17"/>
      <c r="F50" s="8"/>
      <c r="G50" s="8"/>
      <c r="H50" s="9" t="s">
        <v>17</v>
      </c>
      <c r="I50" s="8"/>
      <c r="J50" s="8"/>
      <c r="K50" s="8"/>
      <c r="L50" s="8"/>
      <c r="M50" s="20">
        <f t="shared" ref="M50" si="6">SUM(M48:M49)</f>
        <v>0</v>
      </c>
      <c r="N50" s="20">
        <f t="shared" ref="N50" si="7">SUM(N48:N49)</f>
        <v>0</v>
      </c>
      <c r="O50" s="20">
        <f t="shared" ref="O50" si="8">SUM(O48:O49)</f>
        <v>0</v>
      </c>
      <c r="P50" s="20">
        <f t="shared" ref="P50" si="9">SUM(P48:P49)</f>
        <v>0</v>
      </c>
      <c r="Q50" s="20">
        <f t="shared" ref="Q50" si="10">SUM(Q48:Q49)</f>
        <v>0</v>
      </c>
      <c r="R50" s="20">
        <f t="shared" ref="R50" si="11">SUM(R48:R49)</f>
        <v>0</v>
      </c>
      <c r="S50" s="20">
        <f t="shared" ref="S50" si="12">SUM(S48:S49)</f>
        <v>0</v>
      </c>
      <c r="T50" s="20">
        <f t="shared" ref="T50" si="13">SUM(T48:T49)</f>
        <v>0</v>
      </c>
      <c r="U50" s="20">
        <f t="shared" ref="U50" si="14">SUM(U48:U49)</f>
        <v>0</v>
      </c>
      <c r="V50" s="20">
        <f t="shared" ref="V50" si="15">SUM(V48:V49)</f>
        <v>0</v>
      </c>
      <c r="W50" s="20">
        <f t="shared" ref="W50" si="16">SUM(W48:W49)</f>
        <v>0</v>
      </c>
    </row>
    <row r="51" spans="1:23" ht="12" customHeight="1" x14ac:dyDescent="0.2">
      <c r="A51" s="8"/>
      <c r="B51" s="8"/>
      <c r="C51" s="11"/>
      <c r="D51" s="8"/>
      <c r="E51" s="17"/>
      <c r="F51" s="8"/>
      <c r="G51" s="8"/>
      <c r="H51" s="9"/>
      <c r="I51" s="8"/>
      <c r="J51" s="8"/>
      <c r="K51" s="8"/>
      <c r="L51" s="8"/>
      <c r="M51" s="8"/>
      <c r="N51" s="8"/>
      <c r="O51" s="13"/>
      <c r="P51" s="8"/>
      <c r="Q51" s="8"/>
      <c r="R51" s="8"/>
      <c r="S51" s="8"/>
      <c r="T51" s="8"/>
      <c r="U51" s="8"/>
      <c r="V51" s="8"/>
      <c r="W51" s="8"/>
    </row>
    <row r="52" spans="1:23" ht="12" customHeight="1" x14ac:dyDescent="0.2">
      <c r="A52" s="8"/>
      <c r="B52" s="8"/>
      <c r="C52" s="11"/>
      <c r="D52" s="8"/>
      <c r="E52" s="8"/>
      <c r="F52" s="8"/>
      <c r="G52" s="8"/>
      <c r="H52" s="9"/>
      <c r="I52" s="8"/>
      <c r="J52" s="8"/>
      <c r="K52" s="8"/>
      <c r="L52" s="8"/>
      <c r="M52" s="8"/>
      <c r="N52" s="8"/>
      <c r="O52" s="13"/>
      <c r="P52" s="8"/>
      <c r="Q52" s="8"/>
      <c r="R52" s="8"/>
      <c r="S52" s="8"/>
      <c r="T52" s="8"/>
      <c r="U52" s="8"/>
      <c r="V52" s="8"/>
      <c r="W52" s="8"/>
    </row>
    <row r="53" spans="1:23" ht="12" customHeight="1" x14ac:dyDescent="0.2">
      <c r="A53" s="8"/>
      <c r="B53" s="8"/>
      <c r="C53" s="11"/>
      <c r="D53" s="8"/>
      <c r="E53" s="8"/>
      <c r="F53" s="8"/>
      <c r="G53" s="8"/>
      <c r="H53" s="9"/>
      <c r="I53" s="8"/>
      <c r="J53" s="8"/>
      <c r="K53" s="8"/>
      <c r="L53" s="8"/>
      <c r="M53" s="8"/>
      <c r="N53" s="8"/>
      <c r="O53" s="32"/>
      <c r="P53" s="8"/>
      <c r="Q53" s="8"/>
      <c r="R53" s="8"/>
      <c r="S53" s="8"/>
      <c r="T53" s="8"/>
      <c r="U53" s="8"/>
      <c r="V53" s="8"/>
      <c r="W53" s="8"/>
    </row>
    <row r="54" spans="1:23" ht="12" customHeight="1" x14ac:dyDescent="0.2">
      <c r="A54" s="15">
        <f>MAX(A$3:A53)+0.01</f>
        <v>2.0299999999999994</v>
      </c>
      <c r="B54" s="15"/>
      <c r="C54" s="15" t="s">
        <v>88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2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Formats</vt:lpstr>
      <vt:lpstr>Assumptions</vt:lpstr>
      <vt:lpstr>Workings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Mayoh</cp:lastModifiedBy>
  <dcterms:created xsi:type="dcterms:W3CDTF">2015-10-14T05:12:28Z</dcterms:created>
  <dcterms:modified xsi:type="dcterms:W3CDTF">2015-10-14T05:40:25Z</dcterms:modified>
</cp:coreProperties>
</file>